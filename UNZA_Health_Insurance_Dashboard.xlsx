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Cohort analysis" sheetId="2" r:id="rId2"/>
    <sheet name="Item results" sheetId="3" r:id="rId3"/>
    <sheet name="Associations" sheetId="4" r:id="rId4"/>
    <sheet name="Responses" sheetId="5" r:id="rId5"/>
    <sheet name="Codebook" sheetId="6" r:id="rId6"/>
    <sheet name="Notes" sheetId="7" r:id="rId7"/>
  </sheets>
  <definedNames>
    <definedName name="_xlnm._FilterDatabase" localSheetId="5" hidden="1">Codebook!$B$12:$F$45</definedName>
    <definedName name="_xlnm.Print_Area" localSheetId="3">Associations!$B$2:$H$48</definedName>
    <definedName name="_xlnm.Print_Area" localSheetId="5">Codebook!$B$2:$F$45</definedName>
    <definedName name="_xlnm.Print_Area" localSheetId="1">'Cohort analysis'!$B$2:$H$83</definedName>
    <definedName name="_xlnm.Print_Area" localSheetId="2">'Item results'!$B$2:$M$40</definedName>
    <definedName name="_xlnm.Print_Area" localSheetId="6">Notes!$B$2:$H$53</definedName>
    <definedName name="_xlnm.Print_Area" localSheetId="0">Overview!$B$2:$Q$55</definedName>
    <definedName name="_xlnm.Print_Area" localSheetId="4">Responses!$B$2:$Q$363</definedName>
    <definedName name="_xlnm.Print_Titles" localSheetId="5">Codebook!$12:$12</definedName>
    <definedName name="_xlnm.Print_Titles" localSheetId="1">'Cohort analysis'!$5:$5</definedName>
    <definedName name="_xlnm.Print_Titles" localSheetId="2">'Item results'!$7:$7</definedName>
    <definedName name="_xlnm.Print_Titles" localSheetId="4">Responses!$5:$5</definedName>
  </definedNames>
  <calcPr calcId="124519" fullCalcOnLoad="1"/>
</workbook>
</file>

<file path=xl/comments1.xml><?xml version="1.0" encoding="utf-8"?>
<comments xmlns="http://schemas.openxmlformats.org/spreadsheetml/2006/main">
  <authors>
    <author/>
  </authors>
  <commentList>
    <comment ref="J5" authorId="0">
      <text>
        <r>
          <rPr>
            <sz val="8"/>
            <color indexed="81"/>
            <rFont val="Tahoma"/>
            <family val="2"/>
          </rPr>
          <t>NHIMA score is blank unless all nine C items were answered. Valid NHIMA denominator = 356 in the full sample.</t>
        </r>
      </text>
    </comment>
    <comment ref="K5" authorId="0">
      <text>
        <r>
          <rPr>
            <sz val="8"/>
            <color indexed="81"/>
            <rFont val="Tahoma"/>
            <family val="2"/>
          </rPr>
          <t>Overall score: B1–B10 + C2–C10. The two missing C blocks contribute zero, matching 100/358 and mean 9.7/19 in the report.</t>
        </r>
      </text>
    </comment>
  </commentList>
</comments>
</file>

<file path=xl/sharedStrings.xml><?xml version="1.0" encoding="utf-8"?>
<sst xmlns="http://schemas.openxmlformats.org/spreadsheetml/2006/main" count="15721" uniqueCount="506">
  <si>
    <t>Back to dashboard</t>
  </si>
  <si>
    <t>Scoring key &amp; question dictionary</t>
  </si>
  <si>
    <t>Yellow cells are editable. The answer key is instrument-derived and must be validated against the study protocol.</t>
  </si>
  <si>
    <t>Scale</t>
  </si>
  <si>
    <t>Threshold</t>
  </si>
  <si>
    <t>Maximum</t>
  </si>
  <si>
    <t>Missing-response treatment</t>
  </si>
  <si>
    <t>Health insurance</t>
  </si>
  <si>
    <t>All 10 B items answered in supplied sample.</t>
  </si>
  <si>
    <t>NHIMA</t>
  </si>
  <si>
    <t>Score and adequacy exclude incomplete C records.</t>
  </si>
  <si>
    <t>Overall</t>
  </si>
  <si>
    <t>Missing items contribute zero to overall score; all respondents retained to reproduce the report.</t>
  </si>
  <si>
    <t>Correct = 1; incorrect / Not sure = 0; blank = missing. Benefits (D) and limitations (E) are reported separately from the 19-item overall score.</t>
  </si>
  <si>
    <t>Item</t>
  </si>
  <si>
    <t>Domain</t>
  </si>
  <si>
    <t>Full survey question</t>
  </si>
  <si>
    <t>Chart label</t>
  </si>
  <si>
    <t>Correct answer</t>
  </si>
  <si>
    <t>B1</t>
  </si>
  <si>
    <t>B1. Health insurance means paying a fixed amount regularly so that your medical bills are covered later if you get sick.</t>
  </si>
  <si>
    <t>Meaning of health insurance</t>
  </si>
  <si>
    <t>True</t>
  </si>
  <si>
    <t>B2</t>
  </si>
  <si>
    <t>B2. A person can only benefit from health insurance if they pay the full cost of treatment first and then get reimbursed afterwards.</t>
  </si>
  <si>
    <t>Reimbursement-only misconception</t>
  </si>
  <si>
    <t>False</t>
  </si>
  <si>
    <t>B3</t>
  </si>
  <si>
    <t>B3. Health insurance is only useful for people who are already sick, not for healthy people.</t>
  </si>
  <si>
    <t>Insurance for sick people only</t>
  </si>
  <si>
    <t>B4</t>
  </si>
  <si>
    <t>B4. Health insurance premiums (contributions) can be paid monthly.</t>
  </si>
  <si>
    <t>Monthly contributions</t>
  </si>
  <si>
    <t>B5</t>
  </si>
  <si>
    <t>B5. In Zambia, some health insurance contributions are deducted directly from an employee's salary.</t>
  </si>
  <si>
    <t>Salary deductions</t>
  </si>
  <si>
    <t>B6</t>
  </si>
  <si>
    <t>B6. A person who is unemployed and not in formal employment cannot join any health insurance scheme in Zambia.</t>
  </si>
  <si>
    <t>Eligibility outside formal employment</t>
  </si>
  <si>
    <t>B7</t>
  </si>
  <si>
    <t>B7. Health insurance can help reduce the amount of money a person pays out of their own pocket when they fall sick.</t>
  </si>
  <si>
    <t>Reduced out-of-pocket costs</t>
  </si>
  <si>
    <t>B8</t>
  </si>
  <si>
    <t>B8. To use health insurance, a member usually needs to show a membership card or proof of registration at the health facility.</t>
  </si>
  <si>
    <t>Membership proof at facility</t>
  </si>
  <si>
    <t>B9</t>
  </si>
  <si>
    <t>B9. All hospitals and clinics in Zambia automatically accept every health insurance scheme.</t>
  </si>
  <si>
    <t>Universal facility acceptance</t>
  </si>
  <si>
    <t>B10</t>
  </si>
  <si>
    <t>B10. Health insurance schemes generally require a person to register and pay contributions before they can claim benefits.</t>
  </si>
  <si>
    <t>Registration before claims</t>
  </si>
  <si>
    <t>C2</t>
  </si>
  <si>
    <t>NHIMA awareness</t>
  </si>
  <si>
    <t>C2. NHIMA is responsible for managing Zambia's National Health Insurance Scheme.</t>
  </si>
  <si>
    <t>National scheme management</t>
  </si>
  <si>
    <t>C3</t>
  </si>
  <si>
    <t>C3. NHIMA was established by an Act of Parliament.</t>
  </si>
  <si>
    <t>Established by Act of Parliament</t>
  </si>
  <si>
    <t>C4</t>
  </si>
  <si>
    <t>C4. Registering with NHIMA is only possible for people in formal employment.</t>
  </si>
  <si>
    <t>Formal-employment-only registration</t>
  </si>
  <si>
    <t>C5</t>
  </si>
  <si>
    <t>C5. Employees who contribute to NHIMA have their employer also contribute an equal matching amount.</t>
  </si>
  <si>
    <t>Employer matching contributions</t>
  </si>
  <si>
    <t>C6</t>
  </si>
  <si>
    <t>C6. NHIMA issues membership cards to registered members.</t>
  </si>
  <si>
    <t>Membership cards</t>
  </si>
  <si>
    <t>C7</t>
  </si>
  <si>
    <t>C7. A member can access services at any hospital or clinic, whether or not it is accredited by NHIMA.</t>
  </si>
  <si>
    <t>Access at non-accredited facilities</t>
  </si>
  <si>
    <t>C8</t>
  </si>
  <si>
    <t>C8. NHIMA covers only curative (treatment) services and does not cover disease prevention or health promotion services.</t>
  </si>
  <si>
    <t>Curative-only coverage misconception</t>
  </si>
  <si>
    <t>C9</t>
  </si>
  <si>
    <t>C9. NHIMA members can check their registration or compliance status online.</t>
  </si>
  <si>
    <t>Online status checks</t>
  </si>
  <si>
    <t>C10</t>
  </si>
  <si>
    <t>C10. NHIMA is the only health insurance option available to Zambians.</t>
  </si>
  <si>
    <t>NHIMA as the only insurance option</t>
  </si>
  <si>
    <t>D1</t>
  </si>
  <si>
    <t>Covered benefits</t>
  </si>
  <si>
    <t>D1. Consultation with a doctor at an accredited health facility.</t>
  </si>
  <si>
    <t>Doctor consultation</t>
  </si>
  <si>
    <t>Covered</t>
  </si>
  <si>
    <t>D2</t>
  </si>
  <si>
    <t>D2. Admission to hospital for treatment of an illness.</t>
  </si>
  <si>
    <t>Hospital admission</t>
  </si>
  <si>
    <t>D3</t>
  </si>
  <si>
    <t>D3. Basic laboratory tests ordered by a doctor.</t>
  </si>
  <si>
    <t>Basic laboratory tests</t>
  </si>
  <si>
    <t>D4</t>
  </si>
  <si>
    <t>D4. Prescribed medicines available at an accredited facility's pharmacy.</t>
  </si>
  <si>
    <t>Prescribed medicines</t>
  </si>
  <si>
    <t>D5</t>
  </si>
  <si>
    <t>D5. Maternity and childbirth-related care.</t>
  </si>
  <si>
    <t>Maternity / childbirth care</t>
  </si>
  <si>
    <t>D6</t>
  </si>
  <si>
    <t>D6. Emergency care at an accredited facility.</t>
  </si>
  <si>
    <t>Emergency care</t>
  </si>
  <si>
    <t>D7</t>
  </si>
  <si>
    <t>D7. Follow-up visits for chronic conditions (such as diabetes or hypertension) at an accredited facility.</t>
  </si>
  <si>
    <t>Chronic-condition follow-up</t>
  </si>
  <si>
    <t>D8</t>
  </si>
  <si>
    <t>D8. Rehabilitative care after a serious illness or injury.</t>
  </si>
  <si>
    <t>Rehabilitative care</t>
  </si>
  <si>
    <t>E1</t>
  </si>
  <si>
    <t>Limitations</t>
  </si>
  <si>
    <t>E1. Treatment received at a facility that is not accredited by the scheme.</t>
  </si>
  <si>
    <t>Non-accredited facility treatment</t>
  </si>
  <si>
    <t>Not covered</t>
  </si>
  <si>
    <t>E2</t>
  </si>
  <si>
    <t>E2. Purely cosmetic procedures not related to treating an illness or injury.</t>
  </si>
  <si>
    <t>Purely cosmetic procedures</t>
  </si>
  <si>
    <t>E3</t>
  </si>
  <si>
    <t>E3. Specialist care obtained without the required referral from a lower-level facility.</t>
  </si>
  <si>
    <t>Specialist care without referral</t>
  </si>
  <si>
    <t>E4</t>
  </si>
  <si>
    <t>E4. Treatment obtained outside Zambia without prior authorisation.</t>
  </si>
  <si>
    <t>Overseas care without authorisation</t>
  </si>
  <si>
    <t>E5</t>
  </si>
  <si>
    <t>E5. Services obtained after a member's contributions have lapsed or are outstanding.</t>
  </si>
  <si>
    <t>Lapsed contributions</t>
  </si>
  <si>
    <t>E6</t>
  </si>
  <si>
    <t>E6. Care that exceeds the specific benefit limits set out in the scheme's benefit package.</t>
  </si>
  <si>
    <t>Care beyond benefit limits</t>
  </si>
  <si>
    <t>UNZA | Health Insurance &amp; NHIMA</t>
  </si>
  <si>
    <t>Ridgeway Campus student survey  •  21 Aug – 29 Sep 2026  •  358 original responses  •  Report dated 02 Oct 2026</t>
  </si>
  <si>
    <t>Sex</t>
  </si>
  <si>
    <t>All</t>
  </si>
  <si>
    <t>Year of study</t>
  </si>
  <si>
    <t>Programme</t>
  </si>
  <si>
    <t>Insurance registration</t>
  </si>
  <si>
    <t>Change the four yellow dropdowns to explore a cohort. All cards, dashboard charts and detailed summaries recalculate.</t>
  </si>
  <si>
    <t>Survey responses &amp; derived scores</t>
  </si>
  <si>
    <t>Original file preserved. Text trimmed; Boolean true/false cells normalised to text. Filter this table to inspect individual records.</t>
  </si>
  <si>
    <t>ID</t>
  </si>
  <si>
    <t>Timestamp</t>
  </si>
  <si>
    <t>Age as reported</t>
  </si>
  <si>
    <t>Insurance registered</t>
  </si>
  <si>
    <t>Health score /10</t>
  </si>
  <si>
    <t>NHIMA score /9</t>
  </si>
  <si>
    <t>Overall score /19</t>
  </si>
  <si>
    <t>Adequate overall (1/0)</t>
  </si>
  <si>
    <t>B/C complete (1/0)</t>
  </si>
  <si>
    <t>Benefits score /8</t>
  </si>
  <si>
    <t>Limitations score /6</t>
  </si>
  <si>
    <t>Benefits + limits /14</t>
  </si>
  <si>
    <t>Wants more information</t>
  </si>
  <si>
    <t>Most useful source (normalised)</t>
  </si>
  <si>
    <t>Selected cohort (1/0)</t>
  </si>
  <si>
    <t>Information sources (multi-select)</t>
  </si>
  <si>
    <t>Most useful source (original)</t>
  </si>
  <si>
    <t>Radio / TV</t>
  </si>
  <si>
    <t>Print media</t>
  </si>
  <si>
    <t>Social media</t>
  </si>
  <si>
    <t>Family</t>
  </si>
  <si>
    <t>Friends / students</t>
  </si>
  <si>
    <t>Coursework / lectures</t>
  </si>
  <si>
    <t>NHIMA outreach / offices</t>
  </si>
  <si>
    <t>Health facility staff</t>
  </si>
  <si>
    <t>No information source</t>
  </si>
  <si>
    <t>Score B1</t>
  </si>
  <si>
    <t>Score B2</t>
  </si>
  <si>
    <t>Score B3</t>
  </si>
  <si>
    <t>Score B4</t>
  </si>
  <si>
    <t>Score B5</t>
  </si>
  <si>
    <t>Score B6</t>
  </si>
  <si>
    <t>Score B7</t>
  </si>
  <si>
    <t>Score B8</t>
  </si>
  <si>
    <t>Score B9</t>
  </si>
  <si>
    <t>Score B10</t>
  </si>
  <si>
    <t>Score C2</t>
  </si>
  <si>
    <t>Score C3</t>
  </si>
  <si>
    <t>Score C4</t>
  </si>
  <si>
    <t>Score C5</t>
  </si>
  <si>
    <t>Score C6</t>
  </si>
  <si>
    <t>Score C7</t>
  </si>
  <si>
    <t>Score C8</t>
  </si>
  <si>
    <t>Score C9</t>
  </si>
  <si>
    <t>Score C10</t>
  </si>
  <si>
    <t>Score D1</t>
  </si>
  <si>
    <t>Score D2</t>
  </si>
  <si>
    <t>Score D3</t>
  </si>
  <si>
    <t>Score D4</t>
  </si>
  <si>
    <t>Score D5</t>
  </si>
  <si>
    <t>Score D6</t>
  </si>
  <si>
    <t>Score D7</t>
  </si>
  <si>
    <t>Score D8</t>
  </si>
  <si>
    <t>Score E1</t>
  </si>
  <si>
    <t>Score E2</t>
  </si>
  <si>
    <t>Score E3</t>
  </si>
  <si>
    <t>Score E4</t>
  </si>
  <si>
    <t>Score E5</t>
  </si>
  <si>
    <t>Score E6</t>
  </si>
  <si>
    <t>Male</t>
  </si>
  <si>
    <t>3rd year</t>
  </si>
  <si>
    <t>Nursing Sciences</t>
  </si>
  <si>
    <t>Yes</t>
  </si>
  <si>
    <t>Not sure</t>
  </si>
  <si>
    <t>Radio or television, Social media (e.g. Facebook, WhatsApp, YouTube, X/Twitter), School coursework or lectures, Health facility staff</t>
  </si>
  <si>
    <t>socil media</t>
  </si>
  <si>
    <t>4th year</t>
  </si>
  <si>
    <t>Public Health</t>
  </si>
  <si>
    <t>Radio or television, Social media (e.g. Facebook, WhatsApp, YouTube, X/Twitter), Family members, Friends or fellow students, School coursework or lectures</t>
  </si>
  <si>
    <t>tv</t>
  </si>
  <si>
    <t>23 years</t>
  </si>
  <si>
    <t>Female</t>
  </si>
  <si>
    <t>No</t>
  </si>
  <si>
    <t>Social media (e.g. Facebook, WhatsApp, YouTube, X/Twitter), Family members, Friends or fellow students, School coursework or lectures, Health facility staff</t>
  </si>
  <si>
    <t>School</t>
  </si>
  <si>
    <t>School coursework or lectures</t>
  </si>
  <si>
    <t>From friends</t>
  </si>
  <si>
    <t>2nd year</t>
  </si>
  <si>
    <t>Other / unclear</t>
  </si>
  <si>
    <t>Reproductive health</t>
  </si>
  <si>
    <t>Pharmacy</t>
  </si>
  <si>
    <t>Multiple sources</t>
  </si>
  <si>
    <t>Radio or television, Newspapers or print media, Family members, Friends or fellow students, School coursework or lectures, NHIMA outreach activities or NHIMA offices</t>
  </si>
  <si>
    <t>My family and friends</t>
  </si>
  <si>
    <t>Family members</t>
  </si>
  <si>
    <t>Social media (e.g. Facebook, WhatsApp, YouTube, X/Twitter), Health facility staff</t>
  </si>
  <si>
    <t>Health facility</t>
  </si>
  <si>
    <t>Missing</t>
  </si>
  <si>
    <t>Radio or television</t>
  </si>
  <si>
    <t>Medicine</t>
  </si>
  <si>
    <t>NHIMA outreach activities or NHIMA offices</t>
  </si>
  <si>
    <t>5th year or above</t>
  </si>
  <si>
    <t>Social media (e.g. Facebook, WhatsApp, YouTube, X/Twitter), Family members, Friends or fellow students, School coursework or lectures</t>
  </si>
  <si>
    <t>Radio or television, Newspapers or print media, Social media (e.g. Facebook, WhatsApp, YouTube, X/Twitter), Family members, Friends or fellow students, School coursework or lectures, NHIMA outreach activities or NHIMA offices, Health facility staff</t>
  </si>
  <si>
    <t>Social media (e.g. Facebook, WhatsApp, YouTube, X/Twitter), Family members, Friends or fellow students, School coursework or lectures, NHIMA outreach activities or NHIMA offices, Health facility staff, I have not received information about health insurance from any source</t>
  </si>
  <si>
    <t>Friends</t>
  </si>
  <si>
    <t>Social media (e.g. Facebook, WhatsApp, YouTube, X/Twitter), Family members</t>
  </si>
  <si>
    <t>Radio or television, Social media (e.g. Facebook, WhatsApp, YouTube, X/Twitter), Friends or fellow students, School coursework or lectures</t>
  </si>
  <si>
    <t>Lectures</t>
  </si>
  <si>
    <t>Radio or television, Newspapers or print media, Social media (e.g. Facebook, WhatsApp, YouTube, X/Twitter), Family members, Friends or fellow students, School coursework or lectures, NHIMA outreach activities or NHIMA offices</t>
  </si>
  <si>
    <t>Family members, NHIMA outreach activities or NHIMA offices</t>
  </si>
  <si>
    <t>Radio or television, Newspapers or print media, Social media (e.g. Facebook, WhatsApp, YouTube, X/Twitter), Family members, Friends or fellow students</t>
  </si>
  <si>
    <t>Lectures in class</t>
  </si>
  <si>
    <t>Radio or television, Social media (e.g. Facebook, WhatsApp, YouTube, X/Twitter), Family members, Friends or fellow students, NHIMA outreach activities or NHIMA offices, Health facility staff</t>
  </si>
  <si>
    <t>Radio or television, Health facility staff</t>
  </si>
  <si>
    <t>Tv</t>
  </si>
  <si>
    <t>Radio or television, Social media (e.g. Facebook, WhatsApp, YouTube, X/Twitter), Friends or fellow students, School coursework or lectures, Health facility staff</t>
  </si>
  <si>
    <t>Tv social media</t>
  </si>
  <si>
    <t>Radio or television, Social media (e.g. Facebook, WhatsApp, YouTube, X/Twitter), Friends or fellow students, Health facility staff</t>
  </si>
  <si>
    <t>Tv and social media</t>
  </si>
  <si>
    <t>Radio or television, Social media (e.g. Facebook, WhatsApp, YouTube, X/Twitter), Family members, Friends or fellow students, Health facility staff</t>
  </si>
  <si>
    <t>Radio or television, Social media (e.g. Facebook, WhatsApp, YouTube, X/Twitter)</t>
  </si>
  <si>
    <t>Other Ridgeway Health Sciences programme</t>
  </si>
  <si>
    <t>Radio or television, Social media (e.g. Facebook, WhatsApp, YouTube, X/Twitter), School coursework or lectures</t>
  </si>
  <si>
    <t>Schools</t>
  </si>
  <si>
    <t>Social media (e.g. Facebook, WhatsApp, YouTube, X/Twitter)</t>
  </si>
  <si>
    <t>Radio or television, School coursework or lectures, Schools</t>
  </si>
  <si>
    <t>Radio or television, Social media (e.g. Facebook, WhatsApp, YouTube, X/Twitter), Family members</t>
  </si>
  <si>
    <t>Radio or television, Social media (e.g. Facebook, WhatsApp, YouTube, X/Twitter), Health facility staff</t>
  </si>
  <si>
    <t>Radio or television, Tv</t>
  </si>
  <si>
    <t>24 years</t>
  </si>
  <si>
    <t>No information</t>
  </si>
  <si>
    <t>Non</t>
  </si>
  <si>
    <t>Social media (e.g. Facebook, WhatsApp, YouTube, X/Twitter), Family members, Friends or fellow students</t>
  </si>
  <si>
    <t>Social Media</t>
  </si>
  <si>
    <t>Friends or fellow students, Health facility staff</t>
  </si>
  <si>
    <t>Social</t>
  </si>
  <si>
    <t>Social media (e.g. Facebook, WhatsApp, YouTube, X/Twitter), Family members, NHIMA outreach activities or NHIMA offices</t>
  </si>
  <si>
    <t>Newspapers or print media, Social media (e.g. Facebook, WhatsApp, YouTube, X/Twitter), Friends or fellow students</t>
  </si>
  <si>
    <t>Radio or television, Social media (e.g. Facebook, WhatsApp, YouTube, X/Twitter), Family members, Friends or fellow students</t>
  </si>
  <si>
    <t>Radio or television, Newspapers or print media, Family members, School coursework or lectures, Health facility staff</t>
  </si>
  <si>
    <t>18-21, 21-24</t>
  </si>
  <si>
    <t>Social media (e.g. Facebook, WhatsApp, YouTube, X/Twitter), School coursework or lectures, NHIMA outreach activities or NHIMA offices</t>
  </si>
  <si>
    <t>21-24</t>
  </si>
  <si>
    <t>Radio or television, Newspapers or print media, Social media (e.g. Facebook, WhatsApp, YouTube, X/Twitter)</t>
  </si>
  <si>
    <t>18-21</t>
  </si>
  <si>
    <t>Radio or television, Newspapers or print media</t>
  </si>
  <si>
    <t>18-21, 24-28</t>
  </si>
  <si>
    <t>Radio or television, Newspapers or print media, Social media (e.g. Facebook, WhatsApp, YouTube, X/Twitter), Family members, Friends or fellow students, School coursework or lectures</t>
  </si>
  <si>
    <t>Radio or television, Newspapers or print media, Social media (e.g. Facebook, WhatsApp, YouTube, X/Twitter), Family members</t>
  </si>
  <si>
    <t>24-28</t>
  </si>
  <si>
    <t>Radio or television, Newspapers or print media, Social media (e.g. Facebook, WhatsApp, YouTube, X/Twitter), Family members, NHIMA outreach activities or NHIMA offices</t>
  </si>
  <si>
    <t>Newspapers or print media</t>
  </si>
  <si>
    <t>Radio or television, Newspapers or print media, Social media (e.g. Facebook, WhatsApp, YouTube, X/Twitter), Friends or fellow students, School coursework or lectures</t>
  </si>
  <si>
    <t>Radio or television, Newspapers or print media, Social media (e.g. Facebook, WhatsApp, YouTube, X/Twitter), School coursework or lectures, NHIMA outreach activities or NHIMA offices</t>
  </si>
  <si>
    <t>Radio or television, Newspapers or print media, Social media (e.g. Facebook, WhatsApp, YouTube, X/Twitter), Family members, School coursework or lectures</t>
  </si>
  <si>
    <t>Radio or television, Newspapers or print media, Social media (e.g. Facebook, WhatsApp, YouTube, X/Twitter), Friends or fellow students</t>
  </si>
  <si>
    <t>Radio or television, Newspapers or print media, Social media (e.g. Facebook, WhatsApp, YouTube, X/Twitter), School coursework or lectures</t>
  </si>
  <si>
    <t>Newspapers or print media, Social media (e.g. Facebook, WhatsApp, YouTube, X/Twitter)</t>
  </si>
  <si>
    <t>Radio or television, Newspapers or print media, Social media (e.g. Facebook, WhatsApp, YouTube, X/Twitter), Friends or fellow students, NHIMA outreach activities or NHIMA offices</t>
  </si>
  <si>
    <t>Social media (e.g. Facebook, WhatsApp, YouTube, X/Twitter), NHIMA outreach activities or NHIMA offices</t>
  </si>
  <si>
    <t>Friends or fellow students, School coursework or lectures, NHIMA outreach activities or NHIMA offices</t>
  </si>
  <si>
    <t>Social media (e.g. Facebook, WhatsApp, YouTube, X/Twitter), Friends or fellow students, NHIMA outreach activities or NHIMA offices</t>
  </si>
  <si>
    <t>Friends or fellow students, School coursework or lectures, NHIMA outreach activities or NHIMA offices, Health facility staff</t>
  </si>
  <si>
    <t>Radio or television, Newspapers or print media, Social media (e.g. Facebook, WhatsApp, YouTube, X/Twitter), School coursework or lectures, NHIMA outreach activities or NHIMA offices, Health facility staff</t>
  </si>
  <si>
    <t>Friends or fellow students, School coursework or lectures</t>
  </si>
  <si>
    <t>Family members, Friends or fellow students</t>
  </si>
  <si>
    <t>Radio or television, Social media (e.g. Facebook, WhatsApp, YouTube, X/Twitter), Friends or fellow students</t>
  </si>
  <si>
    <t>Radio or television, Newspapers or print media, NHIMA outreach activities or NHIMA offices, Health facility staff</t>
  </si>
  <si>
    <t>Radio or television, Newspapers or print media, NHIMA outreach activities or NHIMA offices</t>
  </si>
  <si>
    <t>Radio or television, Social media (e.g. Facebook, WhatsApp, YouTube, X/Twitter), Family members, Friends or fellow students, School coursework or lectures, Health facility staff</t>
  </si>
  <si>
    <t>I have not received information about health insurance from any source</t>
  </si>
  <si>
    <t>Radio or television, Newspapers or print media, Family members, School coursework or lectures</t>
  </si>
  <si>
    <t>Radio or television, Family members, Friends or fellow students</t>
  </si>
  <si>
    <t>Newspapers or print media, Social media (e.g. Facebook, WhatsApp, YouTube, X/Twitter), Family members, Friends or fellow students, NHIMA outreach activities or NHIMA offices</t>
  </si>
  <si>
    <t>Social media (e.g. Facebook, WhatsApp, YouTube, X/Twitter), Family members, Friends or fellow students, School coursework or lectures, NHIMA outreach activities or NHIMA offices</t>
  </si>
  <si>
    <t>Newspapers or print media, Social media (e.g. Facebook, WhatsApp, YouTube, X/Twitter), Family members, Friends or fellow students, School coursework or lectures, NHIMA outreach activities or NHIMA offices, Health facility staff</t>
  </si>
  <si>
    <t>Social media (e.g. Facebook, WhatsApp, YouTube, X/Twitter), Family members, School coursework or lectures, NHIMA outreach activities or NHIMA offices</t>
  </si>
  <si>
    <t>Radio or television, Newspapers or print media, Friends or fellow students, NHIMA outreach activities or NHIMA offices</t>
  </si>
  <si>
    <t>Radio or television, Social media (e.g. Facebook, WhatsApp, YouTube, X/Twitter), Friends or fellow students, NHIMA outreach activities or NHIMA offices</t>
  </si>
  <si>
    <t>Radio or television, Newspapers or print media, NHIMA outreach activities or NHIMA offices, I have not received information about health insurance from any source</t>
  </si>
  <si>
    <t>Radio or television, Newspapers or print media, Friends or fellow students</t>
  </si>
  <si>
    <t>Radio or television, Social media (e.g. Facebook, WhatsApp, YouTube, X/Twitter), NHIMA outreach activities or NHIMA offices</t>
  </si>
  <si>
    <t>Newspapers or print media, Social media (e.g. Facebook, WhatsApp, YouTube, X/Twitter), NHIMA outreach activities or NHIMA offices</t>
  </si>
  <si>
    <t>Radio or television, Newspapers or print media, Social media (e.g. Facebook, WhatsApp, YouTube, X/Twitter), Family members, NHIMA outreach activities or NHIMA offices, Health facility staff</t>
  </si>
  <si>
    <t>Social media (e.g. Facebook, WhatsApp, YouTube, X/Twitter), School coursework or lectures, NHIMA outreach activities or NHIMA offices, Health facility staff</t>
  </si>
  <si>
    <t>Newspapers or print media, NHIMA outreach activities or NHIMA offices</t>
  </si>
  <si>
    <t>Radio or television, Social media (e.g. Facebook, WhatsApp, YouTube, X/Twitter), Family members, Friends or fellow students, School coursework or lectures, NHIMA outreach activities or NHIMA offices, Health facility staff</t>
  </si>
  <si>
    <t>Friends or fellow students</t>
  </si>
  <si>
    <t>Social media (e.g. Facebook, WhatsApp, YouTube, X/Twitter), Family members, School coursework or lectures</t>
  </si>
  <si>
    <t>Social media (e.g. Facebook, WhatsApp, YouTube, X/Twitter), Friends or fellow students</t>
  </si>
  <si>
    <t>Newspapers or print media, Family members</t>
  </si>
  <si>
    <t>Radio or television, Friends or fellow students</t>
  </si>
  <si>
    <t>Social media (e.g. Facebook, WhatsApp, YouTube, X/Twitter), Friends or fellow students, School coursework or lectures, NHIMA outreach activities or NHIMA offices</t>
  </si>
  <si>
    <t>Radio or television, Newspapers or print media, Social media (e.g. Facebook, WhatsApp, YouTube, X/Twitter), Family members, Friends or fellow students, NHIMA outreach activities or NHIMA offices, Health facility staff</t>
  </si>
  <si>
    <t>Social media (e.g. Facebook, WhatsApp, YouTube, X/Twitter), Family members, Friends or fellow students, Health facility staff</t>
  </si>
  <si>
    <t>Radio or television, Social media (e.g. Facebook, WhatsApp, YouTube, X/Twitter), NHIMA outreach activities or NHIMA offices, Health facility staff</t>
  </si>
  <si>
    <t>Social media (e.g. Facebook, WhatsApp, YouTube, X/Twitter), Friends or fellow students, School coursework or lectures, Health facility staff</t>
  </si>
  <si>
    <t>Radio or television, Social media (e.g. Facebook, WhatsApp, YouTube, X/Twitter), School coursework or lectures, NHIMA outreach activities or NHIMA offices</t>
  </si>
  <si>
    <t>Radio or television, Family members</t>
  </si>
  <si>
    <t>Family members, School coursework or lectures</t>
  </si>
  <si>
    <t>Newspapers or print media, Social media (e.g. Facebook, WhatsApp, YouTube, X/Twitter), Family members, School coursework or lectures</t>
  </si>
  <si>
    <t>Family members, Friends or fellow students, NHIMA outreach activities or NHIMA offices</t>
  </si>
  <si>
    <t>Newspapers or print media, Social media (e.g. Facebook, WhatsApp, YouTube, X/Twitter), Family members</t>
  </si>
  <si>
    <t>Social media (e.g. Facebook, WhatsApp, YouTube, X/Twitter), School coursework or lectures</t>
  </si>
  <si>
    <t>Newspapers or print media, Social media (e.g. Facebook, WhatsApp, YouTube, X/Twitter), Family members, Friends or fellow students</t>
  </si>
  <si>
    <t>21-24, 24-28</t>
  </si>
  <si>
    <t>School coursework or lectures, NHIMA outreach activities or NHIMA offices</t>
  </si>
  <si>
    <t>Radio or television, Social media (e.g. Facebook, WhatsApp, YouTube, X/Twitter), Family members, School coursework or lectures</t>
  </si>
  <si>
    <t>Friends or fellow students, NHIMA outreach activities or NHIMA offices</t>
  </si>
  <si>
    <t>Radio or television, Family members, Friends or fellow students, School coursework or lectures</t>
  </si>
  <si>
    <t>Radio or television, NHIMA outreach activities or NHIMA offices</t>
  </si>
  <si>
    <t>Radio or television, Newspapers or print media, Family members, Friends or fellow students</t>
  </si>
  <si>
    <t>Cohort analysis</t>
  </si>
  <si>
    <t>All results on this sheet follow the four dashboard dropdowns. Percentages use explicit valid-response denominators.</t>
  </si>
  <si>
    <t>Metric</t>
  </si>
  <si>
    <t>Value</t>
  </si>
  <si>
    <t>Denominator</t>
  </si>
  <si>
    <t>Definition</t>
  </si>
  <si>
    <t>Selected respondents</t>
  </si>
  <si>
    <t>Filter-matched survey records</t>
  </si>
  <si>
    <t>Adequate overall</t>
  </si>
  <si>
    <t>Overall score meets editable threshold (default 12/19)</t>
  </si>
  <si>
    <t>Overall adequacy rate</t>
  </si>
  <si>
    <t>All selected respondents, matching report convention</t>
  </si>
  <si>
    <t>Mean overall score</t>
  </si>
  <si>
    <t>Score out of 19; missing C items contribute zero</t>
  </si>
  <si>
    <t>Adequate health insurance</t>
  </si>
  <si>
    <t>B1–B10 threshold (default 6/10)</t>
  </si>
  <si>
    <t>Health-insurance adequacy rate</t>
  </si>
  <si>
    <t>All selected respondents</t>
  </si>
  <si>
    <t>Mean health-insurance score</t>
  </si>
  <si>
    <t>Score out of 10</t>
  </si>
  <si>
    <t>Valid NHIMA scores</t>
  </si>
  <si>
    <t>Complete B/C records (B complete in source)</t>
  </si>
  <si>
    <t>Adequate NHIMA</t>
  </si>
  <si>
    <t>C2–C10 threshold (default 6/9)</t>
  </si>
  <si>
    <t>NHIMA adequacy rate</t>
  </si>
  <si>
    <t>Only respondents with complete NHIMA blocks</t>
  </si>
  <si>
    <t>Mean NHIMA score</t>
  </si>
  <si>
    <t>Score out of 9; missing blocks excluded</t>
  </si>
  <si>
    <t>Mean benefits + limitations</t>
  </si>
  <si>
    <t>Score out of 14; not part of overall adequacy</t>
  </si>
  <si>
    <t>Registered with insurance</t>
  </si>
  <si>
    <t>Any scheme, not necessarily NHIMA</t>
  </si>
  <si>
    <t>Insurance registration rate</t>
  </si>
  <si>
    <t>Yes / all selected respondents</t>
  </si>
  <si>
    <t>Social media selected</t>
  </si>
  <si>
    <t>Multi-select F2 source question</t>
  </si>
  <si>
    <t>Social media reach</t>
  </si>
  <si>
    <t>May overlap with other information sources</t>
  </si>
  <si>
    <t>F4 response = Yes</t>
  </si>
  <si>
    <t>Valid information-interest responses</t>
  </si>
  <si>
    <t>Excludes four missing F4 responses</t>
  </si>
  <si>
    <t>Desire for more information rate</t>
  </si>
  <si>
    <t>Yes / nonmissing F4 responses</t>
  </si>
  <si>
    <t>Incomplete NHIMA blocks</t>
  </si>
  <si>
    <t>Missing C2–C10 responses</t>
  </si>
  <si>
    <t>Overall score SD</t>
  </si>
  <si>
    <t>Sample standard deviation; zero shown if fewer than two respondents.</t>
  </si>
  <si>
    <t>Overall score median</t>
  </si>
  <si>
    <t>Median of selected overall scores.</t>
  </si>
  <si>
    <t>Mean covered-benefit score</t>
  </si>
  <si>
    <t>D1–D8 score out of 8.</t>
  </si>
  <si>
    <t>Mean limitations score</t>
  </si>
  <si>
    <t>E1–E6 score out of 6.</t>
  </si>
  <si>
    <t>Domain adequacy</t>
  </si>
  <si>
    <t>Adequate</t>
  </si>
  <si>
    <t>Valid n</t>
  </si>
  <si>
    <t>Adequate %</t>
  </si>
  <si>
    <t>Overall knowledge / awareness</t>
  </si>
  <si>
    <t>Adequacy by programme</t>
  </si>
  <si>
    <t>Selected n</t>
  </si>
  <si>
    <t>Adequate n</t>
  </si>
  <si>
    <t>Information sources | multi-select</t>
  </si>
  <si>
    <t>Source</t>
  </si>
  <si>
    <t>Respondents</t>
  </si>
  <si>
    <t>Reach %</t>
  </si>
  <si>
    <t>Multi-select sources are counted once per respondent per option; percentages can add to more than 100%. Social-media option contains commas and was matched as a complete label, not split on commas.</t>
  </si>
  <si>
    <t>Cohort breakdowns</t>
  </si>
  <si>
    <t>Year</t>
  </si>
  <si>
    <t>Item-level knowledge gaps</t>
  </si>
  <si>
    <t>Follows the dashboard filters. Correct-answer rates exclude missing responses; incorrect and Not sure remain in the denominator.</t>
  </si>
  <si>
    <t>Priority: use the lowest-scoring items to focus NHIMA orientation on benefit scope, accreditation and common insurance misconceptions. All correct-answer labels are provisional.</t>
  </si>
  <si>
    <t>Question / concept</t>
  </si>
  <si>
    <t>Key</t>
  </si>
  <si>
    <t>Answered n</t>
  </si>
  <si>
    <t>Correct n</t>
  </si>
  <si>
    <t>Correct %</t>
  </si>
  <si>
    <t>Incorrect n</t>
  </si>
  <si>
    <t>Not sure n</t>
  </si>
  <si>
    <t>Missing n</t>
  </si>
  <si>
    <t>Not sure %</t>
  </si>
  <si>
    <t>Priority item</t>
  </si>
  <si>
    <t>C8 | Curative-only coverage misconception</t>
  </si>
  <si>
    <t>B2 | Reimbursement-only misconception</t>
  </si>
  <si>
    <t>C7 | Access at non-accredited facilities</t>
  </si>
  <si>
    <t>B9 | Universal facility acceptance</t>
  </si>
  <si>
    <t>B3 | Insurance for sick people only</t>
  </si>
  <si>
    <t>Factors associated with overall adequacy</t>
  </si>
  <si>
    <t>Full-sample tests: independent of the dashboard filters. Formula-linked counts and p-values update if the scoring key changes.</t>
  </si>
  <si>
    <t>Associations are unadjusted, not causal. Sex uses Yates continuity correction to reproduce the report; the other core tests use uncorrected Pearson chi-square.</t>
  </si>
  <si>
    <t>Factor</t>
  </si>
  <si>
    <t>Chi-square</t>
  </si>
  <si>
    <t>df</t>
  </si>
  <si>
    <t>p-value</t>
  </si>
  <si>
    <t>Significant &lt; .05</t>
  </si>
  <si>
    <t>Min expected</t>
  </si>
  <si>
    <t>Method</t>
  </si>
  <si>
    <t>Sex | observed and expected counts</t>
  </si>
  <si>
    <t>Category</t>
  </si>
  <si>
    <t>Inadequate</t>
  </si>
  <si>
    <t>Group total</t>
  </si>
  <si>
    <t>Expected inadequate</t>
  </si>
  <si>
    <t>Expected adequate</t>
  </si>
  <si>
    <t>Chi-square component</t>
  </si>
  <si>
    <t>Yates-corrected</t>
  </si>
  <si>
    <t>All expected cells exceed 5 in the supplied full-sample table. Review validity if you change the scoring key.</t>
  </si>
  <si>
    <t>Year of study | observed and expected counts</t>
  </si>
  <si>
    <t>Pearson (uncorrected)</t>
  </si>
  <si>
    <t>Programme | observed and expected counts</t>
  </si>
  <si>
    <t>Insurance registration | observed and expected counts</t>
  </si>
  <si>
    <t>How to use &amp; interpretation notes</t>
  </si>
  <si>
    <t>A reproducible dashboard built from the supplied survey workbook, with the supplied report used as the reconciliation reference.</t>
  </si>
  <si>
    <t>START HERE</t>
  </si>
  <si>
    <t>Open Overview in Excel and change the four yellow dropdowns. Reset all four to All for the report view. Cards, charts, Cohort analysis and Item results update together. A no-match selection displays zero values; read them as no data, not as evidence of low knowledge.</t>
  </si>
  <si>
    <t>NAVIGATION</t>
  </si>
  <si>
    <t>Overview: executive dashboard. Cohort analysis: filter-linked counts and subgroup summaries. Item results: all 33 scored items. Associations: full-sample unadjusted tests. Responses: filterable record-level data. Codebook: question wording, provisional keys and editable thresholds.</t>
  </si>
  <si>
    <t>SCORING</t>
  </si>
  <si>
    <t>Health insurance = B1–B10, maximum 10, adequate at 6. NHIMA = C2–C10, maximum 9, adequate at 6. Overall = B + C, maximum 19, adequate at 12. Benefits D1–D8 and limitations E1–E6 form a separate 14-item score. Incorrect and Not sure answers score zero.</t>
  </si>
  <si>
    <t>MISSING RESPONSES</t>
  </si>
  <si>
    <t>Two respondents have all nine C items missing. Item percentages and NHIMA score statistics exclude them (valid n = 356). Overall totals treat missing C items as zero and retain all 358 respondents; this reproduces the report mean 9.7 and 100/358 adequate. This is not a complete-case overall analysis.</t>
  </si>
  <si>
    <t>DENOMINATORS</t>
  </si>
  <si>
    <t>Full-sample health-insurance adequacy: 212/358 = 59.2%. NHIMA adequacy: 74/356 = 20.8%. Overall adequacy: 100/358 = 27.9%. Social-media source: 252/358 = 70.4%. Interest in more information: 158/354 = 44.6%; four responses missing.</t>
  </si>
  <si>
    <t>SOURCE QUESTIONS</t>
  </si>
  <si>
    <t>F2 is multi-select. The eight named options are matched as complete strings because commas also occur within the social-media label. Source percentages may exceed 100% in total. F3 is nominally single-source but contains multiple-source and free-text responses; the original is retained and a transparent normalised grouping is provided.</t>
  </si>
  <si>
    <t>F3 NORMALISATION</t>
  </si>
  <si>
    <t>Case-insensitive keyword matching: radio/TV/television; newspaper/print; social/socil; family; friend; school/lecture; NHIMA; health facility. Two or more matched groups = Multiple sources; non/none/not received = No information; unmatched text = Other / unclear; blank = Missing. This may differ from the report normalisation, so F3 association tests are not recreated.</t>
  </si>
  <si>
    <t>DEMOGRAPHIC CAVEATS</t>
  </si>
  <si>
    <t>Age entries mix individual ages, ranges and multiple ranges. The original age response is retained; no midpoint or continuous-age conversion was imposed. Registration refers to any health-insurance scheme, not specifically NHIMA.</t>
  </si>
  <si>
    <t>STATISTICAL INTERPRETATION</t>
  </si>
  <si>
    <t>Programme (p = 0.0067) and registration (p = 0.0008) show full-sample unadjusted associations with overall adequacy. Sex and year are not significant at 5%. No causal inference or generalisation to all UNZA students is warranted from this campus sample.</t>
  </si>
  <si>
    <t>SEX TEST RECONCILIATION</t>
  </si>
  <si>
    <t>The report lists sex chi-square 0.66, p = 0.4153. Those values are reproduced by Yates-corrected chi-square (0.6637, p = 0.4153). Uncorrected Pearson gives 0.8697, p = 0.3511. The report methods call the tests Pearson; this workbook labels the correction explicitly.</t>
  </si>
  <si>
    <t>SUPPLEMENTARY REPORT TESTS</t>
  </si>
  <si>
    <t>The report also gives age response group: chi-square 35.62, df 14, p = 0.0012; most useful source (normalised): chi-square 30.88, df 9, p = 0.0003. These are report-only findings with sparse cells and are not recreated in the core association table. The exploratory adjusted logistic model mentioned in the PDF was not supplied and is not reconstructed here.</t>
  </si>
  <si>
    <t>DATA QUALITY</t>
  </si>
  <si>
    <t>358 records; one source worksheet. No exact duplicate records; timestamps unique. Demographics and B/D/E responses complete. Two missing responses per C item; eight missing F3 and four missing F4. Blank inputs remain blank; text is trimmed; Boolean Excel cells are normalised to True/False labels without changing meaning.</t>
  </si>
  <si>
    <t>POLICY VALIDATION</t>
  </si>
  <si>
    <t>The answer key was inferred from the questionnaire wording and reconciles to the report. It has not been externally verified against current NHIMA rules. Confirm policy-specific items against the protocol and benefit package before thesis submission or policy use. Benefits may depend on accreditation, referrals, contribution compliance, authorisation and benefit limits.</t>
  </si>
  <si>
    <t>UPDATING</t>
  </si>
  <si>
    <t>Yellow Codebook cells allow answer-key and threshold edits; formula-linked scores, summaries, charts and core tests recalculate in Excel. F3 normalisation is a fixed cleaned field. The workbook covers the 358 supplied records: adding new survey rows requires extending formulas and summary ranges. It contains no macros or external data links.</t>
  </si>
  <si>
    <t>SOURCE FILES</t>
  </si>
  <si>
    <t>KnowledgeandAwarenessofHealthInsuranceAmongUNZAStudents(RidgewayCampus)(Responses).xlsx; UNZA_health_insurance_analysis_report.pdf (analysis date 2 October 2026). Original attachments were not modified. Workbook created 6 October 2026. Survey timestamps: 21 August to 29 September 2026.</t>
  </si>
  <si>
    <t>PRACTICAL ACTIONS</t>
  </si>
  <si>
    <t>Prioritise a short NHIMA orientation at Ridgeway Campus. Use social media to clarify benefit scope, accredited-facility access and exclusions. Correct specific misconceptions rather than relying only on broad awareness messages. Repeat the survey after an intervention using a validated, consistent scoring key.</t>
  </si>
  <si>
    <t>RESPONDENTS</t>
  </si>
  <si>
    <t>ADEQUATE OVERALL</t>
  </si>
  <si>
    <t>MEAN OVERALL SCORE</t>
  </si>
  <si>
    <t>ADEQUATE NHIMA</t>
  </si>
  <si>
    <t>HEALTH-INSURANCE ADEQUACY</t>
  </si>
  <si>
    <t>REGISTERED WITH INSURANCE</t>
  </si>
  <si>
    <t>SOCIAL-MEDIA REACH</t>
  </si>
  <si>
    <t>BENEFITS + LIMITATIONS</t>
  </si>
  <si>
    <t>Nursing</t>
  </si>
  <si>
    <t>Other health sciences</t>
  </si>
  <si>
    <t>C8 | Curative-only coverage</t>
  </si>
  <si>
    <t>B2 | Reimbursement only</t>
  </si>
  <si>
    <t>C7 | Any facility access</t>
  </si>
  <si>
    <t>B9 | All schemes accepted</t>
  </si>
  <si>
    <t>B3 | For sick people only</t>
  </si>
  <si>
    <t>Rates use selected valid respondents. Programme rates are descriptive; full-sample tests are on Associations.</t>
  </si>
  <si>
    <t>Priority items are the five lowest B/C items in the full sample; cohort filters update their rates, not the selected item set. F2 sources are multi-select.</t>
  </si>
  <si>
    <t>Interpretation &amp; next steps</t>
  </si>
  <si>
    <t>Provisional scoring key: validate policy-specific NHIMA answers before final use. NHIMA valid n = 356; overall n = 358 retains two incomplete C blocks with missing items scored zero.</t>
  </si>
  <si>
    <t>Item results</t>
  </si>
  <si>
    <t>Associations</t>
  </si>
  <si>
    <t>Notes</t>
  </si>
  <si>
    <t>Responses</t>
  </si>
  <si>
    <t>Codebook</t>
  </si>
  <si>
    <t>Sources: supplied response workbook + UNZA analysis report dated 02 Oct 2026. Created 06 Oct 2026. All charts and formulas are native Excel; no macros.</t>
  </si>
</sst>
</file>

<file path=xl/styles.xml><?xml version="1.0" encoding="utf-8"?>
<styleSheet xmlns="http://schemas.openxmlformats.org/spreadsheetml/2006/main">
  <numFmts count="6">
    <numFmt numFmtId="164" formatCode="#,##0"/>
    <numFmt numFmtId="165" formatCode="0.0%"/>
    <numFmt numFmtId="166" formatCode="0.0"/>
    <numFmt numFmtId="167" formatCode="0.0&quot; /14&quot;"/>
    <numFmt numFmtId="168" formatCode="0.0000"/>
    <numFmt numFmtId="169" formatCode="dd mmm yyyy hh:mm"/>
  </numFmts>
  <fonts count="16">
    <font>
      <sz val="11"/>
      <color theme="1"/>
      <name val="Calibri"/>
      <family val="2"/>
      <scheme val="minor"/>
    </font>
    <font>
      <b/>
      <sz val="22"/>
      <color rgb="FFFFFFFF"/>
      <name val="Georgia"/>
      <family val="2"/>
    </font>
    <font>
      <sz val="10"/>
      <color rgb="FF647578"/>
      <name val="Calibri"/>
      <family val="2"/>
      <scheme val="minor"/>
    </font>
    <font>
      <b/>
      <sz val="10"/>
      <color rgb="FF1A5F5F"/>
      <name val="Calibri"/>
      <family val="2"/>
      <scheme val="minor"/>
    </font>
    <font>
      <b/>
      <sz val="11"/>
      <color rgb="FF1A5F5F"/>
      <name val="Calibri"/>
      <family val="2"/>
      <scheme val="minor"/>
    </font>
    <font>
      <b/>
      <sz val="10"/>
      <color rgb="FF163D42"/>
      <name val="Calibri"/>
      <family val="2"/>
      <scheme val="minor"/>
    </font>
    <font>
      <b/>
      <sz val="28"/>
      <color rgb="FF163D42"/>
      <name val="Calibri"/>
      <family val="2"/>
      <scheme val="minor"/>
    </font>
    <font>
      <sz val="9"/>
      <color rgb="FF647578"/>
      <name val="Calibri"/>
      <family val="2"/>
      <scheme val="minor"/>
    </font>
    <font>
      <b/>
      <sz val="18"/>
      <color rgb="FF1A5F5F"/>
      <name val="Calibri"/>
      <family val="2"/>
      <scheme val="minor"/>
    </font>
    <font>
      <b/>
      <sz val="13"/>
      <color rgb="FF1A5F5F"/>
      <name val="Georgia"/>
      <family val="2"/>
    </font>
    <font>
      <sz val="10"/>
      <color rgb="FF815F22"/>
      <name val="Calibri"/>
      <family val="2"/>
      <scheme val="minor"/>
    </font>
    <font>
      <b/>
      <u/>
      <sz val="10"/>
      <color rgb="FF1A5F5F"/>
      <name val="Calibri"/>
      <family val="2"/>
      <scheme val="minor"/>
    </font>
    <font>
      <b/>
      <sz val="10"/>
      <color rgb="FFFFFFFF"/>
      <name val="Georgia"/>
      <family val="2"/>
    </font>
    <font>
      <sz val="11"/>
      <color rgb="FF163D42"/>
      <name val="Calibri"/>
      <family val="2"/>
      <scheme val="minor"/>
    </font>
    <font>
      <b/>
      <sz val="11"/>
      <color rgb="FF163D42"/>
      <name val="Calibri"/>
      <family val="2"/>
      <scheme val="minor"/>
    </font>
    <font>
      <sz val="8"/>
      <color indexed="81"/>
      <name val="Tahoma"/>
      <family val="2"/>
    </font>
  </fonts>
  <fills count="7">
    <fill>
      <patternFill patternType="none"/>
    </fill>
    <fill>
      <patternFill patternType="gray125"/>
    </fill>
    <fill>
      <patternFill patternType="solid">
        <fgColor rgb="FF1A5F5F"/>
        <bgColor indexed="64"/>
      </patternFill>
    </fill>
    <fill>
      <patternFill patternType="solid">
        <fgColor rgb="FFFFFDE7"/>
        <bgColor indexed="64"/>
      </patternFill>
    </fill>
    <fill>
      <patternFill patternType="solid">
        <fgColor rgb="FFD3E5E5"/>
        <bgColor indexed="64"/>
      </patternFill>
    </fill>
    <fill>
      <patternFill patternType="solid">
        <fgColor rgb="FFFFFFFF"/>
        <bgColor indexed="64"/>
      </patternFill>
    </fill>
    <fill>
      <patternFill patternType="solid">
        <fgColor rgb="FFFFF3DA"/>
        <bgColor indexed="64"/>
      </patternFill>
    </fill>
  </fills>
  <borders count="5">
    <border>
      <left/>
      <right/>
      <top/>
      <bottom/>
      <diagonal/>
    </border>
    <border>
      <left style="thin">
        <color rgb="FFB6C8C8"/>
      </left>
      <right style="thin">
        <color rgb="FFB6C8C8"/>
      </right>
      <top style="thin">
        <color rgb="FFB6C8C8"/>
      </top>
      <bottom style="thin">
        <color rgb="FFB6C8C8"/>
      </bottom>
      <diagonal/>
    </border>
    <border>
      <left/>
      <right/>
      <top/>
      <bottom style="medium">
        <color rgb="FF1A5F5F"/>
      </bottom>
      <diagonal/>
    </border>
    <border>
      <left/>
      <right/>
      <top/>
      <bottom style="thin">
        <color rgb="FFD9E3E3"/>
      </bottom>
      <diagonal/>
    </border>
    <border>
      <left style="thin">
        <color rgb="FFD9E3E3"/>
      </left>
      <right style="thin">
        <color rgb="FFD9E3E3"/>
      </right>
      <top style="thin">
        <color rgb="FFD9E3E3"/>
      </top>
      <bottom style="thin">
        <color rgb="FFD9E3E3"/>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0" borderId="0" xfId="0" applyFont="1" applyAlignment="1">
      <alignment vertical="center"/>
    </xf>
    <xf numFmtId="0" fontId="3"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5" fillId="4" borderId="0" xfId="0" applyFont="1" applyFill="1" applyAlignment="1">
      <alignment horizontal="center" vertical="center"/>
    </xf>
    <xf numFmtId="164" fontId="6" fillId="5" borderId="0" xfId="0" applyNumberFormat="1" applyFont="1" applyFill="1" applyAlignment="1">
      <alignment horizontal="center" vertical="center"/>
    </xf>
    <xf numFmtId="165" fontId="6" fillId="5" borderId="0" xfId="0" applyNumberFormat="1" applyFont="1" applyFill="1" applyAlignment="1">
      <alignment horizontal="center" vertical="center"/>
    </xf>
    <xf numFmtId="166" fontId="6" fillId="5" borderId="0" xfId="0" applyNumberFormat="1" applyFont="1" applyFill="1" applyAlignment="1">
      <alignment horizontal="center" vertical="center"/>
    </xf>
    <xf numFmtId="0" fontId="7" fillId="5" borderId="0" xfId="0" applyFont="1" applyFill="1" applyAlignment="1">
      <alignment horizontal="center" vertical="center"/>
    </xf>
    <xf numFmtId="165" fontId="8" fillId="5" borderId="0" xfId="0" applyNumberFormat="1" applyFont="1" applyFill="1" applyAlignment="1">
      <alignment horizontal="center" vertical="center"/>
    </xf>
    <xf numFmtId="167" fontId="8" fillId="5" borderId="0" xfId="0" applyNumberFormat="1" applyFont="1" applyFill="1" applyAlignment="1">
      <alignment horizontal="center" vertical="center"/>
    </xf>
    <xf numFmtId="0" fontId="9" fillId="4" borderId="0" xfId="0" applyFont="1" applyFill="1" applyAlignment="1">
      <alignment vertical="center"/>
    </xf>
    <xf numFmtId="0" fontId="10" fillId="6" borderId="0" xfId="0" applyFont="1" applyFill="1" applyAlignment="1">
      <alignment vertical="center" wrapText="1"/>
    </xf>
    <xf numFmtId="0" fontId="11" fillId="0" borderId="0" xfId="0" applyFont="1" applyAlignment="1">
      <alignment vertical="center"/>
    </xf>
    <xf numFmtId="0" fontId="12" fillId="2" borderId="2" xfId="0" applyFont="1" applyFill="1" applyBorder="1" applyAlignment="1">
      <alignment horizontal="center" vertical="center" wrapText="1"/>
    </xf>
    <xf numFmtId="0" fontId="13" fillId="0" borderId="3" xfId="0" applyFont="1" applyBorder="1" applyAlignment="1">
      <alignment vertical="center" wrapText="1"/>
    </xf>
    <xf numFmtId="164" fontId="13" fillId="0" borderId="3" xfId="0" applyNumberFormat="1" applyFont="1" applyBorder="1" applyAlignment="1">
      <alignment horizontal="right" vertical="center"/>
    </xf>
    <xf numFmtId="165" fontId="13" fillId="0" borderId="3" xfId="0" applyNumberFormat="1" applyFont="1" applyBorder="1" applyAlignment="1">
      <alignment horizontal="right" vertical="center"/>
    </xf>
    <xf numFmtId="166" fontId="13" fillId="0" borderId="3" xfId="0" applyNumberFormat="1" applyFont="1" applyBorder="1" applyAlignment="1">
      <alignment horizontal="right" vertical="center"/>
    </xf>
    <xf numFmtId="0" fontId="13" fillId="0" borderId="3" xfId="0" applyFont="1" applyBorder="1" applyAlignment="1">
      <alignment horizontal="center" vertical="center"/>
    </xf>
    <xf numFmtId="168" fontId="13" fillId="0" borderId="3" xfId="0" applyNumberFormat="1" applyFont="1" applyBorder="1" applyAlignment="1">
      <alignment horizontal="right" vertical="center"/>
    </xf>
    <xf numFmtId="169" fontId="13" fillId="0" borderId="3" xfId="0" applyNumberFormat="1" applyFont="1" applyBorder="1" applyAlignment="1">
      <alignment horizontal="center" vertical="center"/>
    </xf>
    <xf numFmtId="0" fontId="14" fillId="3" borderId="4" xfId="0" applyFont="1" applyFill="1" applyBorder="1" applyAlignment="1">
      <alignment horizontal="center" vertical="center"/>
    </xf>
  </cellXfs>
  <cellStyles count="1">
    <cellStyle name="Normal" xfId="0" builtinId="0"/>
  </cellStyles>
  <dxfs count="1">
    <dxf>
      <font>
        <b/>
        <color rgb="FF1A5F5F"/>
      </font>
      <numFmt numFmtId="168" formatCode="0.0000"/>
      <fill>
        <patternFill>
          <bgColor rgb="FFD3E5E5"/>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sz="1200" b="1" baseline="0">
                <a:solidFill>
                  <a:srgbClr val="1A5F5F"/>
                </a:solidFill>
                <a:latin typeface="Georgia"/>
              </a:defRPr>
            </a:pPr>
            <a:r>
              <a:rPr lang="en-US" sz="1200" b="1" baseline="0">
                <a:solidFill>
                  <a:srgbClr val="1A5F5F"/>
                </a:solidFill>
                <a:latin typeface="Georgia"/>
              </a:rPr>
              <a:t>Adequacy by knowledge domain</a:t>
            </a:r>
          </a:p>
        </c:rich>
      </c:tx>
      <c:layout/>
    </c:title>
    <c:plotArea>
      <c:layout>
        <c:manualLayout>
          <c:layoutTarget val="inner"/>
          <c:xMode val="edge"/>
          <c:yMode val="edge"/>
          <c:x val="0.33000000000000002"/>
          <c:y val="0.29999999999999999"/>
          <c:w val="0.58999999999999997"/>
          <c:h val="0.59999999999999998"/>
        </c:manualLayout>
      </c:layout>
      <c:barChart>
        <c:barDir val="bar"/>
        <c:grouping val="clustered"/>
        <c:ser>
          <c:idx val="0"/>
          <c:order val="0"/>
          <c:tx>
            <c:v>Adequacy by knowledge domain</c:v>
          </c:tx>
          <c:spPr>
            <a:solidFill>
              <a:srgbClr val="1A5F5F"/>
            </a:solidFill>
            <a:ln>
              <a:noFill/>
            </a:ln>
          </c:spPr>
          <c:dLbls>
            <c:numFmt formatCode="0.0%" sourceLinked="0"/>
            <c:txPr>
              <a:bodyPr/>
              <a:lstStyle/>
              <a:p>
                <a:pPr>
                  <a:defRPr sz="900" baseline="0">
                    <a:solidFill>
                      <a:srgbClr val="163D42"/>
                    </a:solidFill>
                    <a:latin typeface="Calibri"/>
                  </a:defRPr>
                </a:pPr>
                <a:endParaRPr lang="en-US"/>
              </a:p>
            </c:txPr>
            <c:showVal val="1"/>
          </c:dLbls>
          <c:cat>
            <c:strRef>
              <c:f>'Cohort analysis'!$K$34:$K$36</c:f>
              <c:strCache>
                <c:ptCount val="3"/>
                <c:pt idx="0">
                  <c:v>Health insurance</c:v>
                </c:pt>
                <c:pt idx="1">
                  <c:v>NHIMA awareness</c:v>
                </c:pt>
                <c:pt idx="2">
                  <c:v>Overall</c:v>
                </c:pt>
              </c:strCache>
            </c:strRef>
          </c:cat>
          <c:val>
            <c:numRef>
              <c:f>'Cohort analysis'!$E$34:$E$36</c:f>
              <c:numCache>
                <c:formatCode>General</c:formatCode>
                <c:ptCount val="3"/>
                <c:pt idx="0">
                  <c:v>0.5921787709497207</c:v>
                </c:pt>
                <c:pt idx="1">
                  <c:v>0.20786516853932585</c:v>
                </c:pt>
                <c:pt idx="2">
                  <c:v>0.27932960893854747</c:v>
                </c:pt>
              </c:numCache>
            </c:numRef>
          </c:val>
        </c:ser>
        <c:axId val="50010001"/>
        <c:axId val="50010002"/>
      </c:barChart>
      <c:catAx>
        <c:axId val="50010001"/>
        <c:scaling>
          <c:orientation val="maxMin"/>
        </c:scaling>
        <c:axPos val="l"/>
        <c:majorTickMark val="none"/>
        <c:tickLblPos val="nextTo"/>
        <c:spPr>
          <a:ln>
            <a:noFill/>
          </a:ln>
        </c:spPr>
        <c:txPr>
          <a:bodyPr/>
          <a:lstStyle/>
          <a:p>
            <a:pPr>
              <a:defRPr sz="900" baseline="0">
                <a:solidFill>
                  <a:srgbClr val="163D42"/>
                </a:solidFill>
                <a:latin typeface="Calibri"/>
              </a:defRPr>
            </a:pPr>
            <a:endParaRPr lang="en-US"/>
          </a:p>
        </c:txPr>
        <c:crossAx val="50010002"/>
        <c:crosses val="autoZero"/>
        <c:auto val="1"/>
        <c:lblAlgn val="ctr"/>
        <c:lblOffset val="100"/>
        <c:tickLblSkip val="1"/>
      </c:catAx>
      <c:valAx>
        <c:axId val="50010002"/>
        <c:scaling>
          <c:orientation val="minMax"/>
          <c:max val="1"/>
          <c:min val="0"/>
        </c:scaling>
        <c:axPos val="t"/>
        <c:majorGridlines>
          <c:spPr>
            <a:ln>
              <a:solidFill>
                <a:srgbClr val="E8EEEE"/>
              </a:solidFill>
            </a:ln>
          </c:spPr>
        </c:majorGridlines>
        <c:numFmt formatCode="0%" sourceLinked="0"/>
        <c:tickLblPos val="nextTo"/>
        <c:spPr>
          <a:ln>
            <a:noFill/>
          </a:ln>
        </c:spPr>
        <c:txPr>
          <a:bodyPr/>
          <a:lstStyle/>
          <a:p>
            <a:pPr>
              <a:defRPr sz="900" baseline="0">
                <a:solidFill>
                  <a:srgbClr val="647578"/>
                </a:solidFill>
                <a:latin typeface="Calibri"/>
              </a:defRPr>
            </a:pPr>
            <a:endParaRPr lang="en-US"/>
          </a:p>
        </c:txPr>
        <c:crossAx val="50010001"/>
        <c:crosses val="autoZero"/>
        <c:crossBetween val="between"/>
        <c:majorUnit val="0.25"/>
      </c:valAx>
      <c:spPr>
        <a:solidFill>
          <a:srgbClr val="FFFFFF"/>
        </a:solidFill>
        <a:ln>
          <a:noFill/>
        </a:ln>
      </c:spPr>
    </c:plotArea>
  </c:chart>
  <c:spPr>
    <a:solidFill>
      <a:srgbClr val="FFFFFF"/>
    </a:solidFill>
    <a:ln>
      <a:solidFill>
        <a:srgbClr val="D9E3E3"/>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sz="1200" b="1" baseline="0">
                <a:solidFill>
                  <a:srgbClr val="1A5F5F"/>
                </a:solidFill>
                <a:latin typeface="Georgia"/>
              </a:defRPr>
            </a:pPr>
            <a:r>
              <a:rPr lang="en-US" sz="1200" b="1" baseline="0">
                <a:solidFill>
                  <a:srgbClr val="1A5F5F"/>
                </a:solidFill>
                <a:latin typeface="Georgia"/>
              </a:rPr>
              <a:t>Overall adequacy by programme</a:t>
            </a:r>
          </a:p>
        </c:rich>
      </c:tx>
      <c:layout/>
    </c:title>
    <c:plotArea>
      <c:layout>
        <c:manualLayout>
          <c:layoutTarget val="inner"/>
          <c:xMode val="edge"/>
          <c:yMode val="edge"/>
          <c:x val="0.33000000000000002"/>
          <c:y val="0.29999999999999999"/>
          <c:w val="0.58999999999999997"/>
          <c:h val="0.59999999999999998"/>
        </c:manualLayout>
      </c:layout>
      <c:barChart>
        <c:barDir val="bar"/>
        <c:grouping val="clustered"/>
        <c:ser>
          <c:idx val="0"/>
          <c:order val="0"/>
          <c:tx>
            <c:v>Overall adequacy by programme</c:v>
          </c:tx>
          <c:spPr>
            <a:solidFill>
              <a:srgbClr val="1A5F5F"/>
            </a:solidFill>
            <a:ln>
              <a:noFill/>
            </a:ln>
          </c:spPr>
          <c:dLbls>
            <c:numFmt formatCode="0.0%" sourceLinked="0"/>
            <c:txPr>
              <a:bodyPr/>
              <a:lstStyle/>
              <a:p>
                <a:pPr>
                  <a:defRPr sz="900" baseline="0">
                    <a:solidFill>
                      <a:srgbClr val="163D42"/>
                    </a:solidFill>
                    <a:latin typeface="Calibri"/>
                  </a:defRPr>
                </a:pPr>
                <a:endParaRPr lang="en-US"/>
              </a:p>
            </c:txPr>
            <c:showVal val="1"/>
          </c:dLbls>
          <c:cat>
            <c:strRef>
              <c:f>'Cohort analysis'!$K$42:$K$46</c:f>
              <c:strCache>
                <c:ptCount val="5"/>
                <c:pt idx="0">
                  <c:v>Public Health</c:v>
                </c:pt>
                <c:pt idx="1">
                  <c:v>Medicine</c:v>
                </c:pt>
                <c:pt idx="2">
                  <c:v>Nursing</c:v>
                </c:pt>
                <c:pt idx="3">
                  <c:v>Pharmacy</c:v>
                </c:pt>
                <c:pt idx="4">
                  <c:v>Other health sciences</c:v>
                </c:pt>
              </c:strCache>
            </c:strRef>
          </c:cat>
          <c:val>
            <c:numRef>
              <c:f>'Cohort analysis'!$E$42:$E$46</c:f>
              <c:numCache>
                <c:formatCode>General</c:formatCode>
                <c:ptCount val="5"/>
                <c:pt idx="0">
                  <c:v>0.3684210526315789</c:v>
                </c:pt>
                <c:pt idx="1">
                  <c:v>0.34545454545454546</c:v>
                </c:pt>
                <c:pt idx="2">
                  <c:v>0.275</c:v>
                </c:pt>
                <c:pt idx="3">
                  <c:v>0.265625</c:v>
                </c:pt>
                <c:pt idx="4">
                  <c:v>0.109375</c:v>
                </c:pt>
              </c:numCache>
            </c:numRef>
          </c:val>
        </c:ser>
        <c:axId val="50020001"/>
        <c:axId val="50020002"/>
      </c:barChart>
      <c:catAx>
        <c:axId val="50020001"/>
        <c:scaling>
          <c:orientation val="maxMin"/>
        </c:scaling>
        <c:axPos val="l"/>
        <c:majorTickMark val="none"/>
        <c:tickLblPos val="nextTo"/>
        <c:spPr>
          <a:ln>
            <a:noFill/>
          </a:ln>
        </c:spPr>
        <c:txPr>
          <a:bodyPr/>
          <a:lstStyle/>
          <a:p>
            <a:pPr>
              <a:defRPr sz="900" baseline="0">
                <a:solidFill>
                  <a:srgbClr val="163D42"/>
                </a:solidFill>
                <a:latin typeface="Calibri"/>
              </a:defRPr>
            </a:pPr>
            <a:endParaRPr lang="en-US"/>
          </a:p>
        </c:txPr>
        <c:crossAx val="50020002"/>
        <c:crosses val="autoZero"/>
        <c:auto val="1"/>
        <c:lblAlgn val="ctr"/>
        <c:lblOffset val="100"/>
        <c:tickLblSkip val="1"/>
      </c:catAx>
      <c:valAx>
        <c:axId val="50020002"/>
        <c:scaling>
          <c:orientation val="minMax"/>
          <c:max val="1"/>
          <c:min val="0"/>
        </c:scaling>
        <c:axPos val="t"/>
        <c:majorGridlines>
          <c:spPr>
            <a:ln>
              <a:solidFill>
                <a:srgbClr val="E8EEEE"/>
              </a:solidFill>
            </a:ln>
          </c:spPr>
        </c:majorGridlines>
        <c:numFmt formatCode="0%" sourceLinked="0"/>
        <c:tickLblPos val="nextTo"/>
        <c:spPr>
          <a:ln>
            <a:noFill/>
          </a:ln>
        </c:spPr>
        <c:txPr>
          <a:bodyPr/>
          <a:lstStyle/>
          <a:p>
            <a:pPr>
              <a:defRPr sz="900" baseline="0">
                <a:solidFill>
                  <a:srgbClr val="647578"/>
                </a:solidFill>
                <a:latin typeface="Calibri"/>
              </a:defRPr>
            </a:pPr>
            <a:endParaRPr lang="en-US"/>
          </a:p>
        </c:txPr>
        <c:crossAx val="50020001"/>
        <c:crosses val="autoZero"/>
        <c:crossBetween val="between"/>
        <c:majorUnit val="0.25"/>
      </c:valAx>
      <c:spPr>
        <a:solidFill>
          <a:srgbClr val="FFFFFF"/>
        </a:solidFill>
        <a:ln>
          <a:noFill/>
        </a:ln>
      </c:spPr>
    </c:plotArea>
  </c:chart>
  <c:spPr>
    <a:solidFill>
      <a:srgbClr val="FFFFFF"/>
    </a:solidFill>
    <a:ln>
      <a:solidFill>
        <a:srgbClr val="D9E3E3"/>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sz="1200" b="1" baseline="0">
                <a:solidFill>
                  <a:srgbClr val="1A5F5F"/>
                </a:solidFill>
                <a:latin typeface="Georgia"/>
              </a:defRPr>
            </a:pPr>
            <a:r>
              <a:rPr lang="en-US" sz="1200" b="1" baseline="0">
                <a:solidFill>
                  <a:srgbClr val="1A5F5F"/>
                </a:solidFill>
                <a:latin typeface="Georgia"/>
              </a:rPr>
              <a:t>Five priority misconceptions | % correct</a:t>
            </a:r>
          </a:p>
        </c:rich>
      </c:tx>
      <c:layout/>
    </c:title>
    <c:plotArea>
      <c:layout>
        <c:manualLayout>
          <c:layoutTarget val="inner"/>
          <c:xMode val="edge"/>
          <c:yMode val="edge"/>
          <c:x val="0.33000000000000002"/>
          <c:y val="0.29999999999999999"/>
          <c:w val="0.58999999999999997"/>
          <c:h val="0.59999999999999998"/>
        </c:manualLayout>
      </c:layout>
      <c:barChart>
        <c:barDir val="bar"/>
        <c:grouping val="clustered"/>
        <c:ser>
          <c:idx val="0"/>
          <c:order val="0"/>
          <c:tx>
            <c:v>Five priority misconceptions | % correct</c:v>
          </c:tx>
          <c:spPr>
            <a:solidFill>
              <a:srgbClr val="D49A35"/>
            </a:solidFill>
            <a:ln>
              <a:noFill/>
            </a:ln>
          </c:spPr>
          <c:dLbls>
            <c:numFmt formatCode="0.0%" sourceLinked="0"/>
            <c:txPr>
              <a:bodyPr/>
              <a:lstStyle/>
              <a:p>
                <a:pPr>
                  <a:defRPr sz="900" baseline="0">
                    <a:solidFill>
                      <a:srgbClr val="163D42"/>
                    </a:solidFill>
                    <a:latin typeface="Calibri"/>
                  </a:defRPr>
                </a:pPr>
                <a:endParaRPr lang="en-US"/>
              </a:p>
            </c:txPr>
            <c:showVal val="1"/>
          </c:dLbls>
          <c:cat>
            <c:strRef>
              <c:f>'Item results'!$O$46:$O$50</c:f>
              <c:strCache>
                <c:ptCount val="5"/>
                <c:pt idx="0">
                  <c:v>C8 | Curative-only coverage</c:v>
                </c:pt>
                <c:pt idx="1">
                  <c:v>B2 | Reimbursement only</c:v>
                </c:pt>
                <c:pt idx="2">
                  <c:v>C7 | Any facility access</c:v>
                </c:pt>
                <c:pt idx="3">
                  <c:v>B9 | All schemes accepted</c:v>
                </c:pt>
                <c:pt idx="4">
                  <c:v>B3 | For sick people only</c:v>
                </c:pt>
              </c:strCache>
            </c:strRef>
          </c:cat>
          <c:val>
            <c:numRef>
              <c:f>'Item results'!$C$46:$C$50</c:f>
              <c:numCache>
                <c:formatCode>General</c:formatCode>
                <c:ptCount val="5"/>
                <c:pt idx="0">
                  <c:v>0.11797752808988764</c:v>
                </c:pt>
                <c:pt idx="1">
                  <c:v>0.1564245810055866</c:v>
                </c:pt>
                <c:pt idx="2">
                  <c:v>0.21348314606741572</c:v>
                </c:pt>
                <c:pt idx="3">
                  <c:v>0.2206703910614525</c:v>
                </c:pt>
                <c:pt idx="4">
                  <c:v>0.23184357541899442</c:v>
                </c:pt>
              </c:numCache>
            </c:numRef>
          </c:val>
        </c:ser>
        <c:axId val="50030001"/>
        <c:axId val="50030002"/>
      </c:barChart>
      <c:catAx>
        <c:axId val="50030001"/>
        <c:scaling>
          <c:orientation val="maxMin"/>
        </c:scaling>
        <c:axPos val="l"/>
        <c:majorTickMark val="none"/>
        <c:tickLblPos val="nextTo"/>
        <c:spPr>
          <a:ln>
            <a:noFill/>
          </a:ln>
        </c:spPr>
        <c:txPr>
          <a:bodyPr/>
          <a:lstStyle/>
          <a:p>
            <a:pPr>
              <a:defRPr sz="900" baseline="0">
                <a:solidFill>
                  <a:srgbClr val="163D42"/>
                </a:solidFill>
                <a:latin typeface="Calibri"/>
              </a:defRPr>
            </a:pPr>
            <a:endParaRPr lang="en-US"/>
          </a:p>
        </c:txPr>
        <c:crossAx val="50030002"/>
        <c:crosses val="autoZero"/>
        <c:auto val="1"/>
        <c:lblAlgn val="ctr"/>
        <c:lblOffset val="100"/>
        <c:tickLblSkip val="1"/>
      </c:catAx>
      <c:valAx>
        <c:axId val="50030002"/>
        <c:scaling>
          <c:orientation val="minMax"/>
          <c:max val="1"/>
          <c:min val="0"/>
        </c:scaling>
        <c:axPos val="t"/>
        <c:majorGridlines>
          <c:spPr>
            <a:ln>
              <a:solidFill>
                <a:srgbClr val="E8EEEE"/>
              </a:solidFill>
            </a:ln>
          </c:spPr>
        </c:majorGridlines>
        <c:numFmt formatCode="0%" sourceLinked="0"/>
        <c:tickLblPos val="nextTo"/>
        <c:spPr>
          <a:ln>
            <a:noFill/>
          </a:ln>
        </c:spPr>
        <c:txPr>
          <a:bodyPr/>
          <a:lstStyle/>
          <a:p>
            <a:pPr>
              <a:defRPr sz="900" baseline="0">
                <a:solidFill>
                  <a:srgbClr val="647578"/>
                </a:solidFill>
                <a:latin typeface="Calibri"/>
              </a:defRPr>
            </a:pPr>
            <a:endParaRPr lang="en-US"/>
          </a:p>
        </c:txPr>
        <c:crossAx val="50030001"/>
        <c:crosses val="autoZero"/>
        <c:crossBetween val="between"/>
        <c:majorUnit val="0.25"/>
      </c:valAx>
      <c:spPr>
        <a:solidFill>
          <a:srgbClr val="FFFFFF"/>
        </a:solidFill>
        <a:ln>
          <a:noFill/>
        </a:ln>
      </c:spPr>
    </c:plotArea>
  </c:chart>
  <c:spPr>
    <a:solidFill>
      <a:srgbClr val="FFFFFF"/>
    </a:solidFill>
    <a:ln>
      <a:solidFill>
        <a:srgbClr val="D9E3E3"/>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sz="1200" b="1" baseline="0">
                <a:solidFill>
                  <a:srgbClr val="1A5F5F"/>
                </a:solidFill>
                <a:latin typeface="Georgia"/>
              </a:defRPr>
            </a:pPr>
            <a:r>
              <a:rPr lang="en-US" sz="1200" b="1" baseline="0">
                <a:solidFill>
                  <a:srgbClr val="1A5F5F"/>
                </a:solidFill>
                <a:latin typeface="Georgia"/>
              </a:rPr>
              <a:t>Where students get information | reach</a:t>
            </a:r>
          </a:p>
        </c:rich>
      </c:tx>
      <c:layout/>
    </c:title>
    <c:plotArea>
      <c:layout>
        <c:manualLayout>
          <c:layoutTarget val="inner"/>
          <c:xMode val="edge"/>
          <c:yMode val="edge"/>
          <c:x val="0.33000000000000002"/>
          <c:y val="0.29999999999999999"/>
          <c:w val="0.58999999999999997"/>
          <c:h val="0.59999999999999998"/>
        </c:manualLayout>
      </c:layout>
      <c:barChart>
        <c:barDir val="bar"/>
        <c:grouping val="clustered"/>
        <c:ser>
          <c:idx val="0"/>
          <c:order val="0"/>
          <c:tx>
            <c:v>Where students get information | reach</c:v>
          </c:tx>
          <c:spPr>
            <a:solidFill>
              <a:srgbClr val="1A5F5F"/>
            </a:solidFill>
            <a:ln>
              <a:noFill/>
            </a:ln>
          </c:spPr>
          <c:dLbls>
            <c:numFmt formatCode="0.0%" sourceLinked="0"/>
            <c:txPr>
              <a:bodyPr/>
              <a:lstStyle/>
              <a:p>
                <a:pPr>
                  <a:defRPr sz="900" baseline="0">
                    <a:solidFill>
                      <a:srgbClr val="163D42"/>
                    </a:solidFill>
                    <a:latin typeface="Calibri"/>
                  </a:defRPr>
                </a:pPr>
                <a:endParaRPr lang="en-US"/>
              </a:p>
            </c:txPr>
            <c:showVal val="1"/>
          </c:dLbls>
          <c:cat>
            <c:strRef>
              <c:f>'Cohort analysis'!$B$52:$B$59</c:f>
              <c:strCache>
                <c:ptCount val="8"/>
                <c:pt idx="0">
                  <c:v>Social media</c:v>
                </c:pt>
                <c:pt idx="1">
                  <c:v>Radio / TV</c:v>
                </c:pt>
                <c:pt idx="2">
                  <c:v>Family</c:v>
                </c:pt>
                <c:pt idx="3">
                  <c:v>Friends / students</c:v>
                </c:pt>
                <c:pt idx="4">
                  <c:v>Coursework / lectures</c:v>
                </c:pt>
                <c:pt idx="5">
                  <c:v>Print media</c:v>
                </c:pt>
                <c:pt idx="6">
                  <c:v>NHIMA outreach / offices</c:v>
                </c:pt>
                <c:pt idx="7">
                  <c:v>Health facility staff</c:v>
                </c:pt>
              </c:strCache>
            </c:strRef>
          </c:cat>
          <c:val>
            <c:numRef>
              <c:f>'Cohort analysis'!$E$52:$E$59</c:f>
              <c:numCache>
                <c:formatCode>General</c:formatCode>
                <c:ptCount val="8"/>
                <c:pt idx="0">
                  <c:v>0.7039106145251397</c:v>
                </c:pt>
                <c:pt idx="1">
                  <c:v>0.6843575418994413</c:v>
                </c:pt>
                <c:pt idx="2">
                  <c:v>0.3854748603351955</c:v>
                </c:pt>
                <c:pt idx="3">
                  <c:v>0.3687150837988827</c:v>
                </c:pt>
                <c:pt idx="4">
                  <c:v>0.25977653631284914</c:v>
                </c:pt>
                <c:pt idx="5">
                  <c:v>0.24022346368715083</c:v>
                </c:pt>
                <c:pt idx="6">
                  <c:v>0.1340782122905028</c:v>
                </c:pt>
                <c:pt idx="7">
                  <c:v>0.12011173184357542</c:v>
                </c:pt>
              </c:numCache>
            </c:numRef>
          </c:val>
        </c:ser>
        <c:axId val="50040001"/>
        <c:axId val="50040002"/>
      </c:barChart>
      <c:catAx>
        <c:axId val="50040001"/>
        <c:scaling>
          <c:orientation val="maxMin"/>
        </c:scaling>
        <c:axPos val="l"/>
        <c:majorTickMark val="none"/>
        <c:tickLblPos val="nextTo"/>
        <c:spPr>
          <a:ln>
            <a:noFill/>
          </a:ln>
        </c:spPr>
        <c:txPr>
          <a:bodyPr/>
          <a:lstStyle/>
          <a:p>
            <a:pPr>
              <a:defRPr sz="900" baseline="0">
                <a:solidFill>
                  <a:srgbClr val="163D42"/>
                </a:solidFill>
                <a:latin typeface="Calibri"/>
              </a:defRPr>
            </a:pPr>
            <a:endParaRPr lang="en-US"/>
          </a:p>
        </c:txPr>
        <c:crossAx val="50040002"/>
        <c:crosses val="autoZero"/>
        <c:auto val="1"/>
        <c:lblAlgn val="ctr"/>
        <c:lblOffset val="100"/>
        <c:tickLblSkip val="1"/>
      </c:catAx>
      <c:valAx>
        <c:axId val="50040002"/>
        <c:scaling>
          <c:orientation val="minMax"/>
          <c:max val="1"/>
          <c:min val="0"/>
        </c:scaling>
        <c:axPos val="t"/>
        <c:majorGridlines>
          <c:spPr>
            <a:ln>
              <a:solidFill>
                <a:srgbClr val="E8EEEE"/>
              </a:solidFill>
            </a:ln>
          </c:spPr>
        </c:majorGridlines>
        <c:numFmt formatCode="0%" sourceLinked="0"/>
        <c:tickLblPos val="nextTo"/>
        <c:spPr>
          <a:ln>
            <a:noFill/>
          </a:ln>
        </c:spPr>
        <c:txPr>
          <a:bodyPr/>
          <a:lstStyle/>
          <a:p>
            <a:pPr>
              <a:defRPr sz="900" baseline="0">
                <a:solidFill>
                  <a:srgbClr val="647578"/>
                </a:solidFill>
                <a:latin typeface="Calibri"/>
              </a:defRPr>
            </a:pPr>
            <a:endParaRPr lang="en-US"/>
          </a:p>
        </c:txPr>
        <c:crossAx val="50040001"/>
        <c:crosses val="autoZero"/>
        <c:crossBetween val="between"/>
        <c:majorUnit val="0.25"/>
      </c:valAx>
      <c:spPr>
        <a:solidFill>
          <a:srgbClr val="FFFFFF"/>
        </a:solidFill>
        <a:ln>
          <a:noFill/>
        </a:ln>
      </c:spPr>
    </c:plotArea>
    <c:plotVisOnly val="1"/>
  </c:chart>
  <c:spPr>
    <a:solidFill>
      <a:srgbClr val="FFFFFF"/>
    </a:solidFill>
    <a:ln>
      <a:solidFill>
        <a:srgbClr val="D9E3E3"/>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38100</xdr:rowOff>
    </xdr:from>
    <xdr:to>
      <xdr:col>8</xdr:col>
      <xdr:colOff>200025</xdr:colOff>
      <xdr:row>26</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16</xdr:row>
      <xdr:rowOff>38100</xdr:rowOff>
    </xdr:from>
    <xdr:to>
      <xdr:col>16</xdr:col>
      <xdr:colOff>200025</xdr:colOff>
      <xdr:row>26</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30</xdr:row>
      <xdr:rowOff>38100</xdr:rowOff>
    </xdr:from>
    <xdr:to>
      <xdr:col>8</xdr:col>
      <xdr:colOff>200025</xdr:colOff>
      <xdr:row>40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30</xdr:row>
      <xdr:rowOff>38100</xdr:rowOff>
    </xdr:from>
    <xdr:to>
      <xdr:col>16</xdr:col>
      <xdr:colOff>200025</xdr:colOff>
      <xdr:row>40</xdr:row>
      <xdr:rowOff>76200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ItemResults" displayName="ItemResults" ref="B7:M40" totalsRowShown="0">
  <autoFilter ref="B7:M40"/>
  <tableColumns count="12">
    <tableColumn id="1" name="Item"/>
    <tableColumn id="2" name="Domain"/>
    <tableColumn id="3" name="Question / concept"/>
    <tableColumn id="4" name="Key"/>
    <tableColumn id="5" name="Selected n"/>
    <tableColumn id="6" name="Answered n"/>
    <tableColumn id="7" name="Correct n"/>
    <tableColumn id="8" name="Correct %"/>
    <tableColumn id="9" name="Incorrect n"/>
    <tableColumn id="10" name="Not sure n"/>
    <tableColumn id="11" name="Missing n"/>
    <tableColumn id="12" name="Not sure %"/>
  </tableColumns>
  <tableStyleInfo name="TableStyleMedium2" showFirstColumn="0" showLastColumn="0" showRowStripes="1" showColumnStripes="0"/>
</table>
</file>

<file path=xl/tables/table2.xml><?xml version="1.0" encoding="utf-8"?>
<table xmlns="http://schemas.openxmlformats.org/spreadsheetml/2006/main" id="2" name="SurveyResponses" displayName="SurveyResponses" ref="B5:CR363" totalsRowShown="0">
  <autoFilter ref="B5:CR363"/>
  <tableColumns count="95">
    <tableColumn id="1" name="ID"/>
    <tableColumn id="2" name="Timestamp"/>
    <tableColumn id="3" name="Age as reported"/>
    <tableColumn id="4" name="Sex"/>
    <tableColumn id="5" name="Year of study"/>
    <tableColumn id="6" name="Programme"/>
    <tableColumn id="7" name="Insurance registered"/>
    <tableColumn id="8" name="Health score /10"/>
    <tableColumn id="9" name="NHIMA score /9"/>
    <tableColumn id="10" name="Overall score /19"/>
    <tableColumn id="11" name="Adequate overall (1/0)"/>
    <tableColumn id="12" name="B/C complete (1/0)"/>
    <tableColumn id="13" name="Benefits score /8"/>
    <tableColumn id="14" name="Limitations score /6"/>
    <tableColumn id="15" name="Benefits + limits /14"/>
    <tableColumn id="16" name="Wants more information"/>
    <tableColumn id="17" name="Most useful source (normalised)"/>
    <tableColumn id="18" name="Selected cohort (1/0)"/>
    <tableColumn id="19" name="B1"/>
    <tableColumn id="20" name="B2"/>
    <tableColumn id="21" name="B3"/>
    <tableColumn id="22" name="B4"/>
    <tableColumn id="23" name="B5"/>
    <tableColumn id="24" name="B6"/>
    <tableColumn id="25" name="B7"/>
    <tableColumn id="26" name="B8"/>
    <tableColumn id="27" name="B9"/>
    <tableColumn id="28" name="B10"/>
    <tableColumn id="29" name="C2"/>
    <tableColumn id="30" name="C3"/>
    <tableColumn id="31" name="C4"/>
    <tableColumn id="32" name="C5"/>
    <tableColumn id="33" name="C6"/>
    <tableColumn id="34" name="C7"/>
    <tableColumn id="35" name="C8"/>
    <tableColumn id="36" name="C9"/>
    <tableColumn id="37" name="C10"/>
    <tableColumn id="38" name="D1"/>
    <tableColumn id="39" name="D2"/>
    <tableColumn id="40" name="D3"/>
    <tableColumn id="41" name="D4"/>
    <tableColumn id="42" name="D5"/>
    <tableColumn id="43" name="D6"/>
    <tableColumn id="44" name="D7"/>
    <tableColumn id="45" name="D8"/>
    <tableColumn id="46" name="E1"/>
    <tableColumn id="47" name="E2"/>
    <tableColumn id="48" name="E3"/>
    <tableColumn id="49" name="E4"/>
    <tableColumn id="50" name="E5"/>
    <tableColumn id="51" name="E6"/>
    <tableColumn id="52" name="Information sources (multi-select)"/>
    <tableColumn id="53" name="Most useful source (original)"/>
    <tableColumn id="54" name="Radio / TV"/>
    <tableColumn id="55" name="Print media"/>
    <tableColumn id="56" name="Social media"/>
    <tableColumn id="57" name="Family"/>
    <tableColumn id="58" name="Friends / students"/>
    <tableColumn id="59" name="Coursework / lectures"/>
    <tableColumn id="60" name="NHIMA outreach / offices"/>
    <tableColumn id="61" name="Health facility staff"/>
    <tableColumn id="62" name="No information source"/>
    <tableColumn id="63" name="Score B1"/>
    <tableColumn id="64" name="Score B2"/>
    <tableColumn id="65" name="Score B3"/>
    <tableColumn id="66" name="Score B4"/>
    <tableColumn id="67" name="Score B5"/>
    <tableColumn id="68" name="Score B6"/>
    <tableColumn id="69" name="Score B7"/>
    <tableColumn id="70" name="Score B8"/>
    <tableColumn id="71" name="Score B9"/>
    <tableColumn id="72" name="Score B10"/>
    <tableColumn id="73" name="Score C2"/>
    <tableColumn id="74" name="Score C3"/>
    <tableColumn id="75" name="Score C4"/>
    <tableColumn id="76" name="Score C5"/>
    <tableColumn id="77" name="Score C6"/>
    <tableColumn id="78" name="Score C7"/>
    <tableColumn id="79" name="Score C8"/>
    <tableColumn id="80" name="Score C9"/>
    <tableColumn id="81" name="Score C10"/>
    <tableColumn id="82" name="Score D1"/>
    <tableColumn id="83" name="Score D2"/>
    <tableColumn id="84" name="Score D3"/>
    <tableColumn id="85" name="Score D4"/>
    <tableColumn id="86" name="Score D5"/>
    <tableColumn id="87" name="Score D6"/>
    <tableColumn id="88" name="Score D7"/>
    <tableColumn id="89" name="Score D8"/>
    <tableColumn id="90" name="Score E1"/>
    <tableColumn id="91" name="Score E2"/>
    <tableColumn id="92" name="Score E3"/>
    <tableColumn id="93" name="Score E4"/>
    <tableColumn id="94" name="Score E5"/>
    <tableColumn id="95" name="Score E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table" Target="../tables/table2.xml"/><Relationship Id="rId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tabColor rgb="FF1A5F5F"/>
    <pageSetUpPr fitToPage="1"/>
  </sheetPr>
  <dimension ref="A1:Q58"/>
  <sheetViews>
    <sheetView showGridLines="0" tabSelected="1" zoomScale="80" zoomScaleNormal="80" workbookViewId="0">
      <pane xSplit="1" ySplit="7" topLeftCell="B8" activePane="bottomRight" state="frozen"/>
      <selection pane="topRight" activeCell="B1" sqref="B1"/>
      <selection pane="bottomLeft" activeCell="A8" sqref="A8"/>
      <selection pane="bottomRight" activeCell="B6" sqref="B6"/>
    </sheetView>
  </sheetViews>
  <sheetFormatPr defaultRowHeight="20" customHeight="1"/>
  <cols>
    <col min="1" max="1" width="3.7109375" customWidth="1"/>
    <col min="2" max="17" width="9.7109375" customWidth="1"/>
    <col min="18" max="18" width="3.7109375" customWidth="1"/>
  </cols>
  <sheetData>
    <row r="1" spans="2:17" ht="18" customHeight="1"/>
    <row r="2" spans="2:17" ht="36" customHeight="1">
      <c r="B2" s="1" t="s">
        <v>125</v>
      </c>
      <c r="C2" s="1"/>
      <c r="D2" s="1"/>
      <c r="E2" s="1"/>
      <c r="F2" s="1"/>
      <c r="G2" s="1"/>
      <c r="H2" s="1"/>
      <c r="I2" s="1"/>
      <c r="J2" s="1"/>
      <c r="K2" s="1"/>
      <c r="L2" s="1"/>
      <c r="M2" s="1"/>
      <c r="N2" s="1"/>
      <c r="O2" s="1"/>
      <c r="P2" s="1"/>
      <c r="Q2" s="1"/>
    </row>
    <row r="3" spans="2:17" ht="28" customHeight="1">
      <c r="B3" s="2" t="s">
        <v>126</v>
      </c>
      <c r="C3" s="2"/>
      <c r="D3" s="2"/>
      <c r="E3" s="2"/>
      <c r="F3" s="2"/>
      <c r="G3" s="2"/>
      <c r="H3" s="2"/>
      <c r="I3" s="2"/>
      <c r="J3" s="2"/>
      <c r="K3" s="2"/>
      <c r="L3" s="2"/>
      <c r="M3" s="2"/>
      <c r="N3" s="2"/>
      <c r="O3" s="2"/>
      <c r="P3" s="2"/>
      <c r="Q3" s="2"/>
    </row>
    <row r="4" spans="2:17" ht="18" customHeight="1"/>
    <row r="5" spans="2:17" ht="18" customHeight="1">
      <c r="B5" s="3" t="s">
        <v>127</v>
      </c>
      <c r="C5" s="3"/>
      <c r="D5" s="3"/>
      <c r="E5" s="3"/>
      <c r="F5" s="3" t="s">
        <v>129</v>
      </c>
      <c r="G5" s="3"/>
      <c r="H5" s="3"/>
      <c r="I5" s="3"/>
      <c r="J5" s="3" t="s">
        <v>130</v>
      </c>
      <c r="K5" s="3"/>
      <c r="L5" s="3"/>
      <c r="M5" s="3"/>
      <c r="N5" s="3" t="s">
        <v>131</v>
      </c>
      <c r="O5" s="3"/>
      <c r="P5" s="3"/>
      <c r="Q5" s="3"/>
    </row>
    <row r="6" spans="2:17" ht="36" customHeight="1">
      <c r="B6" s="4" t="s">
        <v>128</v>
      </c>
      <c r="C6" s="4"/>
      <c r="D6" s="4"/>
      <c r="E6" s="4"/>
      <c r="F6" s="4" t="s">
        <v>128</v>
      </c>
      <c r="G6" s="4"/>
      <c r="H6" s="4"/>
      <c r="I6" s="4"/>
      <c r="J6" s="4" t="s">
        <v>128</v>
      </c>
      <c r="K6" s="4"/>
      <c r="L6" s="4"/>
      <c r="M6" s="4"/>
      <c r="N6" s="4" t="s">
        <v>128</v>
      </c>
      <c r="O6" s="4"/>
      <c r="P6" s="4"/>
      <c r="Q6" s="4"/>
    </row>
    <row r="7" spans="2:17" ht="20" customHeight="1">
      <c r="B7" s="5" t="s">
        <v>132</v>
      </c>
      <c r="C7" s="5"/>
      <c r="D7" s="5"/>
      <c r="E7" s="5"/>
      <c r="F7" s="5"/>
      <c r="G7" s="5"/>
      <c r="H7" s="5"/>
      <c r="I7" s="5"/>
      <c r="J7" s="5"/>
      <c r="K7" s="5"/>
      <c r="L7" s="5"/>
      <c r="M7" s="5"/>
      <c r="N7" s="5"/>
      <c r="O7" s="5"/>
      <c r="P7" s="5"/>
      <c r="Q7" s="5"/>
    </row>
    <row r="8" spans="2:17" ht="18" customHeight="1"/>
    <row r="9" spans="2:17" ht="22" customHeight="1">
      <c r="B9" s="6" t="s">
        <v>481</v>
      </c>
      <c r="C9" s="6"/>
      <c r="D9" s="6"/>
      <c r="E9" s="6"/>
      <c r="F9" s="6" t="s">
        <v>482</v>
      </c>
      <c r="G9" s="6"/>
      <c r="H9" s="6"/>
      <c r="I9" s="6"/>
      <c r="J9" s="6" t="s">
        <v>483</v>
      </c>
      <c r="K9" s="6"/>
      <c r="L9" s="6"/>
      <c r="M9" s="6"/>
      <c r="N9" s="6" t="s">
        <v>484</v>
      </c>
      <c r="O9" s="6"/>
      <c r="P9" s="6"/>
      <c r="Q9" s="6"/>
    </row>
    <row r="10" spans="2:17" ht="18" customHeight="1">
      <c r="B10" s="7">
        <f>'Cohort analysis'!C6</f>
        <v>358</v>
      </c>
      <c r="C10" s="7"/>
      <c r="D10" s="7"/>
      <c r="E10" s="7"/>
      <c r="F10" s="8">
        <f>'Cohort analysis'!C8</f>
        <v>0.27932960893854747</v>
      </c>
      <c r="G10" s="8"/>
      <c r="H10" s="8"/>
      <c r="I10" s="8"/>
      <c r="J10" s="9">
        <f>'Cohort analysis'!C9</f>
        <v>9.743016759776536</v>
      </c>
      <c r="K10" s="9"/>
      <c r="L10" s="9"/>
      <c r="M10" s="9"/>
      <c r="N10" s="8">
        <f>'Cohort analysis'!C15</f>
        <v>0.20786516853932585</v>
      </c>
      <c r="O10" s="8"/>
      <c r="P10" s="8"/>
      <c r="Q10" s="8"/>
    </row>
    <row r="11" spans="2:17" ht="18" customHeight="1">
      <c r="B11" s="7"/>
      <c r="C11" s="7"/>
      <c r="D11" s="7"/>
      <c r="E11" s="7"/>
      <c r="F11" s="8"/>
      <c r="G11" s="8"/>
      <c r="H11" s="8"/>
      <c r="I11" s="8"/>
      <c r="J11" s="9"/>
      <c r="K11" s="9"/>
      <c r="L11" s="9"/>
      <c r="M11" s="9"/>
      <c r="N11" s="8"/>
      <c r="O11" s="8"/>
      <c r="P11" s="8"/>
      <c r="Q11" s="8"/>
    </row>
    <row r="12" spans="2:17" ht="18" customHeight="1">
      <c r="B12" s="10" t="str">
        <f>"Selected cohort | total 358"</f>
        <v>Selected cohort | total 358</v>
      </c>
      <c r="C12" s="10"/>
      <c r="D12" s="10"/>
      <c r="E12" s="10"/>
      <c r="F12" s="10" t="str">
        <f>"n = "&amp;'Cohort analysis'!C7&amp;" | threshold "&amp;Codebook!C8&amp;"/19"</f>
        <v>n = 100 | threshold 12/19</v>
      </c>
      <c r="G12" s="10"/>
      <c r="H12" s="10"/>
      <c r="I12" s="10"/>
      <c r="J12" s="10" t="str">
        <f>"Out of 19 correct answers"</f>
        <v>Out of 19 correct answers</v>
      </c>
      <c r="K12" s="10"/>
      <c r="L12" s="10"/>
      <c r="M12" s="10"/>
      <c r="N12" s="10" t="str">
        <f>"n = "&amp;'Cohort analysis'!C14&amp;" / "&amp;'Cohort analysis'!C13&amp;" valid"</f>
        <v>n = 74 / 356 valid</v>
      </c>
      <c r="O12" s="10"/>
      <c r="P12" s="10"/>
      <c r="Q12" s="10"/>
    </row>
    <row r="13" spans="2:17" ht="18" customHeight="1"/>
    <row r="14" spans="2:17" ht="22" customHeight="1">
      <c r="B14" s="6" t="s">
        <v>485</v>
      </c>
      <c r="C14" s="6"/>
      <c r="D14" s="6"/>
      <c r="E14" s="6"/>
      <c r="F14" s="6" t="s">
        <v>486</v>
      </c>
      <c r="G14" s="6"/>
      <c r="H14" s="6"/>
      <c r="I14" s="6"/>
      <c r="J14" s="6" t="s">
        <v>487</v>
      </c>
      <c r="K14" s="6"/>
      <c r="L14" s="6"/>
      <c r="M14" s="6"/>
      <c r="N14" s="6" t="s">
        <v>488</v>
      </c>
      <c r="O14" s="6"/>
      <c r="P14" s="6"/>
      <c r="Q14" s="6"/>
    </row>
    <row r="15" spans="2:17" ht="27" customHeight="1">
      <c r="B15" s="11">
        <f>'Cohort analysis'!C11</f>
        <v>0.5921787709497207</v>
      </c>
      <c r="C15" s="11"/>
      <c r="D15" s="11"/>
      <c r="E15" s="11"/>
      <c r="F15" s="11">
        <f>'Cohort analysis'!C19</f>
        <v>0.3854748603351955</v>
      </c>
      <c r="G15" s="11"/>
      <c r="H15" s="11"/>
      <c r="I15" s="11"/>
      <c r="J15" s="11">
        <f>'Cohort analysis'!C21</f>
        <v>0.7039106145251397</v>
      </c>
      <c r="K15" s="11"/>
      <c r="L15" s="11"/>
      <c r="M15" s="11"/>
      <c r="N15" s="12">
        <f>'Cohort analysis'!C17</f>
        <v>6.139664804469274</v>
      </c>
      <c r="O15" s="12"/>
      <c r="P15" s="12"/>
      <c r="Q15" s="12"/>
    </row>
    <row r="16" spans="2:17" ht="18" customHeight="1"/>
    <row r="17" spans="2:17" ht="18" customHeight="1"/>
    <row r="18" spans="2:17" ht="18" customHeight="1"/>
    <row r="19" spans="2:17" ht="18" customHeight="1"/>
    <row r="20" spans="2:17" ht="18" customHeight="1"/>
    <row r="21" spans="2:17" ht="18" customHeight="1"/>
    <row r="22" spans="2:17" ht="18" customHeight="1"/>
    <row r="23" spans="2:17" ht="18" customHeight="1"/>
    <row r="24" spans="2:17" ht="18" customHeight="1"/>
    <row r="25" spans="2:17" ht="18" customHeight="1"/>
    <row r="26" spans="2:17" ht="18" customHeight="1"/>
    <row r="27" spans="2:17" ht="18" customHeight="1"/>
    <row r="28" spans="2:17" ht="18" customHeight="1"/>
    <row r="29" spans="2:17" ht="18" customHeight="1"/>
    <row r="30" spans="2:17" ht="18" customHeight="1">
      <c r="B30" s="5" t="s">
        <v>496</v>
      </c>
      <c r="C30" s="5"/>
      <c r="D30" s="5"/>
      <c r="E30" s="5"/>
      <c r="F30" s="5"/>
      <c r="G30" s="5"/>
      <c r="H30" s="5"/>
      <c r="I30" s="5"/>
      <c r="J30" s="5"/>
      <c r="K30" s="5"/>
      <c r="L30" s="5"/>
      <c r="M30" s="5"/>
      <c r="N30" s="5"/>
      <c r="O30" s="5"/>
      <c r="P30" s="5"/>
      <c r="Q30" s="5"/>
    </row>
    <row r="31" spans="2:17" ht="18" customHeight="1"/>
    <row r="32" spans="2:17" ht="18" customHeight="1"/>
    <row r="33" spans="2:17" ht="18" customHeight="1"/>
    <row r="34" spans="2:17" ht="18" customHeight="1"/>
    <row r="35" spans="2:17" ht="18" customHeight="1"/>
    <row r="36" spans="2:17" ht="18" customHeight="1"/>
    <row r="37" spans="2:17" ht="18" customHeight="1"/>
    <row r="38" spans="2:17" ht="18" customHeight="1"/>
    <row r="39" spans="2:17" ht="18" customHeight="1"/>
    <row r="40" spans="2:17" ht="18" customHeight="1"/>
    <row r="41" spans="2:17" ht="18" customHeight="1"/>
    <row r="42" spans="2:17" ht="18" customHeight="1"/>
    <row r="43" spans="2:17" ht="18" customHeight="1"/>
    <row r="44" spans="2:17" ht="24" customHeight="1">
      <c r="B44" s="5" t="s">
        <v>497</v>
      </c>
      <c r="C44" s="5"/>
      <c r="D44" s="5"/>
      <c r="E44" s="5"/>
      <c r="F44" s="5"/>
      <c r="G44" s="5"/>
      <c r="H44" s="5"/>
      <c r="I44" s="5"/>
      <c r="J44" s="5"/>
      <c r="K44" s="5"/>
      <c r="L44" s="5"/>
      <c r="M44" s="5"/>
      <c r="N44" s="5"/>
      <c r="O44" s="5"/>
      <c r="P44" s="5"/>
      <c r="Q44" s="5"/>
    </row>
    <row r="45" spans="2:17" ht="18" customHeight="1"/>
    <row r="46" spans="2:17" ht="27" customHeight="1">
      <c r="B46" s="13" t="s">
        <v>498</v>
      </c>
      <c r="C46" s="13"/>
      <c r="D46" s="13"/>
      <c r="E46" s="13"/>
      <c r="F46" s="13"/>
      <c r="G46" s="13"/>
      <c r="H46" s="13"/>
      <c r="I46" s="13"/>
      <c r="J46" s="13"/>
      <c r="K46" s="13"/>
      <c r="L46" s="13"/>
      <c r="M46" s="13"/>
      <c r="N46" s="13"/>
      <c r="O46" s="13"/>
      <c r="P46" s="13"/>
      <c r="Q46" s="13"/>
    </row>
    <row r="47" spans="2:17" ht="32" customHeight="1">
      <c r="B47" s="5" t="str">
        <f>"Full sample: 27.9% overall adequate; 20.8% NHIMA adequate. Current cohort: "&amp;TEXT('Cohort analysis'!C8,"0.0%")&amp;" overall adequate. Prioritise NHIMA orientation and targeted misconceptions."</f>
        <v>Full sample: 27.9% overall adequate; 20.8% NHIMA adequate. Current cohort: 27.9% overall adequate. Prioritise NHIMA orientation and targeted misconceptions.</v>
      </c>
      <c r="C47" s="5"/>
      <c r="D47" s="5"/>
      <c r="E47" s="5"/>
      <c r="F47" s="5"/>
      <c r="G47" s="5"/>
      <c r="H47" s="5"/>
      <c r="I47" s="5"/>
      <c r="J47" s="5"/>
      <c r="K47" s="5"/>
      <c r="L47" s="5"/>
      <c r="M47" s="5"/>
      <c r="N47" s="5"/>
      <c r="O47" s="5"/>
      <c r="P47" s="5"/>
      <c r="Q47" s="5"/>
    </row>
    <row r="48" spans="2:17" ht="18" customHeight="1"/>
    <row r="49" spans="2:17" ht="32" customHeight="1">
      <c r="B49" s="14" t="s">
        <v>499</v>
      </c>
      <c r="C49" s="14"/>
      <c r="D49" s="14"/>
      <c r="E49" s="14"/>
      <c r="F49" s="14"/>
      <c r="G49" s="14"/>
      <c r="H49" s="14"/>
      <c r="I49" s="14"/>
      <c r="J49" s="14"/>
      <c r="K49" s="14"/>
      <c r="L49" s="14"/>
      <c r="M49" s="14"/>
      <c r="N49" s="14"/>
      <c r="O49" s="14"/>
      <c r="P49" s="14"/>
      <c r="Q49" s="14"/>
    </row>
    <row r="50" spans="2:17" ht="18" customHeight="1"/>
    <row r="51" spans="2:17" ht="18" customHeight="1">
      <c r="B51" s="15" t="s">
        <v>338</v>
      </c>
      <c r="C51" s="15"/>
      <c r="D51" s="15"/>
      <c r="E51" s="15"/>
      <c r="F51" s="15" t="s">
        <v>500</v>
      </c>
      <c r="G51" s="15"/>
      <c r="H51" s="15"/>
      <c r="I51" s="15"/>
      <c r="J51" s="15" t="s">
        <v>501</v>
      </c>
      <c r="K51" s="15"/>
      <c r="L51" s="15"/>
      <c r="M51" s="15"/>
      <c r="N51" s="15" t="s">
        <v>502</v>
      </c>
      <c r="O51" s="15"/>
      <c r="P51" s="15"/>
      <c r="Q51" s="15"/>
    </row>
    <row r="52" spans="2:17" ht="18" customHeight="1"/>
    <row r="53" spans="2:17" ht="18" customHeight="1">
      <c r="B53" s="15" t="s">
        <v>503</v>
      </c>
      <c r="F53" s="15" t="s">
        <v>504</v>
      </c>
    </row>
    <row r="54" spans="2:17" ht="18" customHeight="1"/>
    <row r="55" spans="2:17" ht="23" customHeight="1">
      <c r="B55" s="5" t="s">
        <v>505</v>
      </c>
      <c r="C55" s="5"/>
      <c r="D55" s="5"/>
      <c r="E55" s="5"/>
      <c r="F55" s="5"/>
      <c r="G55" s="5"/>
      <c r="H55" s="5"/>
      <c r="I55" s="5"/>
      <c r="J55" s="5"/>
      <c r="K55" s="5"/>
      <c r="L55" s="5"/>
      <c r="M55" s="5"/>
      <c r="N55" s="5"/>
      <c r="O55" s="5"/>
      <c r="P55" s="5"/>
      <c r="Q55" s="5"/>
    </row>
    <row r="56" spans="2:17" ht="18" customHeight="1"/>
    <row r="57" spans="2:17" ht="18" customHeight="1"/>
    <row r="58" spans="2:17" ht="18" customHeight="1"/>
  </sheetData>
  <mergeCells count="41">
    <mergeCell ref="B2:Q2"/>
    <mergeCell ref="B3:Q3"/>
    <mergeCell ref="B5:E5"/>
    <mergeCell ref="B6:E6"/>
    <mergeCell ref="F5:I5"/>
    <mergeCell ref="F6:I6"/>
    <mergeCell ref="J5:M5"/>
    <mergeCell ref="J6:M6"/>
    <mergeCell ref="N5:Q5"/>
    <mergeCell ref="N6:Q6"/>
    <mergeCell ref="B7:Q7"/>
    <mergeCell ref="B9:E9"/>
    <mergeCell ref="B10:E11"/>
    <mergeCell ref="B12:E12"/>
    <mergeCell ref="F9:I9"/>
    <mergeCell ref="F10:I11"/>
    <mergeCell ref="F12:I12"/>
    <mergeCell ref="J9:M9"/>
    <mergeCell ref="J10:M11"/>
    <mergeCell ref="J12:M12"/>
    <mergeCell ref="N9:Q9"/>
    <mergeCell ref="N10:Q11"/>
    <mergeCell ref="N12:Q12"/>
    <mergeCell ref="B14:E14"/>
    <mergeCell ref="B15:E15"/>
    <mergeCell ref="F14:I14"/>
    <mergeCell ref="F15:I15"/>
    <mergeCell ref="J14:M14"/>
    <mergeCell ref="J15:M15"/>
    <mergeCell ref="N14:Q14"/>
    <mergeCell ref="N15:Q15"/>
    <mergeCell ref="B30:Q30"/>
    <mergeCell ref="B44:Q44"/>
    <mergeCell ref="B46:Q46"/>
    <mergeCell ref="B47:Q47"/>
    <mergeCell ref="B49:Q49"/>
    <mergeCell ref="B51:E51"/>
    <mergeCell ref="F51:I51"/>
    <mergeCell ref="J51:M51"/>
    <mergeCell ref="N51:Q51"/>
    <mergeCell ref="B55:Q55"/>
  </mergeCells>
  <dataValidations count="4">
    <dataValidation type="list" allowBlank="1" showInputMessage="1" showErrorMessage="1" errorTitle="Use a listed category" error="Please select a category from the list." promptTitle="Sex" prompt="Choose All to reset this filter." sqref="B6:E6">
      <formula1>"All,Female,Male"</formula1>
    </dataValidation>
    <dataValidation type="list" allowBlank="1" showInputMessage="1" showErrorMessage="1" errorTitle="Use a listed category" error="Please select a category from the list." promptTitle="Year of study" prompt="Choose All to reset this filter." sqref="F6:I6">
      <formula1>"All,2nd year,3rd year,4th year,5th year or above"</formula1>
    </dataValidation>
    <dataValidation type="list" allowBlank="1" showInputMessage="1" showErrorMessage="1" errorTitle="Use a listed category" error="Please select a category from the list." promptTitle="Programme" prompt="Choose All to reset this filter." sqref="J6:M6">
      <formula1>"All,Medicine,Nursing Sciences,Other Ridgeway Health Sciences programme,Pharmacy,Public Health"</formula1>
    </dataValidation>
    <dataValidation type="list" allowBlank="1" showInputMessage="1" showErrorMessage="1" errorTitle="Use a listed category" error="Please select a category from the list." promptTitle="Insurance registration" prompt="Choose All to reset this filter." sqref="N6:Q6">
      <formula1>"All,Yes,No,Not sure"</formula1>
    </dataValidation>
  </dataValidations>
  <hyperlinks>
    <hyperlink ref="B51" location="'Cohort analysis'!B2" display="Cohort analysis"/>
    <hyperlink ref="F51" location="'Item results'!B2" display="Item results"/>
    <hyperlink ref="J51" location="'Associations'!B2" display="Associations"/>
    <hyperlink ref="N51" location="'Notes'!B2" display="Notes"/>
    <hyperlink ref="B53" location="'Responses'!B2" display="Responses"/>
    <hyperlink ref="F53" location="'Codebook'!B2" display="Codebook"/>
  </hyperlinks>
  <pageMargins left="0.25" right="0.25" top="0.35" bottom="0.35" header="0.15" footer="0.15"/>
  <pageSetup paperSize="9" orientation="portrait"/>
  <headerFooter>
    <oddHeader>&amp;RUNZA • Ridgeway Campus</oddHeader>
    <oddFooter>&amp;LUNZA | Ridgeway Campus&amp;CHealth insurance survey&amp;RPage &amp;P of &amp;N</oddFooter>
  </headerFooter>
  <drawing r:id="rId1"/>
</worksheet>
</file>

<file path=xl/worksheets/sheet2.xml><?xml version="1.0" encoding="utf-8"?>
<worksheet xmlns="http://schemas.openxmlformats.org/spreadsheetml/2006/main" xmlns:r="http://schemas.openxmlformats.org/officeDocument/2006/relationships">
  <sheetPr>
    <tabColor rgb="FF1A5F5F"/>
    <pageSetUpPr fitToPage="1"/>
  </sheetPr>
  <dimension ref="B1:M80"/>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20" customHeight="1"/>
  <cols>
    <col min="1" max="1" width="3.7109375" customWidth="1"/>
    <col min="2" max="2" width="42.7109375" customWidth="1"/>
    <col min="3" max="3" width="16.7109375" customWidth="1"/>
    <col min="4" max="4" width="17.7109375" customWidth="1"/>
    <col min="5" max="8" width="20.7109375" customWidth="1"/>
    <col min="11" max="13" width="18.7109375" hidden="1" customWidth="1"/>
  </cols>
  <sheetData>
    <row r="1" spans="2:8" ht="20" customHeight="1">
      <c r="B1" s="15" t="s">
        <v>0</v>
      </c>
    </row>
    <row r="2" spans="2:8" ht="36" customHeight="1">
      <c r="B2" s="1" t="s">
        <v>338</v>
      </c>
      <c r="C2" s="1"/>
      <c r="D2" s="1"/>
      <c r="E2" s="1"/>
      <c r="F2" s="1"/>
      <c r="G2" s="1"/>
      <c r="H2" s="1"/>
    </row>
    <row r="3" spans="2:8" ht="28" customHeight="1">
      <c r="B3" s="2" t="s">
        <v>339</v>
      </c>
      <c r="C3" s="2"/>
      <c r="D3" s="2"/>
      <c r="E3" s="2"/>
      <c r="F3" s="2"/>
      <c r="G3" s="2"/>
      <c r="H3" s="2"/>
    </row>
    <row r="5" spans="2:8" ht="32" customHeight="1">
      <c r="B5" s="16" t="s">
        <v>340</v>
      </c>
      <c r="C5" s="16" t="s">
        <v>341</v>
      </c>
      <c r="D5" s="16" t="s">
        <v>342</v>
      </c>
      <c r="E5" s="16" t="s">
        <v>343</v>
      </c>
    </row>
    <row r="6" spans="2:8" ht="25" customHeight="1">
      <c r="B6" s="17" t="s">
        <v>344</v>
      </c>
      <c r="C6" s="18">
        <f>SUM('Responses'!$S$6:$S$363)</f>
        <v>358</v>
      </c>
      <c r="D6" s="18">
        <f>C6</f>
        <v>358</v>
      </c>
      <c r="E6" s="5" t="s">
        <v>345</v>
      </c>
      <c r="F6" s="5"/>
      <c r="G6" s="5"/>
      <c r="H6" s="5"/>
    </row>
    <row r="7" spans="2:8" ht="25" customHeight="1">
      <c r="B7" s="17" t="s">
        <v>346</v>
      </c>
      <c r="C7" s="18">
        <f>SUMIFS('Responses'!$L$6:$L$363,'Responses'!$S$6:$S$363,1)</f>
        <v>100</v>
      </c>
      <c r="D7" s="18">
        <f>C6</f>
        <v>358</v>
      </c>
      <c r="E7" s="5" t="s">
        <v>347</v>
      </c>
      <c r="F7" s="5"/>
      <c r="G7" s="5"/>
      <c r="H7" s="5"/>
    </row>
    <row r="8" spans="2:8" ht="25" customHeight="1">
      <c r="B8" s="17" t="s">
        <v>348</v>
      </c>
      <c r="C8" s="19">
        <f>IFERROR(C7/C6,0)</f>
        <v>0.27932960893854747</v>
      </c>
      <c r="D8" s="18">
        <f>C6</f>
        <v>358</v>
      </c>
      <c r="E8" s="5" t="s">
        <v>349</v>
      </c>
      <c r="F8" s="5"/>
      <c r="G8" s="5"/>
      <c r="H8" s="5"/>
    </row>
    <row r="9" spans="2:8" ht="25" customHeight="1">
      <c r="B9" s="17" t="s">
        <v>350</v>
      </c>
      <c r="C9" s="20">
        <f>IFERROR(SUMIFS('Responses'!$K$6:$K$363,'Responses'!$S$6:$S$363,1)/C6,0)</f>
        <v>9.743016759776536</v>
      </c>
      <c r="D9" s="18">
        <f>C6</f>
        <v>358</v>
      </c>
      <c r="E9" s="5" t="s">
        <v>351</v>
      </c>
      <c r="F9" s="5"/>
      <c r="G9" s="5"/>
      <c r="H9" s="5"/>
    </row>
    <row r="10" spans="2:8" ht="25" customHeight="1">
      <c r="B10" s="17" t="s">
        <v>352</v>
      </c>
      <c r="C10" s="18">
        <f>COUNTIFS('Responses'!$I$6:$I$363,"&gt;="&amp;Codebook!$C$6,'Responses'!$S$6:$S$363,1)</f>
        <v>212</v>
      </c>
      <c r="D10" s="18">
        <f>C6</f>
        <v>358</v>
      </c>
      <c r="E10" s="5" t="s">
        <v>353</v>
      </c>
      <c r="F10" s="5"/>
      <c r="G10" s="5"/>
      <c r="H10" s="5"/>
    </row>
    <row r="11" spans="2:8" ht="25" customHeight="1">
      <c r="B11" s="17" t="s">
        <v>354</v>
      </c>
      <c r="C11" s="19">
        <f>IFERROR(C10/C6,0)</f>
        <v>0.5921787709497207</v>
      </c>
      <c r="D11" s="18">
        <f>C6</f>
        <v>358</v>
      </c>
      <c r="E11" s="5" t="s">
        <v>355</v>
      </c>
      <c r="F11" s="5"/>
      <c r="G11" s="5"/>
      <c r="H11" s="5"/>
    </row>
    <row r="12" spans="2:8" ht="25" customHeight="1">
      <c r="B12" s="17" t="s">
        <v>356</v>
      </c>
      <c r="C12" s="20">
        <f>IFERROR(SUMIFS('Responses'!$I$6:$I$363,'Responses'!$S$6:$S$363,1)/C6,0)</f>
        <v>5.5251396648044695</v>
      </c>
      <c r="D12" s="18">
        <f>C6</f>
        <v>358</v>
      </c>
      <c r="E12" s="5" t="s">
        <v>357</v>
      </c>
      <c r="F12" s="5"/>
      <c r="G12" s="5"/>
      <c r="H12" s="5"/>
    </row>
    <row r="13" spans="2:8" ht="25" customHeight="1">
      <c r="B13" s="17" t="s">
        <v>358</v>
      </c>
      <c r="C13" s="18">
        <f>SUMIFS('Responses'!$M$6:$M$363,'Responses'!$S$6:$S$363,1)</f>
        <v>356</v>
      </c>
      <c r="D13" s="18">
        <f>C6</f>
        <v>358</v>
      </c>
      <c r="E13" s="5" t="s">
        <v>359</v>
      </c>
      <c r="F13" s="5"/>
      <c r="G13" s="5"/>
      <c r="H13" s="5"/>
    </row>
    <row r="14" spans="2:8" ht="25" customHeight="1">
      <c r="B14" s="17" t="s">
        <v>360</v>
      </c>
      <c r="C14" s="18">
        <f>COUNTIFS('Responses'!$J$6:$J$363,"&gt;="&amp;Codebook!$C$7,'Responses'!$S$6:$S$363,1,'Responses'!$M$6:$M$363,1)</f>
        <v>74</v>
      </c>
      <c r="D14" s="18">
        <f>C13</f>
        <v>356</v>
      </c>
      <c r="E14" s="5" t="s">
        <v>361</v>
      </c>
      <c r="F14" s="5"/>
      <c r="G14" s="5"/>
      <c r="H14" s="5"/>
    </row>
    <row r="15" spans="2:8" ht="25" customHeight="1">
      <c r="B15" s="17" t="s">
        <v>362</v>
      </c>
      <c r="C15" s="19">
        <f>IFERROR(C14/C13,0)</f>
        <v>0.20786516853932585</v>
      </c>
      <c r="D15" s="18">
        <f>C13</f>
        <v>356</v>
      </c>
      <c r="E15" s="5" t="s">
        <v>363</v>
      </c>
      <c r="F15" s="5"/>
      <c r="G15" s="5"/>
      <c r="H15" s="5"/>
    </row>
    <row r="16" spans="2:8" ht="25" customHeight="1">
      <c r="B16" s="17" t="s">
        <v>364</v>
      </c>
      <c r="C16" s="20">
        <f>IFERROR(SUMIFS('Responses'!$J$6:$J$363,'Responses'!$S$6:$S$363,1)/C13,0)</f>
        <v>4.241573033707865</v>
      </c>
      <c r="D16" s="18">
        <f>C13</f>
        <v>356</v>
      </c>
      <c r="E16" s="5" t="s">
        <v>365</v>
      </c>
      <c r="F16" s="5"/>
      <c r="G16" s="5"/>
      <c r="H16" s="5"/>
    </row>
    <row r="17" spans="2:8" ht="25" customHeight="1">
      <c r="B17" s="17" t="s">
        <v>366</v>
      </c>
      <c r="C17" s="20">
        <f>IFERROR(SUMIFS('Responses'!$P$6:$P$363,'Responses'!$S$6:$S$363,1)/C6,0)</f>
        <v>6.139664804469274</v>
      </c>
      <c r="D17" s="18">
        <f>C6</f>
        <v>358</v>
      </c>
      <c r="E17" s="5" t="s">
        <v>367</v>
      </c>
      <c r="F17" s="5"/>
      <c r="G17" s="5"/>
      <c r="H17" s="5"/>
    </row>
    <row r="18" spans="2:8" ht="25" customHeight="1">
      <c r="B18" s="17" t="s">
        <v>368</v>
      </c>
      <c r="C18" s="18">
        <f>COUNTIFS('Responses'!$H$6:$H$363,"Yes",'Responses'!$S$6:$S$363,1)</f>
        <v>138</v>
      </c>
      <c r="D18" s="18">
        <f>C6</f>
        <v>358</v>
      </c>
      <c r="E18" s="5" t="s">
        <v>369</v>
      </c>
      <c r="F18" s="5"/>
      <c r="G18" s="5"/>
      <c r="H18" s="5"/>
    </row>
    <row r="19" spans="2:8" ht="25" customHeight="1">
      <c r="B19" s="17" t="s">
        <v>370</v>
      </c>
      <c r="C19" s="19">
        <f>IFERROR(C18/C6,0)</f>
        <v>0.3854748603351955</v>
      </c>
      <c r="D19" s="18">
        <f>C6</f>
        <v>358</v>
      </c>
      <c r="E19" s="5" t="s">
        <v>371</v>
      </c>
      <c r="F19" s="5"/>
      <c r="G19" s="5"/>
      <c r="H19" s="5"/>
    </row>
    <row r="20" spans="2:8" ht="25" customHeight="1">
      <c r="B20" s="17" t="s">
        <v>372</v>
      </c>
      <c r="C20" s="18">
        <f>SUMIFS('Responses'!$BE$6:$BE$363,'Responses'!$S$6:$S$363,1)</f>
        <v>252</v>
      </c>
      <c r="D20" s="18">
        <f>C6</f>
        <v>358</v>
      </c>
      <c r="E20" s="5" t="s">
        <v>373</v>
      </c>
      <c r="F20" s="5"/>
      <c r="G20" s="5"/>
      <c r="H20" s="5"/>
    </row>
    <row r="21" spans="2:8" ht="25" customHeight="1">
      <c r="B21" s="17" t="s">
        <v>374</v>
      </c>
      <c r="C21" s="19">
        <f>IFERROR(C20/C6,0)</f>
        <v>0.7039106145251397</v>
      </c>
      <c r="D21" s="18">
        <f>C6</f>
        <v>358</v>
      </c>
      <c r="E21" s="5" t="s">
        <v>375</v>
      </c>
      <c r="F21" s="5"/>
      <c r="G21" s="5"/>
      <c r="H21" s="5"/>
    </row>
    <row r="22" spans="2:8" ht="25" customHeight="1">
      <c r="B22" s="17" t="s">
        <v>147</v>
      </c>
      <c r="C22" s="18">
        <f>COUNTIFS('Responses'!$Q$6:$Q$363,"Yes",'Responses'!$S$6:$S$363,1)</f>
        <v>158</v>
      </c>
      <c r="D22" s="18">
        <f>C23</f>
        <v>354</v>
      </c>
      <c r="E22" s="5" t="s">
        <v>376</v>
      </c>
      <c r="F22" s="5"/>
      <c r="G22" s="5"/>
      <c r="H22" s="5"/>
    </row>
    <row r="23" spans="2:8" ht="25" customHeight="1">
      <c r="B23" s="17" t="s">
        <v>377</v>
      </c>
      <c r="C23" s="18">
        <f>COUNTIFS('Responses'!$S$6:$S$363,1,'Responses'!$Q$6:$Q$363,"&lt;&gt;")</f>
        <v>354</v>
      </c>
      <c r="D23" s="18">
        <f>C6</f>
        <v>358</v>
      </c>
      <c r="E23" s="5" t="s">
        <v>378</v>
      </c>
      <c r="F23" s="5"/>
      <c r="G23" s="5"/>
      <c r="H23" s="5"/>
    </row>
    <row r="24" spans="2:8" ht="25" customHeight="1">
      <c r="B24" s="17" t="s">
        <v>379</v>
      </c>
      <c r="C24" s="19">
        <f>IFERROR(C22/C23,0)</f>
        <v>0.4463276836158192</v>
      </c>
      <c r="D24" s="18">
        <f>C23</f>
        <v>354</v>
      </c>
      <c r="E24" s="5" t="s">
        <v>380</v>
      </c>
      <c r="F24" s="5"/>
      <c r="G24" s="5"/>
      <c r="H24" s="5"/>
    </row>
    <row r="25" spans="2:8" ht="25" customHeight="1">
      <c r="B25" s="17" t="s">
        <v>381</v>
      </c>
      <c r="C25" s="18">
        <f>C6-C13</f>
        <v>2</v>
      </c>
      <c r="D25" s="18">
        <f>C6</f>
        <v>358</v>
      </c>
      <c r="E25" s="5" t="s">
        <v>382</v>
      </c>
      <c r="F25" s="5"/>
      <c r="G25" s="5"/>
      <c r="H25" s="5"/>
    </row>
    <row r="27" spans="2:8" ht="25" customHeight="1">
      <c r="B27" s="17" t="s">
        <v>383</v>
      </c>
      <c r="C27" s="20">
        <f>IFERROR(SQRT(MAX(0,(SUMPRODUCT('Responses'!$S$6:$S$363,'Responses'!$K$6:$K$363,'Responses'!$K$6:$K$363)-C6*C9^2)/(C6-1))),0)</f>
        <v>3.78718077368951</v>
      </c>
      <c r="D27" s="18">
        <f>C6</f>
        <v>358</v>
      </c>
      <c r="E27" s="5" t="s">
        <v>384</v>
      </c>
      <c r="F27" s="5"/>
      <c r="G27" s="5"/>
      <c r="H27" s="5"/>
    </row>
    <row r="28" spans="2:8" ht="25" customHeight="1">
      <c r="B28" s="17" t="s">
        <v>385</v>
      </c>
      <c r="C28" s="20">
        <f t="array" ref="C28">IFERROR(MEDIAN(IF('Responses'!$S$6:$S$363=1,'Responses'!$K$6:$K$363)),0)</f>
        <v>10.0</v>
      </c>
      <c r="D28" s="18">
        <f>C6</f>
        <v>358</v>
      </c>
      <c r="E28" s="5" t="s">
        <v>386</v>
      </c>
      <c r="F28" s="5"/>
      <c r="G28" s="5"/>
      <c r="H28" s="5"/>
    </row>
    <row r="29" spans="2:8" ht="25" customHeight="1">
      <c r="B29" s="17" t="s">
        <v>387</v>
      </c>
      <c r="C29" s="20">
        <f>IFERROR(SUMIFS('Responses'!$N$6:$N$363,'Responses'!$S$6:$S$363,1)/C6,0)</f>
        <v>4.343575418994414</v>
      </c>
      <c r="D29" s="18">
        <f>C6</f>
        <v>358</v>
      </c>
      <c r="E29" s="5" t="s">
        <v>388</v>
      </c>
      <c r="F29" s="5"/>
      <c r="G29" s="5"/>
      <c r="H29" s="5"/>
    </row>
    <row r="30" spans="2:8" ht="25" customHeight="1">
      <c r="B30" s="17" t="s">
        <v>389</v>
      </c>
      <c r="C30" s="20">
        <f>IFERROR(SUMIFS('Responses'!$O$6:$O$363,'Responses'!$S$6:$S$363,1)/C6,0)</f>
        <v>1.7960893854748603</v>
      </c>
      <c r="D30" s="18">
        <f>C6</f>
        <v>358</v>
      </c>
      <c r="E30" s="5" t="s">
        <v>390</v>
      </c>
      <c r="F30" s="5"/>
      <c r="G30" s="5"/>
      <c r="H30" s="5"/>
    </row>
    <row r="32" spans="2:8" ht="27" customHeight="1">
      <c r="B32" s="13" t="s">
        <v>391</v>
      </c>
      <c r="C32" s="13"/>
      <c r="D32" s="13"/>
      <c r="E32" s="13"/>
      <c r="F32" s="13"/>
    </row>
    <row r="33" spans="2:11" ht="32" customHeight="1">
      <c r="B33" s="16" t="s">
        <v>15</v>
      </c>
      <c r="C33" s="16" t="s">
        <v>392</v>
      </c>
      <c r="D33" s="16" t="s">
        <v>393</v>
      </c>
      <c r="E33" s="16" t="s">
        <v>394</v>
      </c>
    </row>
    <row r="34" spans="2:11" ht="20" customHeight="1">
      <c r="B34" s="17" t="s">
        <v>7</v>
      </c>
      <c r="C34" s="18">
        <f>C10</f>
        <v>212</v>
      </c>
      <c r="D34" s="18">
        <f>C6</f>
        <v>358</v>
      </c>
      <c r="E34" s="19">
        <f>IFERROR(C34/D34,0)</f>
        <v>0.5921787709497207</v>
      </c>
      <c r="K34" s="17" t="s">
        <v>7</v>
      </c>
    </row>
    <row r="35" spans="2:11" ht="20" customHeight="1">
      <c r="B35" s="17" t="s">
        <v>52</v>
      </c>
      <c r="C35" s="18">
        <f>C14</f>
        <v>74</v>
      </c>
      <c r="D35" s="18">
        <f>C13</f>
        <v>356</v>
      </c>
      <c r="E35" s="19">
        <f>IFERROR(C35/D35,0)</f>
        <v>0.20786516853932585</v>
      </c>
      <c r="K35" s="17" t="s">
        <v>52</v>
      </c>
    </row>
    <row r="36" spans="2:11" ht="20" customHeight="1">
      <c r="B36" s="17" t="s">
        <v>395</v>
      </c>
      <c r="C36" s="18">
        <f>C7</f>
        <v>100</v>
      </c>
      <c r="D36" s="18">
        <f>C6</f>
        <v>358</v>
      </c>
      <c r="E36" s="19">
        <f>IFERROR(C36/D36,0)</f>
        <v>0.27932960893854747</v>
      </c>
      <c r="K36" s="17" t="s">
        <v>11</v>
      </c>
    </row>
    <row r="40" spans="2:11" ht="27" customHeight="1">
      <c r="B40" s="13" t="s">
        <v>396</v>
      </c>
      <c r="C40" s="13"/>
      <c r="D40" s="13"/>
      <c r="E40" s="13"/>
      <c r="F40" s="13"/>
    </row>
    <row r="41" spans="2:11" ht="32" customHeight="1">
      <c r="B41" s="16" t="s">
        <v>130</v>
      </c>
      <c r="C41" s="16" t="s">
        <v>397</v>
      </c>
      <c r="D41" s="16" t="s">
        <v>398</v>
      </c>
      <c r="E41" s="16" t="s">
        <v>394</v>
      </c>
    </row>
    <row r="42" spans="2:11" ht="30" customHeight="1">
      <c r="B42" s="17" t="s">
        <v>202</v>
      </c>
      <c r="C42" s="18">
        <f>COUNTIFS('Responses'!$G$6:$G$363,B42,'Responses'!$S$6:$S$363,1)</f>
        <v>95</v>
      </c>
      <c r="D42" s="18">
        <f>SUMIFS('Responses'!$L$6:$L$363,'Responses'!$G$6:$G$363,B42,'Responses'!$S$6:$S$363,1)</f>
        <v>35</v>
      </c>
      <c r="E42" s="19">
        <f>IFERROR(D42/C42,0)</f>
        <v>0.3684210526315789</v>
      </c>
      <c r="K42" s="17" t="s">
        <v>202</v>
      </c>
    </row>
    <row r="43" spans="2:11" ht="30" customHeight="1">
      <c r="B43" s="17" t="s">
        <v>224</v>
      </c>
      <c r="C43" s="18">
        <f>COUNTIFS('Responses'!$G$6:$G$363,B43,'Responses'!$S$6:$S$363,1)</f>
        <v>55</v>
      </c>
      <c r="D43" s="18">
        <f>SUMIFS('Responses'!$L$6:$L$363,'Responses'!$G$6:$G$363,B43,'Responses'!$S$6:$S$363,1)</f>
        <v>19</v>
      </c>
      <c r="E43" s="19">
        <f>IFERROR(D43/C43,0)</f>
        <v>0.34545454545454546</v>
      </c>
      <c r="K43" s="17" t="s">
        <v>224</v>
      </c>
    </row>
    <row r="44" spans="2:11" ht="30" customHeight="1">
      <c r="B44" s="17" t="s">
        <v>196</v>
      </c>
      <c r="C44" s="18">
        <f>COUNTIFS('Responses'!$G$6:$G$363,B44,'Responses'!$S$6:$S$363,1)</f>
        <v>80</v>
      </c>
      <c r="D44" s="18">
        <f>SUMIFS('Responses'!$L$6:$L$363,'Responses'!$G$6:$G$363,B44,'Responses'!$S$6:$S$363,1)</f>
        <v>22</v>
      </c>
      <c r="E44" s="19">
        <f>IFERROR(D44/C44,0)</f>
        <v>0.275</v>
      </c>
      <c r="K44" s="17" t="s">
        <v>489</v>
      </c>
    </row>
    <row r="45" spans="2:11" ht="30" customHeight="1">
      <c r="B45" s="17" t="s">
        <v>215</v>
      </c>
      <c r="C45" s="18">
        <f>COUNTIFS('Responses'!$G$6:$G$363,B45,'Responses'!$S$6:$S$363,1)</f>
        <v>64</v>
      </c>
      <c r="D45" s="18">
        <f>SUMIFS('Responses'!$L$6:$L$363,'Responses'!$G$6:$G$363,B45,'Responses'!$S$6:$S$363,1)</f>
        <v>17</v>
      </c>
      <c r="E45" s="19">
        <f>IFERROR(D45/C45,0)</f>
        <v>0.265625</v>
      </c>
      <c r="K45" s="17" t="s">
        <v>215</v>
      </c>
    </row>
    <row r="46" spans="2:11" ht="30" customHeight="1">
      <c r="B46" s="17" t="s">
        <v>247</v>
      </c>
      <c r="C46" s="18">
        <f>COUNTIFS('Responses'!$G$6:$G$363,B46,'Responses'!$S$6:$S$363,1)</f>
        <v>64</v>
      </c>
      <c r="D46" s="18">
        <f>SUMIFS('Responses'!$L$6:$L$363,'Responses'!$G$6:$G$363,B46,'Responses'!$S$6:$S$363,1)</f>
        <v>7</v>
      </c>
      <c r="E46" s="19">
        <f>IFERROR(D46/C46,0)</f>
        <v>0.109375</v>
      </c>
      <c r="K46" s="17" t="s">
        <v>490</v>
      </c>
    </row>
    <row r="50" spans="2:8" ht="27" customHeight="1">
      <c r="B50" s="13" t="s">
        <v>399</v>
      </c>
      <c r="C50" s="13"/>
      <c r="D50" s="13"/>
      <c r="E50" s="13"/>
      <c r="F50" s="13"/>
    </row>
    <row r="51" spans="2:8" ht="32" customHeight="1">
      <c r="B51" s="16" t="s">
        <v>400</v>
      </c>
      <c r="C51" s="16" t="s">
        <v>397</v>
      </c>
      <c r="D51" s="16" t="s">
        <v>401</v>
      </c>
      <c r="E51" s="16" t="s">
        <v>402</v>
      </c>
    </row>
    <row r="52" spans="2:8" ht="20" customHeight="1">
      <c r="B52" s="17" t="s">
        <v>154</v>
      </c>
      <c r="C52" s="18">
        <f>SUMIFS('Responses'!$BE$6:$BE$363,'Responses'!$S$6:$S$363,1)</f>
        <v>252</v>
      </c>
      <c r="D52" s="18">
        <f>C6</f>
        <v>358</v>
      </c>
      <c r="E52" s="19">
        <f>IFERROR(C52/D52,0)</f>
        <v>0.7039106145251397</v>
      </c>
    </row>
    <row r="53" spans="2:8" ht="20" customHeight="1">
      <c r="B53" s="17" t="s">
        <v>152</v>
      </c>
      <c r="C53" s="18">
        <f>SUMIFS('Responses'!$BC$6:$BC$363,'Responses'!$S$6:$S$363,1)</f>
        <v>245</v>
      </c>
      <c r="D53" s="18">
        <f>C6</f>
        <v>358</v>
      </c>
      <c r="E53" s="19">
        <f>IFERROR(C53/D53,0)</f>
        <v>0.6843575418994413</v>
      </c>
    </row>
    <row r="54" spans="2:8" ht="20" customHeight="1">
      <c r="B54" s="17" t="s">
        <v>155</v>
      </c>
      <c r="C54" s="18">
        <f>SUMIFS('Responses'!$BF$6:$BF$363,'Responses'!$S$6:$S$363,1)</f>
        <v>138</v>
      </c>
      <c r="D54" s="18">
        <f>C6</f>
        <v>358</v>
      </c>
      <c r="E54" s="19">
        <f>IFERROR(C54/D54,0)</f>
        <v>0.3854748603351955</v>
      </c>
    </row>
    <row r="55" spans="2:8" ht="20" customHeight="1">
      <c r="B55" s="17" t="s">
        <v>156</v>
      </c>
      <c r="C55" s="18">
        <f>SUMIFS('Responses'!$BG$6:$BG$363,'Responses'!$S$6:$S$363,1)</f>
        <v>132</v>
      </c>
      <c r="D55" s="18">
        <f>C6</f>
        <v>358</v>
      </c>
      <c r="E55" s="19">
        <f>IFERROR(C55/D55,0)</f>
        <v>0.3687150837988827</v>
      </c>
    </row>
    <row r="56" spans="2:8" ht="20" customHeight="1">
      <c r="B56" s="17" t="s">
        <v>157</v>
      </c>
      <c r="C56" s="18">
        <f>SUMIFS('Responses'!$BH$6:$BH$363,'Responses'!$S$6:$S$363,1)</f>
        <v>93</v>
      </c>
      <c r="D56" s="18">
        <f>C6</f>
        <v>358</v>
      </c>
      <c r="E56" s="19">
        <f>IFERROR(C56/D56,0)</f>
        <v>0.25977653631284914</v>
      </c>
    </row>
    <row r="57" spans="2:8" ht="20" customHeight="1">
      <c r="B57" s="17" t="s">
        <v>153</v>
      </c>
      <c r="C57" s="18">
        <f>SUMIFS('Responses'!$BD$6:$BD$363,'Responses'!$S$6:$S$363,1)</f>
        <v>86</v>
      </c>
      <c r="D57" s="18">
        <f>C6</f>
        <v>358</v>
      </c>
      <c r="E57" s="19">
        <f>IFERROR(C57/D57,0)</f>
        <v>0.24022346368715083</v>
      </c>
    </row>
    <row r="58" spans="2:8" ht="20" customHeight="1">
      <c r="B58" s="17" t="s">
        <v>158</v>
      </c>
      <c r="C58" s="18">
        <f>SUMIFS('Responses'!$BI$6:$BI$363,'Responses'!$S$6:$S$363,1)</f>
        <v>48</v>
      </c>
      <c r="D58" s="18">
        <f>C6</f>
        <v>358</v>
      </c>
      <c r="E58" s="19">
        <f>IFERROR(C58/D58,0)</f>
        <v>0.1340782122905028</v>
      </c>
    </row>
    <row r="59" spans="2:8" ht="20" customHeight="1">
      <c r="B59" s="17" t="s">
        <v>159</v>
      </c>
      <c r="C59" s="18">
        <f>SUMIFS('Responses'!$BJ$6:$BJ$363,'Responses'!$S$6:$S$363,1)</f>
        <v>43</v>
      </c>
      <c r="D59" s="18">
        <f>C6</f>
        <v>358</v>
      </c>
      <c r="E59" s="19">
        <f>IFERROR(C59/D59,0)</f>
        <v>0.12011173184357542</v>
      </c>
    </row>
    <row r="61" spans="2:8" ht="38" customHeight="1">
      <c r="B61" s="5" t="s">
        <v>403</v>
      </c>
      <c r="C61" s="5"/>
      <c r="D61" s="5"/>
      <c r="E61" s="5"/>
      <c r="F61" s="5"/>
      <c r="G61" s="5"/>
      <c r="H61" s="5"/>
    </row>
    <row r="64" spans="2:8" ht="27" customHeight="1">
      <c r="B64" s="13" t="s">
        <v>404</v>
      </c>
      <c r="C64" s="13"/>
      <c r="D64" s="13"/>
      <c r="E64" s="13"/>
      <c r="F64" s="13"/>
    </row>
    <row r="65" spans="2:5" ht="32" customHeight="1">
      <c r="B65" s="16" t="s">
        <v>127</v>
      </c>
      <c r="C65" s="16" t="s">
        <v>397</v>
      </c>
      <c r="D65" s="16" t="s">
        <v>398</v>
      </c>
      <c r="E65" s="16" t="s">
        <v>394</v>
      </c>
    </row>
    <row r="66" spans="2:5" ht="20" customHeight="1">
      <c r="B66" s="17" t="s">
        <v>206</v>
      </c>
      <c r="C66" s="18">
        <f>COUNTIFS('Responses'!$E$6:$E$363,B66,'Responses'!$S$6:$S$363,1)</f>
        <v>186</v>
      </c>
      <c r="D66" s="18">
        <f>SUMIFS('Responses'!$L$6:$L$363,'Responses'!$E$6:$E$363,B66,'Responses'!$S$6:$S$363,1)</f>
        <v>48</v>
      </c>
      <c r="E66" s="19">
        <f>IFERROR(D66/C66,0)</f>
        <v>0.25806451612903225</v>
      </c>
    </row>
    <row r="67" spans="2:5" ht="20" customHeight="1">
      <c r="B67" s="17" t="s">
        <v>194</v>
      </c>
      <c r="C67" s="18">
        <f>COUNTIFS('Responses'!$E$6:$E$363,B67,'Responses'!$S$6:$S$363,1)</f>
        <v>172</v>
      </c>
      <c r="D67" s="18">
        <f>SUMIFS('Responses'!$L$6:$L$363,'Responses'!$E$6:$E$363,B67,'Responses'!$S$6:$S$363,1)</f>
        <v>52</v>
      </c>
      <c r="E67" s="19">
        <f>IFERROR(D67/C67,0)</f>
        <v>0.3023255813953488</v>
      </c>
    </row>
    <row r="70" spans="2:5" ht="32" customHeight="1">
      <c r="B70" s="16" t="s">
        <v>405</v>
      </c>
      <c r="C70" s="16" t="s">
        <v>397</v>
      </c>
      <c r="D70" s="16" t="s">
        <v>398</v>
      </c>
      <c r="E70" s="16" t="s">
        <v>394</v>
      </c>
    </row>
    <row r="71" spans="2:5" ht="20" customHeight="1">
      <c r="B71" s="17" t="s">
        <v>212</v>
      </c>
      <c r="C71" s="18">
        <f>COUNTIFS('Responses'!$F$6:$F$363,B71,'Responses'!$S$6:$S$363,1)</f>
        <v>81</v>
      </c>
      <c r="D71" s="18">
        <f>SUMIFS('Responses'!$L$6:$L$363,'Responses'!$F$6:$F$363,B71,'Responses'!$S$6:$S$363,1)</f>
        <v>19</v>
      </c>
      <c r="E71" s="19">
        <f>IFERROR(D71/C71,0)</f>
        <v>0.2345679012345679</v>
      </c>
    </row>
    <row r="72" spans="2:5" ht="20" customHeight="1">
      <c r="B72" s="17" t="s">
        <v>195</v>
      </c>
      <c r="C72" s="18">
        <f>COUNTIFS('Responses'!$F$6:$F$363,B72,'Responses'!$S$6:$S$363,1)</f>
        <v>120</v>
      </c>
      <c r="D72" s="18">
        <f>SUMIFS('Responses'!$L$6:$L$363,'Responses'!$F$6:$F$363,B72,'Responses'!$S$6:$S$363,1)</f>
        <v>33</v>
      </c>
      <c r="E72" s="19">
        <f>IFERROR(D72/C72,0)</f>
        <v>0.275</v>
      </c>
    </row>
    <row r="73" spans="2:5" ht="20" customHeight="1">
      <c r="B73" s="17" t="s">
        <v>201</v>
      </c>
      <c r="C73" s="18">
        <f>COUNTIFS('Responses'!$F$6:$F$363,B73,'Responses'!$S$6:$S$363,1)</f>
        <v>116</v>
      </c>
      <c r="D73" s="18">
        <f>SUMIFS('Responses'!$L$6:$L$363,'Responses'!$F$6:$F$363,B73,'Responses'!$S$6:$S$363,1)</f>
        <v>37</v>
      </c>
      <c r="E73" s="19">
        <f>IFERROR(D73/C73,0)</f>
        <v>0.31896551724137934</v>
      </c>
    </row>
    <row r="74" spans="2:5" ht="20" customHeight="1">
      <c r="B74" s="17" t="s">
        <v>226</v>
      </c>
      <c r="C74" s="18">
        <f>COUNTIFS('Responses'!$F$6:$F$363,B74,'Responses'!$S$6:$S$363,1)</f>
        <v>41</v>
      </c>
      <c r="D74" s="18">
        <f>SUMIFS('Responses'!$L$6:$L$363,'Responses'!$F$6:$F$363,B74,'Responses'!$S$6:$S$363,1)</f>
        <v>11</v>
      </c>
      <c r="E74" s="19">
        <f>IFERROR(D74/C74,0)</f>
        <v>0.2682926829268293</v>
      </c>
    </row>
    <row r="77" spans="2:5" ht="32" customHeight="1">
      <c r="B77" s="16" t="s">
        <v>138</v>
      </c>
      <c r="C77" s="16" t="s">
        <v>397</v>
      </c>
      <c r="D77" s="16" t="s">
        <v>398</v>
      </c>
      <c r="E77" s="16" t="s">
        <v>394</v>
      </c>
    </row>
    <row r="78" spans="2:5" ht="20" customHeight="1">
      <c r="B78" s="17" t="s">
        <v>197</v>
      </c>
      <c r="C78" s="18">
        <f>COUNTIFS('Responses'!$H$6:$H$363,B78,'Responses'!$S$6:$S$363,1)</f>
        <v>138</v>
      </c>
      <c r="D78" s="18">
        <f>SUMIFS('Responses'!$L$6:$L$363,'Responses'!$H$6:$H$363,B78,'Responses'!$S$6:$S$363,1)</f>
        <v>34</v>
      </c>
      <c r="E78" s="19">
        <f>IFERROR(D78/C78,0)</f>
        <v>0.2463768115942029</v>
      </c>
    </row>
    <row r="79" spans="2:5" ht="20" customHeight="1">
      <c r="B79" s="17" t="s">
        <v>207</v>
      </c>
      <c r="C79" s="18">
        <f>COUNTIFS('Responses'!$H$6:$H$363,B79,'Responses'!$S$6:$S$363,1)</f>
        <v>153</v>
      </c>
      <c r="D79" s="18">
        <f>SUMIFS('Responses'!$L$6:$L$363,'Responses'!$H$6:$H$363,B79,'Responses'!$S$6:$S$363,1)</f>
        <v>57</v>
      </c>
      <c r="E79" s="19">
        <f>IFERROR(D79/C79,0)</f>
        <v>0.37254901960784315</v>
      </c>
    </row>
    <row r="80" spans="2:5" ht="20" customHeight="1">
      <c r="B80" s="17" t="s">
        <v>198</v>
      </c>
      <c r="C80" s="18">
        <f>COUNTIFS('Responses'!$H$6:$H$363,B80,'Responses'!$S$6:$S$363,1)</f>
        <v>67</v>
      </c>
      <c r="D80" s="18">
        <f>SUMIFS('Responses'!$L$6:$L$363,'Responses'!$H$6:$H$363,B80,'Responses'!$S$6:$S$363,1)</f>
        <v>9</v>
      </c>
      <c r="E80" s="19">
        <f>IFERROR(D80/C80,0)</f>
        <v>0.13432835820895522</v>
      </c>
    </row>
  </sheetData>
  <mergeCells count="31">
    <mergeCell ref="B2:H2"/>
    <mergeCell ref="B3:H3"/>
    <mergeCell ref="E6:H6"/>
    <mergeCell ref="E7:H7"/>
    <mergeCell ref="E8:H8"/>
    <mergeCell ref="E9:H9"/>
    <mergeCell ref="E10:H10"/>
    <mergeCell ref="E11:H11"/>
    <mergeCell ref="E12:H12"/>
    <mergeCell ref="E13:H13"/>
    <mergeCell ref="E14:H14"/>
    <mergeCell ref="E15:H15"/>
    <mergeCell ref="E16:H16"/>
    <mergeCell ref="E17:H17"/>
    <mergeCell ref="E18:H18"/>
    <mergeCell ref="E19:H19"/>
    <mergeCell ref="E20:H20"/>
    <mergeCell ref="E21:H21"/>
    <mergeCell ref="E22:H22"/>
    <mergeCell ref="E23:H23"/>
    <mergeCell ref="E24:H24"/>
    <mergeCell ref="E25:H25"/>
    <mergeCell ref="E27:H27"/>
    <mergeCell ref="E28:H28"/>
    <mergeCell ref="E29:H29"/>
    <mergeCell ref="E30:H30"/>
    <mergeCell ref="B32:F32"/>
    <mergeCell ref="B40:F40"/>
    <mergeCell ref="B50:F50"/>
    <mergeCell ref="B61:H61"/>
    <mergeCell ref="B64:F64"/>
  </mergeCells>
  <conditionalFormatting sqref="E34:E36">
    <cfRule type="dataBar" priority="1">
      <dataBar>
        <cfvo type="num" val="0"/>
        <cfvo type="num" val="1"/>
        <color rgb="FF1A5F5F"/>
      </dataBar>
    </cfRule>
  </conditionalFormatting>
  <conditionalFormatting sqref="E42:E46">
    <cfRule type="dataBar" priority="2">
      <dataBar>
        <cfvo type="num" val="0"/>
        <cfvo type="num" val="1"/>
        <color rgb="FF1A5F5F"/>
      </dataBar>
    </cfRule>
  </conditionalFormatting>
  <conditionalFormatting sqref="E52:E59">
    <cfRule type="dataBar" priority="3">
      <dataBar>
        <cfvo type="num" val="0"/>
        <cfvo type="num" val="1"/>
        <color rgb="FF1A5F5F"/>
      </dataBar>
    </cfRule>
  </conditionalFormatting>
  <hyperlinks>
    <hyperlink ref="B1" location="'Overview'!B2" display="Back to dashboard"/>
  </hyperlinks>
  <pageMargins left="0.25" right="0.25" top="0.35" bottom="0.35" header="0.3" footer="0.15"/>
  <pageSetup paperSize="9" fitToHeight="0" orientation="landscape"/>
  <headerFooter>
    <oddFooter>&amp;LUNZA | Ridgeway Campus&amp;CHealth insurance survey&amp;RPage &amp;P of &amp;N</oddFooter>
  </headerFooter>
</worksheet>
</file>

<file path=xl/worksheets/sheet3.xml><?xml version="1.0" encoding="utf-8"?>
<worksheet xmlns="http://schemas.openxmlformats.org/spreadsheetml/2006/main" xmlns:r="http://schemas.openxmlformats.org/officeDocument/2006/relationships">
  <sheetPr>
    <tabColor rgb="FF1A5F5F"/>
    <pageSetUpPr fitToPage="1"/>
  </sheetPr>
  <dimension ref="B1:O50"/>
  <sheetViews>
    <sheetView showGridLines="0" workbookViewId="0">
      <pane xSplit="4" ySplit="7" topLeftCell="E8" activePane="bottomRight" state="frozen"/>
      <selection pane="topRight" activeCell="E1" sqref="E1"/>
      <selection pane="bottomLeft" activeCell="A8" sqref="A8"/>
      <selection pane="bottomRight"/>
    </sheetView>
  </sheetViews>
  <sheetFormatPr defaultRowHeight="20" customHeight="1"/>
  <cols>
    <col min="1" max="1" width="3.7109375" customWidth="1"/>
    <col min="2" max="2" width="9.7109375" customWidth="1"/>
    <col min="3" max="3" width="22.7109375" customWidth="1"/>
    <col min="4" max="4" width="44.7109375" customWidth="1"/>
    <col min="5" max="5" width="14.7109375" customWidth="1"/>
    <col min="6" max="13" width="12.7109375" customWidth="1"/>
    <col min="15" max="15" width="26.7109375" hidden="1" customWidth="1"/>
  </cols>
  <sheetData>
    <row r="1" spans="2:13" ht="20" customHeight="1">
      <c r="B1" s="15" t="s">
        <v>0</v>
      </c>
    </row>
    <row r="2" spans="2:13" ht="36" customHeight="1">
      <c r="B2" s="1" t="s">
        <v>406</v>
      </c>
      <c r="C2" s="1"/>
      <c r="D2" s="1"/>
      <c r="E2" s="1"/>
      <c r="F2" s="1"/>
      <c r="G2" s="1"/>
      <c r="H2" s="1"/>
      <c r="I2" s="1"/>
      <c r="J2" s="1"/>
      <c r="K2" s="1"/>
      <c r="L2" s="1"/>
      <c r="M2" s="1"/>
    </row>
    <row r="3" spans="2:13" ht="28" customHeight="1">
      <c r="B3" s="2" t="s">
        <v>407</v>
      </c>
      <c r="C3" s="2"/>
      <c r="D3" s="2"/>
      <c r="E3" s="2"/>
      <c r="F3" s="2"/>
      <c r="G3" s="2"/>
      <c r="H3" s="2"/>
      <c r="I3" s="2"/>
      <c r="J3" s="2"/>
      <c r="K3" s="2"/>
      <c r="L3" s="2"/>
      <c r="M3" s="2"/>
    </row>
    <row r="5" spans="2:13" ht="33" customHeight="1">
      <c r="B5" s="14" t="s">
        <v>408</v>
      </c>
      <c r="C5" s="14"/>
      <c r="D5" s="14"/>
      <c r="E5" s="14"/>
      <c r="F5" s="14"/>
      <c r="G5" s="14"/>
      <c r="H5" s="14"/>
      <c r="I5" s="14"/>
      <c r="J5" s="14"/>
      <c r="K5" s="14"/>
      <c r="L5" s="14"/>
      <c r="M5" s="14"/>
    </row>
    <row r="7" spans="2:13" ht="32" customHeight="1">
      <c r="B7" t="s">
        <v>14</v>
      </c>
      <c r="C7" t="s">
        <v>15</v>
      </c>
      <c r="D7" t="s">
        <v>409</v>
      </c>
      <c r="E7" t="s">
        <v>410</v>
      </c>
      <c r="F7" t="s">
        <v>397</v>
      </c>
      <c r="G7" t="s">
        <v>411</v>
      </c>
      <c r="H7" t="s">
        <v>412</v>
      </c>
      <c r="I7" t="s">
        <v>413</v>
      </c>
      <c r="J7" t="s">
        <v>414</v>
      </c>
      <c r="K7" t="s">
        <v>415</v>
      </c>
      <c r="L7" t="s">
        <v>416</v>
      </c>
      <c r="M7" t="s">
        <v>417</v>
      </c>
    </row>
    <row r="8" spans="2:13" ht="31" customHeight="1">
      <c r="B8" s="21" t="s">
        <v>19</v>
      </c>
      <c r="C8" s="17" t="s">
        <v>7</v>
      </c>
      <c r="D8" s="17" t="s">
        <v>21</v>
      </c>
      <c r="E8" s="21" t="str">
        <f>Codebook!F13</f>
        <v>True</v>
      </c>
      <c r="F8" s="18">
        <f>'Cohort analysis'!C6</f>
        <v>358</v>
      </c>
      <c r="G8" s="18">
        <f>COUNTIFS('Responses'!$S$6:$S$363,1,'Responses'!$T$6:$T$363,"&lt;&gt;")</f>
        <v>358</v>
      </c>
      <c r="H8" s="18">
        <f>SUMIFS('Responses'!$BL$6:$BL$363,'Responses'!$S$6:$S$363,1)</f>
        <v>304</v>
      </c>
      <c r="I8" s="19">
        <f>IFERROR(H8/G8,0)</f>
        <v>0.8491620111731844</v>
      </c>
      <c r="J8" s="18">
        <f>G8-H8-K8</f>
        <v>30</v>
      </c>
      <c r="K8" s="18">
        <f>COUNTIFS('Responses'!$T$6:$T$363,"Not sure",'Responses'!$S$6:$S$363,1)</f>
        <v>24</v>
      </c>
      <c r="L8" s="18">
        <f>F8-G8</f>
        <v>0</v>
      </c>
      <c r="M8" s="19">
        <f>IFERROR(K8/G8,0)</f>
        <v>0.0670391061452514</v>
      </c>
    </row>
    <row r="9" spans="2:13" ht="31" customHeight="1">
      <c r="B9" s="21" t="s">
        <v>23</v>
      </c>
      <c r="C9" s="17" t="s">
        <v>7</v>
      </c>
      <c r="D9" s="17" t="s">
        <v>25</v>
      </c>
      <c r="E9" s="21" t="str">
        <f>Codebook!F14</f>
        <v>False</v>
      </c>
      <c r="F9" s="18">
        <f>'Cohort analysis'!C6</f>
        <v>358</v>
      </c>
      <c r="G9" s="18">
        <f>COUNTIFS('Responses'!$S$6:$S$363,1,'Responses'!$U$6:$U$363,"&lt;&gt;")</f>
        <v>358</v>
      </c>
      <c r="H9" s="18">
        <f>SUMIFS('Responses'!$BM$6:$BM$363,'Responses'!$S$6:$S$363,1)</f>
        <v>56</v>
      </c>
      <c r="I9" s="19">
        <f>IFERROR(H9/G9,0)</f>
        <v>0.1564245810055866</v>
      </c>
      <c r="J9" s="18">
        <f>G9-H9-K9</f>
        <v>257</v>
      </c>
      <c r="K9" s="18">
        <f>COUNTIFS('Responses'!$U$6:$U$363,"Not sure",'Responses'!$S$6:$S$363,1)</f>
        <v>45</v>
      </c>
      <c r="L9" s="18">
        <f>F9-G9</f>
        <v>0</v>
      </c>
      <c r="M9" s="19">
        <f>IFERROR(K9/G9,0)</f>
        <v>0.12569832402234637</v>
      </c>
    </row>
    <row r="10" spans="2:13" ht="31" customHeight="1">
      <c r="B10" s="21" t="s">
        <v>27</v>
      </c>
      <c r="C10" s="17" t="s">
        <v>7</v>
      </c>
      <c r="D10" s="17" t="s">
        <v>29</v>
      </c>
      <c r="E10" s="21" t="str">
        <f>Codebook!F15</f>
        <v>False</v>
      </c>
      <c r="F10" s="18">
        <f>'Cohort analysis'!C6</f>
        <v>358</v>
      </c>
      <c r="G10" s="18">
        <f>COUNTIFS('Responses'!$S$6:$S$363,1,'Responses'!$V$6:$V$363,"&lt;&gt;")</f>
        <v>358</v>
      </c>
      <c r="H10" s="18">
        <f>SUMIFS('Responses'!$BN$6:$BN$363,'Responses'!$S$6:$S$363,1)</f>
        <v>83</v>
      </c>
      <c r="I10" s="19">
        <f>IFERROR(H10/G10,0)</f>
        <v>0.23184357541899442</v>
      </c>
      <c r="J10" s="18">
        <f>G10-H10-K10</f>
        <v>235</v>
      </c>
      <c r="K10" s="18">
        <f>COUNTIFS('Responses'!$V$6:$V$363,"Not sure",'Responses'!$S$6:$S$363,1)</f>
        <v>40</v>
      </c>
      <c r="L10" s="18">
        <f>F10-G10</f>
        <v>0</v>
      </c>
      <c r="M10" s="19">
        <f>IFERROR(K10/G10,0)</f>
        <v>0.11173184357541899</v>
      </c>
    </row>
    <row r="11" spans="2:13" ht="31" customHeight="1">
      <c r="B11" s="21" t="s">
        <v>30</v>
      </c>
      <c r="C11" s="17" t="s">
        <v>7</v>
      </c>
      <c r="D11" s="17" t="s">
        <v>32</v>
      </c>
      <c r="E11" s="21" t="str">
        <f>Codebook!F16</f>
        <v>True</v>
      </c>
      <c r="F11" s="18">
        <f>'Cohort analysis'!C6</f>
        <v>358</v>
      </c>
      <c r="G11" s="18">
        <f>COUNTIFS('Responses'!$S$6:$S$363,1,'Responses'!$W$6:$W$363,"&lt;&gt;")</f>
        <v>358</v>
      </c>
      <c r="H11" s="18">
        <f>SUMIFS('Responses'!$BO$6:$BO$363,'Responses'!$S$6:$S$363,1)</f>
        <v>280</v>
      </c>
      <c r="I11" s="19">
        <f>IFERROR(H11/G11,0)</f>
        <v>0.7821229050279329</v>
      </c>
      <c r="J11" s="18">
        <f>G11-H11-K11</f>
        <v>35</v>
      </c>
      <c r="K11" s="18">
        <f>COUNTIFS('Responses'!$W$6:$W$363,"Not sure",'Responses'!$S$6:$S$363,1)</f>
        <v>43</v>
      </c>
      <c r="L11" s="18">
        <f>F11-G11</f>
        <v>0</v>
      </c>
      <c r="M11" s="19">
        <f>IFERROR(K11/G11,0)</f>
        <v>0.12011173184357542</v>
      </c>
    </row>
    <row r="12" spans="2:13" ht="31" customHeight="1">
      <c r="B12" s="21" t="s">
        <v>33</v>
      </c>
      <c r="C12" s="17" t="s">
        <v>7</v>
      </c>
      <c r="D12" s="17" t="s">
        <v>35</v>
      </c>
      <c r="E12" s="21" t="str">
        <f>Codebook!F17</f>
        <v>True</v>
      </c>
      <c r="F12" s="18">
        <f>'Cohort analysis'!C6</f>
        <v>358</v>
      </c>
      <c r="G12" s="18">
        <f>COUNTIFS('Responses'!$S$6:$S$363,1,'Responses'!$X$6:$X$363,"&lt;&gt;")</f>
        <v>358</v>
      </c>
      <c r="H12" s="18">
        <f>SUMIFS('Responses'!$BP$6:$BP$363,'Responses'!$S$6:$S$363,1)</f>
        <v>274</v>
      </c>
      <c r="I12" s="19">
        <f>IFERROR(H12/G12,0)</f>
        <v>0.7653631284916201</v>
      </c>
      <c r="J12" s="18">
        <f>G12-H12-K12</f>
        <v>36</v>
      </c>
      <c r="K12" s="18">
        <f>COUNTIFS('Responses'!$X$6:$X$363,"Not sure",'Responses'!$S$6:$S$363,1)</f>
        <v>48</v>
      </c>
      <c r="L12" s="18">
        <f>F12-G12</f>
        <v>0</v>
      </c>
      <c r="M12" s="19">
        <f>IFERROR(K12/G12,0)</f>
        <v>0.1340782122905028</v>
      </c>
    </row>
    <row r="13" spans="2:13" ht="31" customHeight="1">
      <c r="B13" s="21" t="s">
        <v>36</v>
      </c>
      <c r="C13" s="17" t="s">
        <v>7</v>
      </c>
      <c r="D13" s="17" t="s">
        <v>38</v>
      </c>
      <c r="E13" s="21" t="str">
        <f>Codebook!F18</f>
        <v>False</v>
      </c>
      <c r="F13" s="18">
        <f>'Cohort analysis'!C6</f>
        <v>358</v>
      </c>
      <c r="G13" s="18">
        <f>COUNTIFS('Responses'!$S$6:$S$363,1,'Responses'!$Y$6:$Y$363,"&lt;&gt;")</f>
        <v>358</v>
      </c>
      <c r="H13" s="18">
        <f>SUMIFS('Responses'!$BQ$6:$BQ$363,'Responses'!$S$6:$S$363,1)</f>
        <v>93</v>
      </c>
      <c r="I13" s="19">
        <f>IFERROR(H13/G13,0)</f>
        <v>0.25977653631284914</v>
      </c>
      <c r="J13" s="18">
        <f>G13-H13-K13</f>
        <v>208</v>
      </c>
      <c r="K13" s="18">
        <f>COUNTIFS('Responses'!$Y$6:$Y$363,"Not sure",'Responses'!$S$6:$S$363,1)</f>
        <v>57</v>
      </c>
      <c r="L13" s="18">
        <f>F13-G13</f>
        <v>0</v>
      </c>
      <c r="M13" s="19">
        <f>IFERROR(K13/G13,0)</f>
        <v>0.15921787709497207</v>
      </c>
    </row>
    <row r="14" spans="2:13" ht="31" customHeight="1">
      <c r="B14" s="21" t="s">
        <v>39</v>
      </c>
      <c r="C14" s="17" t="s">
        <v>7</v>
      </c>
      <c r="D14" s="17" t="s">
        <v>41</v>
      </c>
      <c r="E14" s="21" t="str">
        <f>Codebook!F19</f>
        <v>True</v>
      </c>
      <c r="F14" s="18">
        <f>'Cohort analysis'!C6</f>
        <v>358</v>
      </c>
      <c r="G14" s="18">
        <f>COUNTIFS('Responses'!$S$6:$S$363,1,'Responses'!$Z$6:$Z$363,"&lt;&gt;")</f>
        <v>358</v>
      </c>
      <c r="H14" s="18">
        <f>SUMIFS('Responses'!$BR$6:$BR$363,'Responses'!$S$6:$S$363,1)</f>
        <v>284</v>
      </c>
      <c r="I14" s="19">
        <f>IFERROR(H14/G14,0)</f>
        <v>0.7932960893854749</v>
      </c>
      <c r="J14" s="18">
        <f>G14-H14-K14</f>
        <v>27</v>
      </c>
      <c r="K14" s="18">
        <f>COUNTIFS('Responses'!$Z$6:$Z$363,"Not sure",'Responses'!$S$6:$S$363,1)</f>
        <v>47</v>
      </c>
      <c r="L14" s="18">
        <f>F14-G14</f>
        <v>0</v>
      </c>
      <c r="M14" s="19">
        <f>IFERROR(K14/G14,0)</f>
        <v>0.13128491620111732</v>
      </c>
    </row>
    <row r="15" spans="2:13" ht="31" customHeight="1">
      <c r="B15" s="21" t="s">
        <v>42</v>
      </c>
      <c r="C15" s="17" t="s">
        <v>7</v>
      </c>
      <c r="D15" s="17" t="s">
        <v>44</v>
      </c>
      <c r="E15" s="21" t="str">
        <f>Codebook!F20</f>
        <v>True</v>
      </c>
      <c r="F15" s="18">
        <f>'Cohort analysis'!C6</f>
        <v>358</v>
      </c>
      <c r="G15" s="18">
        <f>COUNTIFS('Responses'!$S$6:$S$363,1,'Responses'!$AA$6:$AA$363,"&lt;&gt;")</f>
        <v>358</v>
      </c>
      <c r="H15" s="18">
        <f>SUMIFS('Responses'!$BS$6:$BS$363,'Responses'!$S$6:$S$363,1)</f>
        <v>261</v>
      </c>
      <c r="I15" s="19">
        <f>IFERROR(H15/G15,0)</f>
        <v>0.729050279329609</v>
      </c>
      <c r="J15" s="18">
        <f>G15-H15-K15</f>
        <v>31</v>
      </c>
      <c r="K15" s="18">
        <f>COUNTIFS('Responses'!$AA$6:$AA$363,"Not sure",'Responses'!$S$6:$S$363,1)</f>
        <v>66</v>
      </c>
      <c r="L15" s="18">
        <f>F15-G15</f>
        <v>0</v>
      </c>
      <c r="M15" s="19">
        <f>IFERROR(K15/G15,0)</f>
        <v>0.18435754189944134</v>
      </c>
    </row>
    <row r="16" spans="2:13" ht="31" customHeight="1">
      <c r="B16" s="21" t="s">
        <v>45</v>
      </c>
      <c r="C16" s="17" t="s">
        <v>7</v>
      </c>
      <c r="D16" s="17" t="s">
        <v>47</v>
      </c>
      <c r="E16" s="21" t="str">
        <f>Codebook!F21</f>
        <v>False</v>
      </c>
      <c r="F16" s="18">
        <f>'Cohort analysis'!C6</f>
        <v>358</v>
      </c>
      <c r="G16" s="18">
        <f>COUNTIFS('Responses'!$S$6:$S$363,1,'Responses'!$AB$6:$AB$363,"&lt;&gt;")</f>
        <v>358</v>
      </c>
      <c r="H16" s="18">
        <f>SUMIFS('Responses'!$BT$6:$BT$363,'Responses'!$S$6:$S$363,1)</f>
        <v>79</v>
      </c>
      <c r="I16" s="19">
        <f>IFERROR(H16/G16,0)</f>
        <v>0.2206703910614525</v>
      </c>
      <c r="J16" s="18">
        <f>G16-H16-K16</f>
        <v>205</v>
      </c>
      <c r="K16" s="18">
        <f>COUNTIFS('Responses'!$AB$6:$AB$363,"Not sure",'Responses'!$S$6:$S$363,1)</f>
        <v>74</v>
      </c>
      <c r="L16" s="18">
        <f>F16-G16</f>
        <v>0</v>
      </c>
      <c r="M16" s="19">
        <f>IFERROR(K16/G16,0)</f>
        <v>0.20670391061452514</v>
      </c>
    </row>
    <row r="17" spans="2:13" ht="31" customHeight="1">
      <c r="B17" s="21" t="s">
        <v>48</v>
      </c>
      <c r="C17" s="17" t="s">
        <v>7</v>
      </c>
      <c r="D17" s="17" t="s">
        <v>50</v>
      </c>
      <c r="E17" s="21" t="str">
        <f>Codebook!F22</f>
        <v>True</v>
      </c>
      <c r="F17" s="18">
        <f>'Cohort analysis'!C6</f>
        <v>358</v>
      </c>
      <c r="G17" s="18">
        <f>COUNTIFS('Responses'!$S$6:$S$363,1,'Responses'!$AC$6:$AC$363,"&lt;&gt;")</f>
        <v>358</v>
      </c>
      <c r="H17" s="18">
        <f>SUMIFS('Responses'!$BU$6:$BU$363,'Responses'!$S$6:$S$363,1)</f>
        <v>264</v>
      </c>
      <c r="I17" s="19">
        <f>IFERROR(H17/G17,0)</f>
        <v>0.7374301675977654</v>
      </c>
      <c r="J17" s="18">
        <f>G17-H17-K17</f>
        <v>31</v>
      </c>
      <c r="K17" s="18">
        <f>COUNTIFS('Responses'!$AC$6:$AC$363,"Not sure",'Responses'!$S$6:$S$363,1)</f>
        <v>63</v>
      </c>
      <c r="L17" s="18">
        <f>F17-G17</f>
        <v>0</v>
      </c>
      <c r="M17" s="19">
        <f>IFERROR(K17/G17,0)</f>
        <v>0.17597765363128492</v>
      </c>
    </row>
    <row r="18" spans="2:13" ht="31" customHeight="1">
      <c r="B18" s="21" t="s">
        <v>51</v>
      </c>
      <c r="C18" s="17" t="s">
        <v>52</v>
      </c>
      <c r="D18" s="17" t="s">
        <v>54</v>
      </c>
      <c r="E18" s="21" t="str">
        <f>Codebook!F23</f>
        <v>True</v>
      </c>
      <c r="F18" s="18">
        <f>'Cohort analysis'!C6</f>
        <v>358</v>
      </c>
      <c r="G18" s="18">
        <f>COUNTIFS('Responses'!$S$6:$S$363,1,'Responses'!$AD$6:$AD$363,"&lt;&gt;")</f>
        <v>356</v>
      </c>
      <c r="H18" s="18">
        <f>SUMIFS('Responses'!$BV$6:$BV$363,'Responses'!$S$6:$S$363,1)</f>
        <v>265</v>
      </c>
      <c r="I18" s="19">
        <f>IFERROR(H18/G18,0)</f>
        <v>0.7443820224719101</v>
      </c>
      <c r="J18" s="18">
        <f>G18-H18-K18</f>
        <v>19</v>
      </c>
      <c r="K18" s="18">
        <f>COUNTIFS('Responses'!$AD$6:$AD$363,"Not sure",'Responses'!$S$6:$S$363,1)</f>
        <v>72</v>
      </c>
      <c r="L18" s="18">
        <f>F18-G18</f>
        <v>2</v>
      </c>
      <c r="M18" s="19">
        <f>IFERROR(K18/G18,0)</f>
        <v>0.20224719101123595</v>
      </c>
    </row>
    <row r="19" spans="2:13" ht="31" customHeight="1">
      <c r="B19" s="21" t="s">
        <v>55</v>
      </c>
      <c r="C19" s="17" t="s">
        <v>52</v>
      </c>
      <c r="D19" s="17" t="s">
        <v>57</v>
      </c>
      <c r="E19" s="21" t="str">
        <f>Codebook!F24</f>
        <v>True</v>
      </c>
      <c r="F19" s="18">
        <f>'Cohort analysis'!C6</f>
        <v>358</v>
      </c>
      <c r="G19" s="18">
        <f>COUNTIFS('Responses'!$S$6:$S$363,1,'Responses'!$AE$6:$AE$363,"&lt;&gt;")</f>
        <v>356</v>
      </c>
      <c r="H19" s="18">
        <f>SUMIFS('Responses'!$BW$6:$BW$363,'Responses'!$S$6:$S$363,1)</f>
        <v>239</v>
      </c>
      <c r="I19" s="19">
        <f>IFERROR(H19/G19,0)</f>
        <v>0.6713483146067416</v>
      </c>
      <c r="J19" s="18">
        <f>G19-H19-K19</f>
        <v>25</v>
      </c>
      <c r="K19" s="18">
        <f>COUNTIFS('Responses'!$AE$6:$AE$363,"Not sure",'Responses'!$S$6:$S$363,1)</f>
        <v>92</v>
      </c>
      <c r="L19" s="18">
        <f>F19-G19</f>
        <v>2</v>
      </c>
      <c r="M19" s="19">
        <f>IFERROR(K19/G19,0)</f>
        <v>0.25842696629213485</v>
      </c>
    </row>
    <row r="20" spans="2:13" ht="31" customHeight="1">
      <c r="B20" s="21" t="s">
        <v>58</v>
      </c>
      <c r="C20" s="17" t="s">
        <v>52</v>
      </c>
      <c r="D20" s="17" t="s">
        <v>60</v>
      </c>
      <c r="E20" s="21" t="str">
        <f>Codebook!F25</f>
        <v>False</v>
      </c>
      <c r="F20" s="18">
        <f>'Cohort analysis'!C6</f>
        <v>358</v>
      </c>
      <c r="G20" s="18">
        <f>COUNTIFS('Responses'!$S$6:$S$363,1,'Responses'!$AF$6:$AF$363,"&lt;&gt;")</f>
        <v>356</v>
      </c>
      <c r="H20" s="18">
        <f>SUMIFS('Responses'!$BX$6:$BX$363,'Responses'!$S$6:$S$363,1)</f>
        <v>99</v>
      </c>
      <c r="I20" s="19">
        <f>IFERROR(H20/G20,0)</f>
        <v>0.27808988764044945</v>
      </c>
      <c r="J20" s="18">
        <f>G20-H20-K20</f>
        <v>192</v>
      </c>
      <c r="K20" s="18">
        <f>COUNTIFS('Responses'!$AF$6:$AF$363,"Not sure",'Responses'!$S$6:$S$363,1)</f>
        <v>65</v>
      </c>
      <c r="L20" s="18">
        <f>F20-G20</f>
        <v>2</v>
      </c>
      <c r="M20" s="19">
        <f>IFERROR(K20/G20,0)</f>
        <v>0.18258426966292135</v>
      </c>
    </row>
    <row r="21" spans="2:13" ht="31" customHeight="1">
      <c r="B21" s="21" t="s">
        <v>61</v>
      </c>
      <c r="C21" s="17" t="s">
        <v>52</v>
      </c>
      <c r="D21" s="17" t="s">
        <v>63</v>
      </c>
      <c r="E21" s="21" t="str">
        <f>Codebook!F26</f>
        <v>True</v>
      </c>
      <c r="F21" s="18">
        <f>'Cohort analysis'!C6</f>
        <v>358</v>
      </c>
      <c r="G21" s="18">
        <f>COUNTIFS('Responses'!$S$6:$S$363,1,'Responses'!$AG$6:$AG$363,"&lt;&gt;")</f>
        <v>356</v>
      </c>
      <c r="H21" s="18">
        <f>SUMIFS('Responses'!$BY$6:$BY$363,'Responses'!$S$6:$S$363,1)</f>
        <v>201</v>
      </c>
      <c r="I21" s="19">
        <f>IFERROR(H21/G21,0)</f>
        <v>0.5646067415730337</v>
      </c>
      <c r="J21" s="18">
        <f>G21-H21-K21</f>
        <v>58</v>
      </c>
      <c r="K21" s="18">
        <f>COUNTIFS('Responses'!$AG$6:$AG$363,"Not sure",'Responses'!$S$6:$S$363,1)</f>
        <v>97</v>
      </c>
      <c r="L21" s="18">
        <f>F21-G21</f>
        <v>2</v>
      </c>
      <c r="M21" s="19">
        <f>IFERROR(K21/G21,0)</f>
        <v>0.27247191011235955</v>
      </c>
    </row>
    <row r="22" spans="2:13" ht="31" customHeight="1">
      <c r="B22" s="21" t="s">
        <v>64</v>
      </c>
      <c r="C22" s="17" t="s">
        <v>52</v>
      </c>
      <c r="D22" s="17" t="s">
        <v>66</v>
      </c>
      <c r="E22" s="21" t="str">
        <f>Codebook!F27</f>
        <v>True</v>
      </c>
      <c r="F22" s="18">
        <f>'Cohort analysis'!C6</f>
        <v>358</v>
      </c>
      <c r="G22" s="18">
        <f>COUNTIFS('Responses'!$S$6:$S$363,1,'Responses'!$AH$6:$AH$363,"&lt;&gt;")</f>
        <v>356</v>
      </c>
      <c r="H22" s="18">
        <f>SUMIFS('Responses'!$BZ$6:$BZ$363,'Responses'!$S$6:$S$363,1)</f>
        <v>227</v>
      </c>
      <c r="I22" s="19">
        <f>IFERROR(H22/G22,0)</f>
        <v>0.6376404494382022</v>
      </c>
      <c r="J22" s="18">
        <f>G22-H22-K22</f>
        <v>36</v>
      </c>
      <c r="K22" s="18">
        <f>COUNTIFS('Responses'!$AH$6:$AH$363,"Not sure",'Responses'!$S$6:$S$363,1)</f>
        <v>93</v>
      </c>
      <c r="L22" s="18">
        <f>F22-G22</f>
        <v>2</v>
      </c>
      <c r="M22" s="19">
        <f>IFERROR(K22/G22,0)</f>
        <v>0.2612359550561798</v>
      </c>
    </row>
    <row r="23" spans="2:13" ht="31" customHeight="1">
      <c r="B23" s="21" t="s">
        <v>67</v>
      </c>
      <c r="C23" s="17" t="s">
        <v>52</v>
      </c>
      <c r="D23" s="17" t="s">
        <v>69</v>
      </c>
      <c r="E23" s="21" t="str">
        <f>Codebook!F28</f>
        <v>False</v>
      </c>
      <c r="F23" s="18">
        <f>'Cohort analysis'!C6</f>
        <v>358</v>
      </c>
      <c r="G23" s="18">
        <f>COUNTIFS('Responses'!$S$6:$S$363,1,'Responses'!$AI$6:$AI$363,"&lt;&gt;")</f>
        <v>356</v>
      </c>
      <c r="H23" s="18">
        <f>SUMIFS('Responses'!$CA$6:$CA$363,'Responses'!$S$6:$S$363,1)</f>
        <v>76</v>
      </c>
      <c r="I23" s="19">
        <f>IFERROR(H23/G23,0)</f>
        <v>0.21348314606741572</v>
      </c>
      <c r="J23" s="18">
        <f>G23-H23-K23</f>
        <v>196</v>
      </c>
      <c r="K23" s="18">
        <f>COUNTIFS('Responses'!$AI$6:$AI$363,"Not sure",'Responses'!$S$6:$S$363,1)</f>
        <v>84</v>
      </c>
      <c r="L23" s="18">
        <f>F23-G23</f>
        <v>2</v>
      </c>
      <c r="M23" s="19">
        <f>IFERROR(K23/G23,0)</f>
        <v>0.23595505617977527</v>
      </c>
    </row>
    <row r="24" spans="2:13" ht="31" customHeight="1">
      <c r="B24" s="21" t="s">
        <v>70</v>
      </c>
      <c r="C24" s="17" t="s">
        <v>52</v>
      </c>
      <c r="D24" s="17" t="s">
        <v>72</v>
      </c>
      <c r="E24" s="21" t="str">
        <f>Codebook!F29</f>
        <v>False</v>
      </c>
      <c r="F24" s="18">
        <f>'Cohort analysis'!C6</f>
        <v>358</v>
      </c>
      <c r="G24" s="18">
        <f>COUNTIFS('Responses'!$S$6:$S$363,1,'Responses'!$AJ$6:$AJ$363,"&lt;&gt;")</f>
        <v>356</v>
      </c>
      <c r="H24" s="18">
        <f>SUMIFS('Responses'!$CB$6:$CB$363,'Responses'!$S$6:$S$363,1)</f>
        <v>42</v>
      </c>
      <c r="I24" s="19">
        <f>IFERROR(H24/G24,0)</f>
        <v>0.11797752808988764</v>
      </c>
      <c r="J24" s="18">
        <f>G24-H24-K24</f>
        <v>215</v>
      </c>
      <c r="K24" s="18">
        <f>COUNTIFS('Responses'!$AJ$6:$AJ$363,"Not sure",'Responses'!$S$6:$S$363,1)</f>
        <v>99</v>
      </c>
      <c r="L24" s="18">
        <f>F24-G24</f>
        <v>2</v>
      </c>
      <c r="M24" s="19">
        <f>IFERROR(K24/G24,0)</f>
        <v>0.27808988764044945</v>
      </c>
    </row>
    <row r="25" spans="2:13" ht="31" customHeight="1">
      <c r="B25" s="21" t="s">
        <v>73</v>
      </c>
      <c r="C25" s="17" t="s">
        <v>52</v>
      </c>
      <c r="D25" s="17" t="s">
        <v>75</v>
      </c>
      <c r="E25" s="21" t="str">
        <f>Codebook!F30</f>
        <v>True</v>
      </c>
      <c r="F25" s="18">
        <f>'Cohort analysis'!C6</f>
        <v>358</v>
      </c>
      <c r="G25" s="18">
        <f>COUNTIFS('Responses'!$S$6:$S$363,1,'Responses'!$AK$6:$AK$363,"&lt;&gt;")</f>
        <v>356</v>
      </c>
      <c r="H25" s="18">
        <f>SUMIFS('Responses'!$CC$6:$CC$363,'Responses'!$S$6:$S$363,1)</f>
        <v>235</v>
      </c>
      <c r="I25" s="19">
        <f>IFERROR(H25/G25,0)</f>
        <v>0.6601123595505618</v>
      </c>
      <c r="J25" s="18">
        <f>G25-H25-K25</f>
        <v>26</v>
      </c>
      <c r="K25" s="18">
        <f>COUNTIFS('Responses'!$AK$6:$AK$363,"Not sure",'Responses'!$S$6:$S$363,1)</f>
        <v>95</v>
      </c>
      <c r="L25" s="18">
        <f>F25-G25</f>
        <v>2</v>
      </c>
      <c r="M25" s="19">
        <f>IFERROR(K25/G25,0)</f>
        <v>0.26685393258426965</v>
      </c>
    </row>
    <row r="26" spans="2:13" ht="31" customHeight="1">
      <c r="B26" s="21" t="s">
        <v>76</v>
      </c>
      <c r="C26" s="17" t="s">
        <v>52</v>
      </c>
      <c r="D26" s="17" t="s">
        <v>78</v>
      </c>
      <c r="E26" s="21" t="str">
        <f>Codebook!F31</f>
        <v>False</v>
      </c>
      <c r="F26" s="18">
        <f>'Cohort analysis'!C6</f>
        <v>358</v>
      </c>
      <c r="G26" s="18">
        <f>COUNTIFS('Responses'!$S$6:$S$363,1,'Responses'!$AL$6:$AL$363,"&lt;&gt;")</f>
        <v>356</v>
      </c>
      <c r="H26" s="18">
        <f>SUMIFS('Responses'!$CD$6:$CD$363,'Responses'!$S$6:$S$363,1)</f>
        <v>126</v>
      </c>
      <c r="I26" s="19">
        <f>IFERROR(H26/G26,0)</f>
        <v>0.3539325842696629</v>
      </c>
      <c r="J26" s="18">
        <f>G26-H26-K26</f>
        <v>159</v>
      </c>
      <c r="K26" s="18">
        <f>COUNTIFS('Responses'!$AL$6:$AL$363,"Not sure",'Responses'!$S$6:$S$363,1)</f>
        <v>71</v>
      </c>
      <c r="L26" s="18">
        <f>F26-G26</f>
        <v>2</v>
      </c>
      <c r="M26" s="19">
        <f>IFERROR(K26/G26,0)</f>
        <v>0.199438202247191</v>
      </c>
    </row>
    <row r="27" spans="2:13" ht="31" customHeight="1">
      <c r="B27" s="21" t="s">
        <v>79</v>
      </c>
      <c r="C27" s="17" t="s">
        <v>80</v>
      </c>
      <c r="D27" s="17" t="s">
        <v>82</v>
      </c>
      <c r="E27" s="21" t="str">
        <f>Codebook!F32</f>
        <v>Covered</v>
      </c>
      <c r="F27" s="18">
        <f>'Cohort analysis'!C6</f>
        <v>358</v>
      </c>
      <c r="G27" s="18">
        <f>COUNTIFS('Responses'!$S$6:$S$363,1,'Responses'!$AM$6:$AM$363,"&lt;&gt;")</f>
        <v>358</v>
      </c>
      <c r="H27" s="18">
        <f>SUMIFS('Responses'!$CE$6:$CE$363,'Responses'!$S$6:$S$363,1)</f>
        <v>205</v>
      </c>
      <c r="I27" s="19">
        <f>IFERROR(H27/G27,0)</f>
        <v>0.5726256983240223</v>
      </c>
      <c r="J27" s="18">
        <f>G27-H27-K27</f>
        <v>53</v>
      </c>
      <c r="K27" s="18">
        <f>COUNTIFS('Responses'!$AM$6:$AM$363,"Not sure",'Responses'!$S$6:$S$363,1)</f>
        <v>100</v>
      </c>
      <c r="L27" s="18">
        <f>F27-G27</f>
        <v>0</v>
      </c>
      <c r="M27" s="19">
        <f>IFERROR(K27/G27,0)</f>
        <v>0.27932960893854747</v>
      </c>
    </row>
    <row r="28" spans="2:13" ht="31" customHeight="1">
      <c r="B28" s="21" t="s">
        <v>84</v>
      </c>
      <c r="C28" s="17" t="s">
        <v>80</v>
      </c>
      <c r="D28" s="17" t="s">
        <v>86</v>
      </c>
      <c r="E28" s="21" t="str">
        <f>Codebook!F33</f>
        <v>Covered</v>
      </c>
      <c r="F28" s="18">
        <f>'Cohort analysis'!C6</f>
        <v>358</v>
      </c>
      <c r="G28" s="18">
        <f>COUNTIFS('Responses'!$S$6:$S$363,1,'Responses'!$AN$6:$AN$363,"&lt;&gt;")</f>
        <v>358</v>
      </c>
      <c r="H28" s="18">
        <f>SUMIFS('Responses'!$CF$6:$CF$363,'Responses'!$S$6:$S$363,1)</f>
        <v>202</v>
      </c>
      <c r="I28" s="19">
        <f>IFERROR(H28/G28,0)</f>
        <v>0.5642458100558659</v>
      </c>
      <c r="J28" s="18">
        <f>G28-H28-K28</f>
        <v>71</v>
      </c>
      <c r="K28" s="18">
        <f>COUNTIFS('Responses'!$AN$6:$AN$363,"Not sure",'Responses'!$S$6:$S$363,1)</f>
        <v>85</v>
      </c>
      <c r="L28" s="18">
        <f>F28-G28</f>
        <v>0</v>
      </c>
      <c r="M28" s="19">
        <f>IFERROR(K28/G28,0)</f>
        <v>0.23743016759776536</v>
      </c>
    </row>
    <row r="29" spans="2:13" ht="31" customHeight="1">
      <c r="B29" s="21" t="s">
        <v>87</v>
      </c>
      <c r="C29" s="17" t="s">
        <v>80</v>
      </c>
      <c r="D29" s="17" t="s">
        <v>89</v>
      </c>
      <c r="E29" s="21" t="str">
        <f>Codebook!F34</f>
        <v>Covered</v>
      </c>
      <c r="F29" s="18">
        <f>'Cohort analysis'!C6</f>
        <v>358</v>
      </c>
      <c r="G29" s="18">
        <f>COUNTIFS('Responses'!$S$6:$S$363,1,'Responses'!$AO$6:$AO$363,"&lt;&gt;")</f>
        <v>358</v>
      </c>
      <c r="H29" s="18">
        <f>SUMIFS('Responses'!$CG$6:$CG$363,'Responses'!$S$6:$S$363,1)</f>
        <v>191</v>
      </c>
      <c r="I29" s="19">
        <f>IFERROR(H29/G29,0)</f>
        <v>0.5335195530726257</v>
      </c>
      <c r="J29" s="18">
        <f>G29-H29-K29</f>
        <v>63</v>
      </c>
      <c r="K29" s="18">
        <f>COUNTIFS('Responses'!$AO$6:$AO$363,"Not sure",'Responses'!$S$6:$S$363,1)</f>
        <v>104</v>
      </c>
      <c r="L29" s="18">
        <f>F29-G29</f>
        <v>0</v>
      </c>
      <c r="M29" s="19">
        <f>IFERROR(K29/G29,0)</f>
        <v>0.2905027932960894</v>
      </c>
    </row>
    <row r="30" spans="2:13" ht="31" customHeight="1">
      <c r="B30" s="21" t="s">
        <v>90</v>
      </c>
      <c r="C30" s="17" t="s">
        <v>80</v>
      </c>
      <c r="D30" s="17" t="s">
        <v>92</v>
      </c>
      <c r="E30" s="21" t="str">
        <f>Codebook!F35</f>
        <v>Covered</v>
      </c>
      <c r="F30" s="18">
        <f>'Cohort analysis'!C6</f>
        <v>358</v>
      </c>
      <c r="G30" s="18">
        <f>COUNTIFS('Responses'!$S$6:$S$363,1,'Responses'!$AP$6:$AP$363,"&lt;&gt;")</f>
        <v>358</v>
      </c>
      <c r="H30" s="18">
        <f>SUMIFS('Responses'!$CH$6:$CH$363,'Responses'!$S$6:$S$363,1)</f>
        <v>201</v>
      </c>
      <c r="I30" s="19">
        <f>IFERROR(H30/G30,0)</f>
        <v>0.5614525139664804</v>
      </c>
      <c r="J30" s="18">
        <f>G30-H30-K30</f>
        <v>54</v>
      </c>
      <c r="K30" s="18">
        <f>COUNTIFS('Responses'!$AP$6:$AP$363,"Not sure",'Responses'!$S$6:$S$363,1)</f>
        <v>103</v>
      </c>
      <c r="L30" s="18">
        <f>F30-G30</f>
        <v>0</v>
      </c>
      <c r="M30" s="19">
        <f>IFERROR(K30/G30,0)</f>
        <v>0.2877094972067039</v>
      </c>
    </row>
    <row r="31" spans="2:13" ht="31" customHeight="1">
      <c r="B31" s="21" t="s">
        <v>93</v>
      </c>
      <c r="C31" s="17" t="s">
        <v>80</v>
      </c>
      <c r="D31" s="17" t="s">
        <v>95</v>
      </c>
      <c r="E31" s="21" t="str">
        <f>Codebook!F36</f>
        <v>Covered</v>
      </c>
      <c r="F31" s="18">
        <f>'Cohort analysis'!C6</f>
        <v>358</v>
      </c>
      <c r="G31" s="18">
        <f>COUNTIFS('Responses'!$S$6:$S$363,1,'Responses'!$AQ$6:$AQ$363,"&lt;&gt;")</f>
        <v>358</v>
      </c>
      <c r="H31" s="18">
        <f>SUMIFS('Responses'!$CI$6:$CI$363,'Responses'!$S$6:$S$363,1)</f>
        <v>189</v>
      </c>
      <c r="I31" s="19">
        <f>IFERROR(H31/G31,0)</f>
        <v>0.5279329608938548</v>
      </c>
      <c r="J31" s="18">
        <f>G31-H31-K31</f>
        <v>55</v>
      </c>
      <c r="K31" s="18">
        <f>COUNTIFS('Responses'!$AQ$6:$AQ$363,"Not sure",'Responses'!$S$6:$S$363,1)</f>
        <v>114</v>
      </c>
      <c r="L31" s="18">
        <f>F31-G31</f>
        <v>0</v>
      </c>
      <c r="M31" s="19">
        <f>IFERROR(K31/G31,0)</f>
        <v>0.31843575418994413</v>
      </c>
    </row>
    <row r="32" spans="2:13" ht="31" customHeight="1">
      <c r="B32" s="21" t="s">
        <v>96</v>
      </c>
      <c r="C32" s="17" t="s">
        <v>80</v>
      </c>
      <c r="D32" s="17" t="s">
        <v>98</v>
      </c>
      <c r="E32" s="21" t="str">
        <f>Codebook!F37</f>
        <v>Covered</v>
      </c>
      <c r="F32" s="18">
        <f>'Cohort analysis'!C6</f>
        <v>358</v>
      </c>
      <c r="G32" s="18">
        <f>COUNTIFS('Responses'!$S$6:$S$363,1,'Responses'!$AR$6:$AR$363,"&lt;&gt;")</f>
        <v>358</v>
      </c>
      <c r="H32" s="18">
        <f>SUMIFS('Responses'!$CJ$6:$CJ$363,'Responses'!$S$6:$S$363,1)</f>
        <v>198</v>
      </c>
      <c r="I32" s="19">
        <f>IFERROR(H32/G32,0)</f>
        <v>0.553072625698324</v>
      </c>
      <c r="J32" s="18">
        <f>G32-H32-K32</f>
        <v>48</v>
      </c>
      <c r="K32" s="18">
        <f>COUNTIFS('Responses'!$AR$6:$AR$363,"Not sure",'Responses'!$S$6:$S$363,1)</f>
        <v>112</v>
      </c>
      <c r="L32" s="18">
        <f>F32-G32</f>
        <v>0</v>
      </c>
      <c r="M32" s="19">
        <f>IFERROR(K32/G32,0)</f>
        <v>0.3128491620111732</v>
      </c>
    </row>
    <row r="33" spans="2:15" ht="31" customHeight="1">
      <c r="B33" s="21" t="s">
        <v>99</v>
      </c>
      <c r="C33" s="17" t="s">
        <v>80</v>
      </c>
      <c r="D33" s="17" t="s">
        <v>101</v>
      </c>
      <c r="E33" s="21" t="str">
        <f>Codebook!F38</f>
        <v>Covered</v>
      </c>
      <c r="F33" s="18">
        <f>'Cohort analysis'!C6</f>
        <v>358</v>
      </c>
      <c r="G33" s="18">
        <f>COUNTIFS('Responses'!$S$6:$S$363,1,'Responses'!$AS$6:$AS$363,"&lt;&gt;")</f>
        <v>358</v>
      </c>
      <c r="H33" s="18">
        <f>SUMIFS('Responses'!$CK$6:$CK$363,'Responses'!$S$6:$S$363,1)</f>
        <v>192</v>
      </c>
      <c r="I33" s="19">
        <f>IFERROR(H33/G33,0)</f>
        <v>0.5363128491620112</v>
      </c>
      <c r="J33" s="18">
        <f>G33-H33-K33</f>
        <v>56</v>
      </c>
      <c r="K33" s="18">
        <f>COUNTIFS('Responses'!$AS$6:$AS$363,"Not sure",'Responses'!$S$6:$S$363,1)</f>
        <v>110</v>
      </c>
      <c r="L33" s="18">
        <f>F33-G33</f>
        <v>0</v>
      </c>
      <c r="M33" s="19">
        <f>IFERROR(K33/G33,0)</f>
        <v>0.30726256983240224</v>
      </c>
    </row>
    <row r="34" spans="2:15" ht="31" customHeight="1">
      <c r="B34" s="21" t="s">
        <v>102</v>
      </c>
      <c r="C34" s="17" t="s">
        <v>80</v>
      </c>
      <c r="D34" s="17" t="s">
        <v>104</v>
      </c>
      <c r="E34" s="21" t="str">
        <f>Codebook!F39</f>
        <v>Covered</v>
      </c>
      <c r="F34" s="18">
        <f>'Cohort analysis'!C6</f>
        <v>358</v>
      </c>
      <c r="G34" s="18">
        <f>COUNTIFS('Responses'!$S$6:$S$363,1,'Responses'!$AT$6:$AT$363,"&lt;&gt;")</f>
        <v>358</v>
      </c>
      <c r="H34" s="18">
        <f>SUMIFS('Responses'!$CL$6:$CL$363,'Responses'!$S$6:$S$363,1)</f>
        <v>177</v>
      </c>
      <c r="I34" s="19">
        <f>IFERROR(H34/G34,0)</f>
        <v>0.49441340782122906</v>
      </c>
      <c r="J34" s="18">
        <f>G34-H34-K34</f>
        <v>45</v>
      </c>
      <c r="K34" s="18">
        <f>COUNTIFS('Responses'!$AT$6:$AT$363,"Not sure",'Responses'!$S$6:$S$363,1)</f>
        <v>136</v>
      </c>
      <c r="L34" s="18">
        <f>F34-G34</f>
        <v>0</v>
      </c>
      <c r="M34" s="19">
        <f>IFERROR(K34/G34,0)</f>
        <v>0.37988826815642457</v>
      </c>
    </row>
    <row r="35" spans="2:15" ht="31" customHeight="1">
      <c r="B35" s="21" t="s">
        <v>105</v>
      </c>
      <c r="C35" s="17" t="s">
        <v>106</v>
      </c>
      <c r="D35" s="17" t="s">
        <v>108</v>
      </c>
      <c r="E35" s="21" t="str">
        <f>Codebook!F40</f>
        <v>Not covered</v>
      </c>
      <c r="F35" s="18">
        <f>'Cohort analysis'!C6</f>
        <v>358</v>
      </c>
      <c r="G35" s="18">
        <f>COUNTIFS('Responses'!$S$6:$S$363,1,'Responses'!$AU$6:$AU$363,"&lt;&gt;")</f>
        <v>358</v>
      </c>
      <c r="H35" s="18">
        <f>SUMIFS('Responses'!$CM$6:$CM$363,'Responses'!$S$6:$S$363,1)</f>
        <v>116</v>
      </c>
      <c r="I35" s="19">
        <f>IFERROR(H35/G35,0)</f>
        <v>0.3240223463687151</v>
      </c>
      <c r="J35" s="18">
        <f>G35-H35-K35</f>
        <v>124</v>
      </c>
      <c r="K35" s="18">
        <f>COUNTIFS('Responses'!$AU$6:$AU$363,"Not sure",'Responses'!$S$6:$S$363,1)</f>
        <v>118</v>
      </c>
      <c r="L35" s="18">
        <f>F35-G35</f>
        <v>0</v>
      </c>
      <c r="M35" s="19">
        <f>IFERROR(K35/G35,0)</f>
        <v>0.329608938547486</v>
      </c>
    </row>
    <row r="36" spans="2:15" ht="31" customHeight="1">
      <c r="B36" s="21" t="s">
        <v>110</v>
      </c>
      <c r="C36" s="17" t="s">
        <v>106</v>
      </c>
      <c r="D36" s="17" t="s">
        <v>112</v>
      </c>
      <c r="E36" s="21" t="str">
        <f>Codebook!F41</f>
        <v>Not covered</v>
      </c>
      <c r="F36" s="18">
        <f>'Cohort analysis'!C6</f>
        <v>358</v>
      </c>
      <c r="G36" s="18">
        <f>COUNTIFS('Responses'!$S$6:$S$363,1,'Responses'!$AV$6:$AV$363,"&lt;&gt;")</f>
        <v>358</v>
      </c>
      <c r="H36" s="18">
        <f>SUMIFS('Responses'!$CN$6:$CN$363,'Responses'!$S$6:$S$363,1)</f>
        <v>110</v>
      </c>
      <c r="I36" s="19">
        <f>IFERROR(H36/G36,0)</f>
        <v>0.30726256983240224</v>
      </c>
      <c r="J36" s="18">
        <f>G36-H36-K36</f>
        <v>127</v>
      </c>
      <c r="K36" s="18">
        <f>COUNTIFS('Responses'!$AV$6:$AV$363,"Not sure",'Responses'!$S$6:$S$363,1)</f>
        <v>121</v>
      </c>
      <c r="L36" s="18">
        <f>F36-G36</f>
        <v>0</v>
      </c>
      <c r="M36" s="19">
        <f>IFERROR(K36/G36,0)</f>
        <v>0.33798882681564246</v>
      </c>
    </row>
    <row r="37" spans="2:15" ht="31" customHeight="1">
      <c r="B37" s="21" t="s">
        <v>113</v>
      </c>
      <c r="C37" s="17" t="s">
        <v>106</v>
      </c>
      <c r="D37" s="17" t="s">
        <v>115</v>
      </c>
      <c r="E37" s="21" t="str">
        <f>Codebook!F42</f>
        <v>Not covered</v>
      </c>
      <c r="F37" s="18">
        <f>'Cohort analysis'!C6</f>
        <v>358</v>
      </c>
      <c r="G37" s="18">
        <f>COUNTIFS('Responses'!$S$6:$S$363,1,'Responses'!$AW$6:$AW$363,"&lt;&gt;")</f>
        <v>358</v>
      </c>
      <c r="H37" s="18">
        <f>SUMIFS('Responses'!$CO$6:$CO$363,'Responses'!$S$6:$S$363,1)</f>
        <v>98</v>
      </c>
      <c r="I37" s="19">
        <f>IFERROR(H37/G37,0)</f>
        <v>0.2737430167597765</v>
      </c>
      <c r="J37" s="18">
        <f>G37-H37-K37</f>
        <v>125</v>
      </c>
      <c r="K37" s="18">
        <f>COUNTIFS('Responses'!$AW$6:$AW$363,"Not sure",'Responses'!$S$6:$S$363,1)</f>
        <v>135</v>
      </c>
      <c r="L37" s="18">
        <f>F37-G37</f>
        <v>0</v>
      </c>
      <c r="M37" s="19">
        <f>IFERROR(K37/G37,0)</f>
        <v>0.3770949720670391</v>
      </c>
    </row>
    <row r="38" spans="2:15" ht="31" customHeight="1">
      <c r="B38" s="21" t="s">
        <v>116</v>
      </c>
      <c r="C38" s="17" t="s">
        <v>106</v>
      </c>
      <c r="D38" s="17" t="s">
        <v>118</v>
      </c>
      <c r="E38" s="21" t="str">
        <f>Codebook!F43</f>
        <v>Not covered</v>
      </c>
      <c r="F38" s="18">
        <f>'Cohort analysis'!C6</f>
        <v>358</v>
      </c>
      <c r="G38" s="18">
        <f>COUNTIFS('Responses'!$S$6:$S$363,1,'Responses'!$AX$6:$AX$363,"&lt;&gt;")</f>
        <v>358</v>
      </c>
      <c r="H38" s="18">
        <f>SUMIFS('Responses'!$CP$6:$CP$363,'Responses'!$S$6:$S$363,1)</f>
        <v>107</v>
      </c>
      <c r="I38" s="19">
        <f>IFERROR(H38/G38,0)</f>
        <v>0.2988826815642458</v>
      </c>
      <c r="J38" s="18">
        <f>G38-H38-K38</f>
        <v>113</v>
      </c>
      <c r="K38" s="18">
        <f>COUNTIFS('Responses'!$AX$6:$AX$363,"Not sure",'Responses'!$S$6:$S$363,1)</f>
        <v>138</v>
      </c>
      <c r="L38" s="18">
        <f>F38-G38</f>
        <v>0</v>
      </c>
      <c r="M38" s="19">
        <f>IFERROR(K38/G38,0)</f>
        <v>0.3854748603351955</v>
      </c>
    </row>
    <row r="39" spans="2:15" ht="31" customHeight="1">
      <c r="B39" s="21" t="s">
        <v>119</v>
      </c>
      <c r="C39" s="17" t="s">
        <v>106</v>
      </c>
      <c r="D39" s="17" t="s">
        <v>121</v>
      </c>
      <c r="E39" s="21" t="str">
        <f>Codebook!F44</f>
        <v>Not covered</v>
      </c>
      <c r="F39" s="18">
        <f>'Cohort analysis'!C6</f>
        <v>358</v>
      </c>
      <c r="G39" s="18">
        <f>COUNTIFS('Responses'!$S$6:$S$363,1,'Responses'!$AY$6:$AY$363,"&lt;&gt;")</f>
        <v>358</v>
      </c>
      <c r="H39" s="18">
        <f>SUMIFS('Responses'!$CQ$6:$CQ$363,'Responses'!$S$6:$S$363,1)</f>
        <v>103</v>
      </c>
      <c r="I39" s="19">
        <f>IFERROR(H39/G39,0)</f>
        <v>0.2877094972067039</v>
      </c>
      <c r="J39" s="18">
        <f>G39-H39-K39</f>
        <v>111</v>
      </c>
      <c r="K39" s="18">
        <f>COUNTIFS('Responses'!$AY$6:$AY$363,"Not sure",'Responses'!$S$6:$S$363,1)</f>
        <v>144</v>
      </c>
      <c r="L39" s="18">
        <f>F39-G39</f>
        <v>0</v>
      </c>
      <c r="M39" s="19">
        <f>IFERROR(K39/G39,0)</f>
        <v>0.4022346368715084</v>
      </c>
    </row>
    <row r="40" spans="2:15" ht="31" customHeight="1">
      <c r="B40" s="21" t="s">
        <v>122</v>
      </c>
      <c r="C40" s="17" t="s">
        <v>106</v>
      </c>
      <c r="D40" s="17" t="s">
        <v>124</v>
      </c>
      <c r="E40" s="21" t="str">
        <f>Codebook!F45</f>
        <v>Not covered</v>
      </c>
      <c r="F40" s="18">
        <f>'Cohort analysis'!C6</f>
        <v>358</v>
      </c>
      <c r="G40" s="18">
        <f>COUNTIFS('Responses'!$S$6:$S$363,1,'Responses'!$AZ$6:$AZ$363,"&lt;&gt;")</f>
        <v>358</v>
      </c>
      <c r="H40" s="18">
        <f>SUMIFS('Responses'!$CR$6:$CR$363,'Responses'!$S$6:$S$363,1)</f>
        <v>109</v>
      </c>
      <c r="I40" s="19">
        <f>IFERROR(H40/G40,0)</f>
        <v>0.30446927374301674</v>
      </c>
      <c r="J40" s="18">
        <f>G40-H40-K40</f>
        <v>98</v>
      </c>
      <c r="K40" s="18">
        <f>COUNTIFS('Responses'!$AZ$6:$AZ$363,"Not sure",'Responses'!$S$6:$S$363,1)</f>
        <v>151</v>
      </c>
      <c r="L40" s="18">
        <f>F40-G40</f>
        <v>0</v>
      </c>
      <c r="M40" s="19">
        <f>IFERROR(K40/G40,0)</f>
        <v>0.42178770949720673</v>
      </c>
    </row>
    <row r="45" spans="2:15" ht="32" customHeight="1">
      <c r="B45" s="16" t="s">
        <v>418</v>
      </c>
      <c r="C45" s="16" t="s">
        <v>413</v>
      </c>
    </row>
    <row r="46" spans="2:15" ht="20" customHeight="1">
      <c r="B46" s="17" t="s">
        <v>419</v>
      </c>
      <c r="C46" s="19">
        <f>I24</f>
        <v>0.11797752808988764</v>
      </c>
      <c r="O46" s="17" t="s">
        <v>491</v>
      </c>
    </row>
    <row r="47" spans="2:15" ht="20" customHeight="1">
      <c r="B47" s="17" t="s">
        <v>420</v>
      </c>
      <c r="C47" s="19">
        <f>I9</f>
        <v>0.1564245810055866</v>
      </c>
      <c r="O47" s="17" t="s">
        <v>492</v>
      </c>
    </row>
    <row r="48" spans="2:15" ht="20" customHeight="1">
      <c r="B48" s="17" t="s">
        <v>421</v>
      </c>
      <c r="C48" s="19">
        <f>I23</f>
        <v>0.21348314606741572</v>
      </c>
      <c r="O48" s="17" t="s">
        <v>493</v>
      </c>
    </row>
    <row r="49" spans="2:15" ht="20" customHeight="1">
      <c r="B49" s="17" t="s">
        <v>422</v>
      </c>
      <c r="C49" s="19">
        <f>I16</f>
        <v>0.2206703910614525</v>
      </c>
      <c r="O49" s="17" t="s">
        <v>494</v>
      </c>
    </row>
    <row r="50" spans="2:15" ht="20" customHeight="1">
      <c r="B50" s="17" t="s">
        <v>423</v>
      </c>
      <c r="C50" s="19">
        <f>I10</f>
        <v>0.23184357541899442</v>
      </c>
      <c r="O50" s="17" t="s">
        <v>495</v>
      </c>
    </row>
  </sheetData>
  <mergeCells count="3">
    <mergeCell ref="B2:M2"/>
    <mergeCell ref="B3:M3"/>
    <mergeCell ref="B5:M5"/>
  </mergeCells>
  <conditionalFormatting sqref="I8:I40">
    <cfRule type="colorScale" priority="1">
      <colorScale>
        <cfvo type="num" val="0"/>
        <cfvo type="num" val="0.5"/>
        <cfvo type="num" val="1"/>
        <color rgb="FFF9DECF"/>
        <color rgb="FFFFF6DE"/>
        <color rgb="FFC8E1D6"/>
      </colorScale>
    </cfRule>
  </conditionalFormatting>
  <hyperlinks>
    <hyperlink ref="B1" location="'Overview'!B2" display="Back to dashboard"/>
  </hyperlinks>
  <pageMargins left="0.25" right="0.25" top="0.35" bottom="0.35" header="0.3" footer="0.15"/>
  <pageSetup paperSize="9" fitToHeight="0" orientation="landscape"/>
  <headerFooter>
    <oddFooter>&amp;LUNZA | Ridgeway Campus&amp;CHealth insurance survey&amp;RPage &amp;P of &amp;N</oddFooter>
  </headerFooter>
  <tableParts count="1">
    <tablePart r:id="rId1"/>
  </tableParts>
</worksheet>
</file>

<file path=xl/worksheets/sheet4.xml><?xml version="1.0" encoding="utf-8"?>
<worksheet xmlns="http://schemas.openxmlformats.org/spreadsheetml/2006/main" xmlns:r="http://schemas.openxmlformats.org/officeDocument/2006/relationships">
  <sheetPr>
    <tabColor rgb="FF1A5F5F"/>
    <pageSetUpPr fitToPage="1"/>
  </sheetPr>
  <dimension ref="B1:H4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20" customHeight="1"/>
  <cols>
    <col min="1" max="1" width="3.7109375" customWidth="1"/>
    <col min="2" max="2" width="29.7109375" customWidth="1"/>
    <col min="3" max="7" width="15.7109375" customWidth="1"/>
    <col min="8" max="8" width="35.7109375" customWidth="1"/>
  </cols>
  <sheetData>
    <row r="1" spans="2:8" ht="20" customHeight="1">
      <c r="B1" s="15" t="s">
        <v>0</v>
      </c>
    </row>
    <row r="2" spans="2:8" ht="36" customHeight="1">
      <c r="B2" s="1" t="s">
        <v>424</v>
      </c>
      <c r="C2" s="1"/>
      <c r="D2" s="1"/>
      <c r="E2" s="1"/>
      <c r="F2" s="1"/>
      <c r="G2" s="1"/>
      <c r="H2" s="1"/>
    </row>
    <row r="3" spans="2:8" ht="28" customHeight="1">
      <c r="B3" s="2" t="s">
        <v>425</v>
      </c>
      <c r="C3" s="2"/>
      <c r="D3" s="2"/>
      <c r="E3" s="2"/>
      <c r="F3" s="2"/>
      <c r="G3" s="2"/>
      <c r="H3" s="2"/>
    </row>
    <row r="5" spans="2:8" ht="36" customHeight="1">
      <c r="B5" s="14" t="s">
        <v>426</v>
      </c>
      <c r="C5" s="14"/>
      <c r="D5" s="14"/>
      <c r="E5" s="14"/>
      <c r="F5" s="14"/>
      <c r="G5" s="14"/>
      <c r="H5" s="14"/>
    </row>
    <row r="7" spans="2:8" ht="32" customHeight="1">
      <c r="B7" s="16" t="s">
        <v>427</v>
      </c>
      <c r="C7" s="16" t="s">
        <v>428</v>
      </c>
      <c r="D7" s="16" t="s">
        <v>429</v>
      </c>
      <c r="E7" s="16" t="s">
        <v>430</v>
      </c>
      <c r="F7" s="16" t="s">
        <v>431</v>
      </c>
      <c r="G7" s="16" t="s">
        <v>432</v>
      </c>
      <c r="H7" s="16" t="s">
        <v>433</v>
      </c>
    </row>
    <row r="8" spans="2:8" ht="20" customHeight="1">
      <c r="B8" s="17" t="s">
        <v>127</v>
      </c>
      <c r="C8" s="20">
        <f>SUM(H17:H18)</f>
        <v>0.6636839708958253</v>
      </c>
      <c r="D8" s="18">
        <v>1</v>
      </c>
      <c r="E8" s="22">
        <f>_xlfn.CHISQ.DIST.RT(C8,D8)</f>
        <v>0.4152623678702242</v>
      </c>
      <c r="F8" s="21" t="str">
        <f>IF(E8&lt;0.05,"Yes","No")</f>
        <v>No</v>
      </c>
      <c r="G8" s="20">
        <f>MIN(F17:G18)</f>
        <v>48.04469273743017</v>
      </c>
      <c r="H8" s="17" t="s">
        <v>441</v>
      </c>
    </row>
    <row r="9" spans="2:8" ht="20" customHeight="1">
      <c r="B9" s="17" t="s">
        <v>129</v>
      </c>
      <c r="C9" s="20">
        <f>SUM(H24:H27)</f>
        <v>1.747465866569177</v>
      </c>
      <c r="D9" s="18">
        <v>3</v>
      </c>
      <c r="E9" s="22">
        <f>_xlfn.CHISQ.DIST.RT(C9,D9)</f>
        <v>0.6264331124960878</v>
      </c>
      <c r="F9" s="21" t="str">
        <f>IF(E9&lt;0.05,"Yes","No")</f>
        <v>No</v>
      </c>
      <c r="G9" s="20">
        <f>MIN(F24:G27)</f>
        <v>11.452513966480447</v>
      </c>
      <c r="H9" s="17" t="s">
        <v>444</v>
      </c>
    </row>
    <row r="10" spans="2:8" ht="20" customHeight="1">
      <c r="B10" s="17" t="s">
        <v>130</v>
      </c>
      <c r="C10" s="20">
        <f>SUM(H33:H37)</f>
        <v>14.190746842661621</v>
      </c>
      <c r="D10" s="18">
        <v>4</v>
      </c>
      <c r="E10" s="22">
        <f>_xlfn.CHISQ.DIST.RT(C10,D10)</f>
        <v>0.006710507446883185</v>
      </c>
      <c r="F10" s="21" t="str">
        <f>IF(E10&lt;0.05,"Yes","No")</f>
        <v>Yes</v>
      </c>
      <c r="G10" s="20">
        <f>MIN(F33:G37)</f>
        <v>15.363128491620111</v>
      </c>
      <c r="H10" s="17" t="s">
        <v>444</v>
      </c>
    </row>
    <row r="11" spans="2:8" ht="20" customHeight="1">
      <c r="B11" s="17" t="s">
        <v>131</v>
      </c>
      <c r="C11" s="20">
        <f>SUM(H43:H45)</f>
        <v>14.346916812673284</v>
      </c>
      <c r="D11" s="18">
        <v>2</v>
      </c>
      <c r="E11" s="22">
        <f>_xlfn.CHISQ.DIST.RT(C11,D11)</f>
        <v>0.0007666666960901851</v>
      </c>
      <c r="F11" s="21" t="str">
        <f>IF(E11&lt;0.05,"Yes","No")</f>
        <v>Yes</v>
      </c>
      <c r="G11" s="20">
        <f>MIN(F43:G45)</f>
        <v>18.71508379888268</v>
      </c>
      <c r="H11" s="17" t="s">
        <v>444</v>
      </c>
    </row>
    <row r="15" spans="2:8" ht="27" customHeight="1">
      <c r="B15" s="13" t="s">
        <v>434</v>
      </c>
      <c r="C15" s="13"/>
      <c r="D15" s="13"/>
      <c r="E15" s="13"/>
      <c r="F15" s="13"/>
      <c r="G15" s="13"/>
      <c r="H15" s="13"/>
    </row>
    <row r="16" spans="2:8" ht="32" customHeight="1">
      <c r="B16" s="16" t="s">
        <v>435</v>
      </c>
      <c r="C16" s="16" t="s">
        <v>436</v>
      </c>
      <c r="D16" s="16" t="s">
        <v>392</v>
      </c>
      <c r="E16" s="16" t="s">
        <v>437</v>
      </c>
      <c r="F16" s="16" t="s">
        <v>438</v>
      </c>
      <c r="G16" s="16" t="s">
        <v>439</v>
      </c>
      <c r="H16" s="16" t="s">
        <v>440</v>
      </c>
    </row>
    <row r="17" spans="2:8" ht="38" customHeight="1">
      <c r="B17" s="17" t="s">
        <v>206</v>
      </c>
      <c r="C17" s="18">
        <f>COUNTIFS('Responses'!$E$6:$E$363,B17,'Responses'!$L$6:$L$363,0)</f>
        <v>138</v>
      </c>
      <c r="D17" s="18">
        <f>COUNTIFS('Responses'!$E$6:$E$363,B17,'Responses'!$L$6:$L$363,1)</f>
        <v>48</v>
      </c>
      <c r="E17" s="18">
        <f>SUM(C17:D17)</f>
        <v>186</v>
      </c>
      <c r="F17" s="20">
        <f>E17*COUNTIF('Responses'!$L$6:$L$363,0)/COUNTA('Responses'!$B$6:$B$363)</f>
        <v>134.04469273743015</v>
      </c>
      <c r="G17" s="20">
        <f>E17*COUNTIF('Responses'!$L$6:$L$363,1)/COUNTA('Responses'!$B$6:$B$363)</f>
        <v>51.95530726256983</v>
      </c>
      <c r="H17" s="20">
        <f>IFERROR((MAX(0,ABS(C17-F17)-0.5)^2/F17)+(MAX(0,ABS(D17-G17)-0.5)^2/G17),0)</f>
        <v>0.3188649245644751</v>
      </c>
    </row>
    <row r="18" spans="2:8" ht="38" customHeight="1">
      <c r="B18" s="17" t="s">
        <v>194</v>
      </c>
      <c r="C18" s="18">
        <f>COUNTIFS('Responses'!$E$6:$E$363,B18,'Responses'!$L$6:$L$363,0)</f>
        <v>120</v>
      </c>
      <c r="D18" s="18">
        <f>COUNTIFS('Responses'!$E$6:$E$363,B18,'Responses'!$L$6:$L$363,1)</f>
        <v>52</v>
      </c>
      <c r="E18" s="18">
        <f>SUM(C18:D18)</f>
        <v>172</v>
      </c>
      <c r="F18" s="20">
        <f>E18*COUNTIF('Responses'!$L$6:$L$363,0)/COUNTA('Responses'!$B$6:$B$363)</f>
        <v>123.95530726256983</v>
      </c>
      <c r="G18" s="20">
        <f>E18*COUNTIF('Responses'!$L$6:$L$363,1)/COUNTA('Responses'!$B$6:$B$363)</f>
        <v>48.04469273743017</v>
      </c>
      <c r="H18" s="20">
        <f>IFERROR((MAX(0,ABS(C18-F18)-0.5)^2/F18)+(MAX(0,ABS(D18-G18)-0.5)^2/G18),0)</f>
        <v>0.3448190463313502</v>
      </c>
    </row>
    <row r="19" spans="2:8" ht="24" customHeight="1">
      <c r="B19" s="5" t="s">
        <v>442</v>
      </c>
      <c r="C19" s="5"/>
      <c r="D19" s="5"/>
      <c r="E19" s="5"/>
      <c r="F19" s="5"/>
      <c r="G19" s="5"/>
      <c r="H19" s="5"/>
    </row>
    <row r="22" spans="2:8" ht="27" customHeight="1">
      <c r="B22" s="13" t="s">
        <v>443</v>
      </c>
      <c r="C22" s="13"/>
      <c r="D22" s="13"/>
      <c r="E22" s="13"/>
      <c r="F22" s="13"/>
      <c r="G22" s="13"/>
      <c r="H22" s="13"/>
    </row>
    <row r="23" spans="2:8" ht="32" customHeight="1">
      <c r="B23" s="16" t="s">
        <v>435</v>
      </c>
      <c r="C23" s="16" t="s">
        <v>436</v>
      </c>
      <c r="D23" s="16" t="s">
        <v>392</v>
      </c>
      <c r="E23" s="16" t="s">
        <v>437</v>
      </c>
      <c r="F23" s="16" t="s">
        <v>438</v>
      </c>
      <c r="G23" s="16" t="s">
        <v>439</v>
      </c>
      <c r="H23" s="16" t="s">
        <v>440</v>
      </c>
    </row>
    <row r="24" spans="2:8" ht="38" customHeight="1">
      <c r="B24" s="17" t="s">
        <v>212</v>
      </c>
      <c r="C24" s="18">
        <f>COUNTIFS('Responses'!$F$6:$F$363,B24,'Responses'!$L$6:$L$363,0)</f>
        <v>62</v>
      </c>
      <c r="D24" s="18">
        <f>COUNTIFS('Responses'!$F$6:$F$363,B24,'Responses'!$L$6:$L$363,1)</f>
        <v>19</v>
      </c>
      <c r="E24" s="18">
        <f>SUM(C24:D24)</f>
        <v>81</v>
      </c>
      <c r="F24" s="20">
        <f>E24*COUNTIF('Responses'!$L$6:$L$363,0)/COUNTA('Responses'!$B$6:$B$363)</f>
        <v>58.374301675977655</v>
      </c>
      <c r="G24" s="20">
        <f>E24*COUNTIF('Responses'!$L$6:$L$363,1)/COUNTA('Responses'!$B$6:$B$363)</f>
        <v>22.625698324022345</v>
      </c>
      <c r="H24" s="20">
        <f>IFERROR((C24-F24)^2/F24+(D24-G24)^2/G24,0)</f>
        <v>0.8062034644463578</v>
      </c>
    </row>
    <row r="25" spans="2:8" ht="38" customHeight="1">
      <c r="B25" s="17" t="s">
        <v>195</v>
      </c>
      <c r="C25" s="18">
        <f>COUNTIFS('Responses'!$F$6:$F$363,B25,'Responses'!$L$6:$L$363,0)</f>
        <v>87</v>
      </c>
      <c r="D25" s="18">
        <f>COUNTIFS('Responses'!$F$6:$F$363,B25,'Responses'!$L$6:$L$363,1)</f>
        <v>33</v>
      </c>
      <c r="E25" s="18">
        <f>SUM(C25:D25)</f>
        <v>120</v>
      </c>
      <c r="F25" s="20">
        <f>E25*COUNTIF('Responses'!$L$6:$L$363,0)/COUNTA('Responses'!$B$6:$B$363)</f>
        <v>86.4804469273743</v>
      </c>
      <c r="G25" s="20">
        <f>E25*COUNTIF('Responses'!$L$6:$L$363,1)/COUNTA('Responses'!$B$6:$B$363)</f>
        <v>33.5195530726257</v>
      </c>
      <c r="H25" s="20">
        <f>IFERROR((C25-F25)^2/F25+(D25-G25)^2/G25,0)</f>
        <v>0.011174418604651133</v>
      </c>
    </row>
    <row r="26" spans="2:8" ht="38" customHeight="1">
      <c r="B26" s="17" t="s">
        <v>201</v>
      </c>
      <c r="C26" s="18">
        <f>COUNTIFS('Responses'!$F$6:$F$363,B26,'Responses'!$L$6:$L$363,0)</f>
        <v>79</v>
      </c>
      <c r="D26" s="18">
        <f>COUNTIFS('Responses'!$F$6:$F$363,B26,'Responses'!$L$6:$L$363,1)</f>
        <v>37</v>
      </c>
      <c r="E26" s="18">
        <f>SUM(C26:D26)</f>
        <v>116</v>
      </c>
      <c r="F26" s="20">
        <f>E26*COUNTIF('Responses'!$L$6:$L$363,0)/COUNTA('Responses'!$B$6:$B$363)</f>
        <v>83.59776536312849</v>
      </c>
      <c r="G26" s="20">
        <f>E26*COUNTIF('Responses'!$L$6:$L$363,1)/COUNTA('Responses'!$B$6:$B$363)</f>
        <v>32.402234636871505</v>
      </c>
      <c r="H26" s="20">
        <f>IFERROR((C26-F26)^2/F26+(D26-G26)^2/G26,0)</f>
        <v>0.905278000534617</v>
      </c>
    </row>
    <row r="27" spans="2:8" ht="38" customHeight="1">
      <c r="B27" s="17" t="s">
        <v>226</v>
      </c>
      <c r="C27" s="18">
        <f>COUNTIFS('Responses'!$F$6:$F$363,B27,'Responses'!$L$6:$L$363,0)</f>
        <v>30</v>
      </c>
      <c r="D27" s="18">
        <f>COUNTIFS('Responses'!$F$6:$F$363,B27,'Responses'!$L$6:$L$363,1)</f>
        <v>11</v>
      </c>
      <c r="E27" s="18">
        <f>SUM(C27:D27)</f>
        <v>41</v>
      </c>
      <c r="F27" s="20">
        <f>E27*COUNTIF('Responses'!$L$6:$L$363,0)/COUNTA('Responses'!$B$6:$B$363)</f>
        <v>29.547486033519554</v>
      </c>
      <c r="G27" s="20">
        <f>E27*COUNTIF('Responses'!$L$6:$L$363,1)/COUNTA('Responses'!$B$6:$B$363)</f>
        <v>11.452513966480447</v>
      </c>
      <c r="H27" s="20">
        <f>IFERROR((C27-F27)^2/F27+(D27-G27)^2/G27,0)</f>
        <v>0.02480998298355076</v>
      </c>
    </row>
    <row r="28" spans="2:8" ht="24" customHeight="1">
      <c r="B28" s="5" t="s">
        <v>442</v>
      </c>
      <c r="C28" s="5"/>
      <c r="D28" s="5"/>
      <c r="E28" s="5"/>
      <c r="F28" s="5"/>
      <c r="G28" s="5"/>
      <c r="H28" s="5"/>
    </row>
    <row r="31" spans="2:8" ht="27" customHeight="1">
      <c r="B31" s="13" t="s">
        <v>445</v>
      </c>
      <c r="C31" s="13"/>
      <c r="D31" s="13"/>
      <c r="E31" s="13"/>
      <c r="F31" s="13"/>
      <c r="G31" s="13"/>
      <c r="H31" s="13"/>
    </row>
    <row r="32" spans="2:8" ht="32" customHeight="1">
      <c r="B32" s="16" t="s">
        <v>435</v>
      </c>
      <c r="C32" s="16" t="s">
        <v>436</v>
      </c>
      <c r="D32" s="16" t="s">
        <v>392</v>
      </c>
      <c r="E32" s="16" t="s">
        <v>437</v>
      </c>
      <c r="F32" s="16" t="s">
        <v>438</v>
      </c>
      <c r="G32" s="16" t="s">
        <v>439</v>
      </c>
      <c r="H32" s="16" t="s">
        <v>440</v>
      </c>
    </row>
    <row r="33" spans="2:8" ht="38" customHeight="1">
      <c r="B33" s="17" t="s">
        <v>224</v>
      </c>
      <c r="C33" s="18">
        <f>COUNTIFS('Responses'!$G$6:$G$363,B33,'Responses'!$L$6:$L$363,0)</f>
        <v>36</v>
      </c>
      <c r="D33" s="18">
        <f>COUNTIFS('Responses'!$G$6:$G$363,B33,'Responses'!$L$6:$L$363,1)</f>
        <v>19</v>
      </c>
      <c r="E33" s="18">
        <f>SUM(C33:D33)</f>
        <v>55</v>
      </c>
      <c r="F33" s="20">
        <f>E33*COUNTIF('Responses'!$L$6:$L$363,0)/COUNTA('Responses'!$B$6:$B$363)</f>
        <v>39.63687150837989</v>
      </c>
      <c r="G33" s="20">
        <f>E33*COUNTIF('Responses'!$L$6:$L$363,1)/COUNTA('Responses'!$B$6:$B$363)</f>
        <v>15.363128491620111</v>
      </c>
      <c r="H33" s="20">
        <f>IFERROR((C33-F33)^2/F33+(D33-G33)^2/G33,0)</f>
        <v>1.1946469344608883</v>
      </c>
    </row>
    <row r="34" spans="2:8" ht="38" customHeight="1">
      <c r="B34" s="17" t="s">
        <v>196</v>
      </c>
      <c r="C34" s="18">
        <f>COUNTIFS('Responses'!$G$6:$G$363,B34,'Responses'!$L$6:$L$363,0)</f>
        <v>58</v>
      </c>
      <c r="D34" s="18">
        <f>COUNTIFS('Responses'!$G$6:$G$363,B34,'Responses'!$L$6:$L$363,1)</f>
        <v>22</v>
      </c>
      <c r="E34" s="18">
        <f>SUM(C34:D34)</f>
        <v>80</v>
      </c>
      <c r="F34" s="20">
        <f>E34*COUNTIF('Responses'!$L$6:$L$363,0)/COUNTA('Responses'!$B$6:$B$363)</f>
        <v>57.6536312849162</v>
      </c>
      <c r="G34" s="20">
        <f>E34*COUNTIF('Responses'!$L$6:$L$363,1)/COUNTA('Responses'!$B$6:$B$363)</f>
        <v>22.3463687150838</v>
      </c>
      <c r="H34" s="20">
        <f>IFERROR((C34-F34)^2/F34+(D34-G34)^2/G34,0)</f>
        <v>0.0074496124031007555</v>
      </c>
    </row>
    <row r="35" spans="2:8" ht="38" customHeight="1">
      <c r="B35" s="17" t="s">
        <v>247</v>
      </c>
      <c r="C35" s="18">
        <f>COUNTIFS('Responses'!$G$6:$G$363,B35,'Responses'!$L$6:$L$363,0)</f>
        <v>57</v>
      </c>
      <c r="D35" s="18">
        <f>COUNTIFS('Responses'!$G$6:$G$363,B35,'Responses'!$L$6:$L$363,1)</f>
        <v>7</v>
      </c>
      <c r="E35" s="18">
        <f>SUM(C35:D35)</f>
        <v>64</v>
      </c>
      <c r="F35" s="20">
        <f>E35*COUNTIF('Responses'!$L$6:$L$363,0)/COUNTA('Responses'!$B$6:$B$363)</f>
        <v>46.12290502793296</v>
      </c>
      <c r="G35" s="20">
        <f>E35*COUNTIF('Responses'!$L$6:$L$363,1)/COUNTA('Responses'!$B$6:$B$363)</f>
        <v>17.877094972067038</v>
      </c>
      <c r="H35" s="20">
        <f>IFERROR((C35-F35)^2/F35+(D35-G35)^2/G35,0)</f>
        <v>9.183161337209302</v>
      </c>
    </row>
    <row r="36" spans="2:8" ht="38" customHeight="1">
      <c r="B36" s="17" t="s">
        <v>215</v>
      </c>
      <c r="C36" s="18">
        <f>COUNTIFS('Responses'!$G$6:$G$363,B36,'Responses'!$L$6:$L$363,0)</f>
        <v>47</v>
      </c>
      <c r="D36" s="18">
        <f>COUNTIFS('Responses'!$G$6:$G$363,B36,'Responses'!$L$6:$L$363,1)</f>
        <v>17</v>
      </c>
      <c r="E36" s="18">
        <f>SUM(C36:D36)</f>
        <v>64</v>
      </c>
      <c r="F36" s="20">
        <f>E36*COUNTIF('Responses'!$L$6:$L$363,0)/COUNTA('Responses'!$B$6:$B$363)</f>
        <v>46.12290502793296</v>
      </c>
      <c r="G36" s="20">
        <f>E36*COUNTIF('Responses'!$L$6:$L$363,1)/COUNTA('Responses'!$B$6:$B$363)</f>
        <v>17.877094972067038</v>
      </c>
      <c r="H36" s="20">
        <f>IFERROR((C36-F36)^2/F36+(D36-G36)^2/G36,0)</f>
        <v>0.059711724806201544</v>
      </c>
    </row>
    <row r="37" spans="2:8" ht="38" customHeight="1">
      <c r="B37" s="17" t="s">
        <v>202</v>
      </c>
      <c r="C37" s="18">
        <f>COUNTIFS('Responses'!$G$6:$G$363,B37,'Responses'!$L$6:$L$363,0)</f>
        <v>60</v>
      </c>
      <c r="D37" s="18">
        <f>COUNTIFS('Responses'!$G$6:$G$363,B37,'Responses'!$L$6:$L$363,1)</f>
        <v>35</v>
      </c>
      <c r="E37" s="18">
        <f>SUM(C37:D37)</f>
        <v>95</v>
      </c>
      <c r="F37" s="20">
        <f>E37*COUNTIF('Responses'!$L$6:$L$363,0)/COUNTA('Responses'!$B$6:$B$363)</f>
        <v>68.46368715083798</v>
      </c>
      <c r="G37" s="20">
        <f>E37*COUNTIF('Responses'!$L$6:$L$363,1)/COUNTA('Responses'!$B$6:$B$363)</f>
        <v>26.536312849162012</v>
      </c>
      <c r="H37" s="20">
        <f>IFERROR((C37-F37)^2/F37+(D37-G37)^2/G37,0)</f>
        <v>3.745777233782128</v>
      </c>
    </row>
    <row r="38" spans="2:8" ht="24" customHeight="1">
      <c r="B38" s="5" t="s">
        <v>442</v>
      </c>
      <c r="C38" s="5"/>
      <c r="D38" s="5"/>
      <c r="E38" s="5"/>
      <c r="F38" s="5"/>
      <c r="G38" s="5"/>
      <c r="H38" s="5"/>
    </row>
    <row r="41" spans="2:8" ht="27" customHeight="1">
      <c r="B41" s="13" t="s">
        <v>446</v>
      </c>
      <c r="C41" s="13"/>
      <c r="D41" s="13"/>
      <c r="E41" s="13"/>
      <c r="F41" s="13"/>
      <c r="G41" s="13"/>
      <c r="H41" s="13"/>
    </row>
    <row r="42" spans="2:8" ht="32" customHeight="1">
      <c r="B42" s="16" t="s">
        <v>435</v>
      </c>
      <c r="C42" s="16" t="s">
        <v>436</v>
      </c>
      <c r="D42" s="16" t="s">
        <v>392</v>
      </c>
      <c r="E42" s="16" t="s">
        <v>437</v>
      </c>
      <c r="F42" s="16" t="s">
        <v>438</v>
      </c>
      <c r="G42" s="16" t="s">
        <v>439</v>
      </c>
      <c r="H42" s="16" t="s">
        <v>440</v>
      </c>
    </row>
    <row r="43" spans="2:8" ht="38" customHeight="1">
      <c r="B43" s="17" t="s">
        <v>207</v>
      </c>
      <c r="C43" s="18">
        <f>COUNTIFS('Responses'!$H$6:$H$363,B43,'Responses'!$L$6:$L$363,0)</f>
        <v>96</v>
      </c>
      <c r="D43" s="18">
        <f>COUNTIFS('Responses'!$H$6:$H$363,B43,'Responses'!$L$6:$L$363,1)</f>
        <v>57</v>
      </c>
      <c r="E43" s="18">
        <f>SUM(C43:D43)</f>
        <v>153</v>
      </c>
      <c r="F43" s="20">
        <f>E43*COUNTIF('Responses'!$L$6:$L$363,0)/COUNTA('Responses'!$B$6:$B$363)</f>
        <v>110.26256983240224</v>
      </c>
      <c r="G43" s="20">
        <f>E43*COUNTIF('Responses'!$L$6:$L$363,1)/COUNTA('Responses'!$B$6:$B$363)</f>
        <v>42.737430167597765</v>
      </c>
      <c r="H43" s="20">
        <f>IFERROR((C43-F43)^2/F43+(D43-G43)^2/G43,0)</f>
        <v>6.604660282717739</v>
      </c>
    </row>
    <row r="44" spans="2:8" ht="38" customHeight="1">
      <c r="B44" s="17" t="s">
        <v>198</v>
      </c>
      <c r="C44" s="18">
        <f>COUNTIFS('Responses'!$H$6:$H$363,B44,'Responses'!$L$6:$L$363,0)</f>
        <v>58</v>
      </c>
      <c r="D44" s="18">
        <f>COUNTIFS('Responses'!$H$6:$H$363,B44,'Responses'!$L$6:$L$363,1)</f>
        <v>9</v>
      </c>
      <c r="E44" s="18">
        <f>SUM(C44:D44)</f>
        <v>67</v>
      </c>
      <c r="F44" s="20">
        <f>E44*COUNTIF('Responses'!$L$6:$L$363,0)/COUNTA('Responses'!$B$6:$B$363)</f>
        <v>48.28491620111732</v>
      </c>
      <c r="G44" s="20">
        <f>E44*COUNTIF('Responses'!$L$6:$L$363,1)/COUNTA('Responses'!$B$6:$B$363)</f>
        <v>18.71508379888268</v>
      </c>
      <c r="H44" s="20">
        <f>IFERROR((C44-F44)^2/F44+(D44-G44)^2/G44,0)</f>
        <v>6.997850283466388</v>
      </c>
    </row>
    <row r="45" spans="2:8" ht="38" customHeight="1">
      <c r="B45" s="17" t="s">
        <v>197</v>
      </c>
      <c r="C45" s="18">
        <f>COUNTIFS('Responses'!$H$6:$H$363,B45,'Responses'!$L$6:$L$363,0)</f>
        <v>104</v>
      </c>
      <c r="D45" s="18">
        <f>COUNTIFS('Responses'!$H$6:$H$363,B45,'Responses'!$L$6:$L$363,1)</f>
        <v>34</v>
      </c>
      <c r="E45" s="18">
        <f>SUM(C45:D45)</f>
        <v>138</v>
      </c>
      <c r="F45" s="20">
        <f>E45*COUNTIF('Responses'!$L$6:$L$363,0)/COUNTA('Responses'!$B$6:$B$363)</f>
        <v>99.45251396648045</v>
      </c>
      <c r="G45" s="20">
        <f>E45*COUNTIF('Responses'!$L$6:$L$363,1)/COUNTA('Responses'!$B$6:$B$363)</f>
        <v>38.547486033519554</v>
      </c>
      <c r="H45" s="20">
        <f>IFERROR((C45-F45)^2/F45+(D45-G45)^2/G45,0)</f>
        <v>0.7444062464891583</v>
      </c>
    </row>
    <row r="46" spans="2:8" ht="24" customHeight="1">
      <c r="B46" s="5" t="s">
        <v>442</v>
      </c>
      <c r="C46" s="5"/>
      <c r="D46" s="5"/>
      <c r="E46" s="5"/>
      <c r="F46" s="5"/>
      <c r="G46" s="5"/>
      <c r="H46" s="5"/>
    </row>
  </sheetData>
  <mergeCells count="11">
    <mergeCell ref="B2:H2"/>
    <mergeCell ref="B3:H3"/>
    <mergeCell ref="B5:H5"/>
    <mergeCell ref="B15:H15"/>
    <mergeCell ref="B19:H19"/>
    <mergeCell ref="B22:H22"/>
    <mergeCell ref="B28:H28"/>
    <mergeCell ref="B31:H31"/>
    <mergeCell ref="B38:H38"/>
    <mergeCell ref="B41:H41"/>
    <mergeCell ref="B46:H46"/>
  </mergeCells>
  <conditionalFormatting sqref="E8:E11">
    <cfRule type="cellIs" dxfId="0" priority="1" operator="lessThan">
      <formula>0.05</formula>
    </cfRule>
  </conditionalFormatting>
  <hyperlinks>
    <hyperlink ref="B1" location="'Overview'!B2" display="Back to dashboard"/>
  </hyperlinks>
  <pageMargins left="0.25" right="0.25" top="0.35" bottom="0.35" header="0.3" footer="0.15"/>
  <pageSetup paperSize="9" fitToHeight="0" orientation="landscape"/>
  <headerFooter>
    <oddFooter>&amp;LUNZA | Ridgeway Campus&amp;CHealth insurance survey&amp;RPage &amp;P of &amp;N</oddFooter>
  </headerFooter>
</worksheet>
</file>

<file path=xl/worksheets/sheet5.xml><?xml version="1.0" encoding="utf-8"?>
<worksheet xmlns="http://schemas.openxmlformats.org/spreadsheetml/2006/main" xmlns:r="http://schemas.openxmlformats.org/officeDocument/2006/relationships">
  <sheetPr>
    <tabColor rgb="FF1A5F5F"/>
    <pageSetUpPr fitToPage="1"/>
  </sheetPr>
  <dimension ref="B1:CR363"/>
  <sheetViews>
    <sheetView showGridLines="0" zoomScale="85" zoomScaleNormal="85" workbookViewId="0">
      <pane xSplit="8" ySplit="5" topLeftCell="I6" activePane="bottomRight" state="frozen"/>
      <selection pane="topRight" activeCell="I1" sqref="I1"/>
      <selection pane="bottomLeft" activeCell="A6" sqref="A6"/>
      <selection pane="bottomRight"/>
    </sheetView>
  </sheetViews>
  <sheetFormatPr defaultRowHeight="20" customHeight="1"/>
  <cols>
    <col min="1" max="1" width="3.7109375" customWidth="1"/>
    <col min="2" max="2" width="7.7109375" customWidth="1"/>
    <col min="3" max="3" width="21.7109375" customWidth="1"/>
    <col min="4" max="4" width="16.7109375" customWidth="1"/>
    <col min="5" max="6" width="18.7109375" customWidth="1"/>
    <col min="7" max="7" width="30.7109375" customWidth="1"/>
    <col min="8" max="8" width="16.7109375" customWidth="1"/>
    <col min="9" max="16" width="13.7109375" customWidth="1"/>
    <col min="17" max="18" width="24.7109375" customWidth="1"/>
    <col min="19" max="51" width="13.7109375" customWidth="1"/>
    <col min="52" max="53" width="65.7109375" customWidth="1"/>
    <col min="54" max="95" width="13.7109375" hidden="1" customWidth="1"/>
  </cols>
  <sheetData>
    <row r="1" spans="2:96" ht="20" customHeight="1">
      <c r="B1" s="15" t="s">
        <v>0</v>
      </c>
    </row>
    <row r="2" spans="2:96" ht="36" customHeight="1">
      <c r="B2" s="1" t="s">
        <v>133</v>
      </c>
      <c r="C2" s="1"/>
      <c r="D2" s="1"/>
      <c r="E2" s="1"/>
      <c r="F2" s="1"/>
      <c r="G2" s="1"/>
      <c r="H2" s="1"/>
      <c r="I2" s="1"/>
      <c r="J2" s="1"/>
      <c r="K2" s="1"/>
      <c r="L2" s="1"/>
      <c r="M2" s="1"/>
      <c r="N2" s="1"/>
      <c r="O2" s="1"/>
      <c r="P2" s="1"/>
      <c r="Q2" s="1"/>
    </row>
    <row r="3" spans="2:96" ht="28" customHeight="1">
      <c r="B3" s="2" t="s">
        <v>134</v>
      </c>
      <c r="C3" s="2"/>
      <c r="D3" s="2"/>
      <c r="E3" s="2"/>
      <c r="F3" s="2"/>
      <c r="G3" s="2"/>
      <c r="H3" s="2"/>
      <c r="I3" s="2"/>
      <c r="J3" s="2"/>
      <c r="K3" s="2"/>
      <c r="L3" s="2"/>
      <c r="M3" s="2"/>
      <c r="N3" s="2"/>
      <c r="O3" s="2"/>
      <c r="P3" s="2"/>
      <c r="Q3" s="2"/>
    </row>
    <row r="5" spans="2:96" ht="32" customHeight="1">
      <c r="B5" t="s">
        <v>135</v>
      </c>
      <c r="C5" t="s">
        <v>136</v>
      </c>
      <c r="D5" t="s">
        <v>137</v>
      </c>
      <c r="E5" t="s">
        <v>127</v>
      </c>
      <c r="F5" t="s">
        <v>129</v>
      </c>
      <c r="G5" t="s">
        <v>130</v>
      </c>
      <c r="H5" t="s">
        <v>138</v>
      </c>
      <c r="I5" t="s">
        <v>139</v>
      </c>
      <c r="J5" t="s">
        <v>140</v>
      </c>
      <c r="K5" t="s">
        <v>141</v>
      </c>
      <c r="L5" t="s">
        <v>142</v>
      </c>
      <c r="M5" t="s">
        <v>143</v>
      </c>
      <c r="N5" t="s">
        <v>144</v>
      </c>
      <c r="O5" t="s">
        <v>145</v>
      </c>
      <c r="P5" t="s">
        <v>146</v>
      </c>
      <c r="Q5" t="s">
        <v>147</v>
      </c>
      <c r="R5" t="s">
        <v>148</v>
      </c>
      <c r="S5" t="s">
        <v>149</v>
      </c>
      <c r="T5" t="s">
        <v>19</v>
      </c>
      <c r="U5" t="s">
        <v>23</v>
      </c>
      <c r="V5" t="s">
        <v>27</v>
      </c>
      <c r="W5" t="s">
        <v>30</v>
      </c>
      <c r="X5" t="s">
        <v>33</v>
      </c>
      <c r="Y5" t="s">
        <v>36</v>
      </c>
      <c r="Z5" t="s">
        <v>39</v>
      </c>
      <c r="AA5" t="s">
        <v>42</v>
      </c>
      <c r="AB5" t="s">
        <v>45</v>
      </c>
      <c r="AC5" t="s">
        <v>48</v>
      </c>
      <c r="AD5" t="s">
        <v>51</v>
      </c>
      <c r="AE5" t="s">
        <v>55</v>
      </c>
      <c r="AF5" t="s">
        <v>58</v>
      </c>
      <c r="AG5" t="s">
        <v>61</v>
      </c>
      <c r="AH5" t="s">
        <v>64</v>
      </c>
      <c r="AI5" t="s">
        <v>67</v>
      </c>
      <c r="AJ5" t="s">
        <v>70</v>
      </c>
      <c r="AK5" t="s">
        <v>73</v>
      </c>
      <c r="AL5" t="s">
        <v>76</v>
      </c>
      <c r="AM5" t="s">
        <v>79</v>
      </c>
      <c r="AN5" t="s">
        <v>84</v>
      </c>
      <c r="AO5" t="s">
        <v>87</v>
      </c>
      <c r="AP5" t="s">
        <v>90</v>
      </c>
      <c r="AQ5" t="s">
        <v>93</v>
      </c>
      <c r="AR5" t="s">
        <v>96</v>
      </c>
      <c r="AS5" t="s">
        <v>99</v>
      </c>
      <c r="AT5" t="s">
        <v>102</v>
      </c>
      <c r="AU5" t="s">
        <v>105</v>
      </c>
      <c r="AV5" t="s">
        <v>110</v>
      </c>
      <c r="AW5" t="s">
        <v>113</v>
      </c>
      <c r="AX5" t="s">
        <v>116</v>
      </c>
      <c r="AY5" t="s">
        <v>119</v>
      </c>
      <c r="AZ5" t="s">
        <v>122</v>
      </c>
      <c r="BA5" t="s">
        <v>150</v>
      </c>
      <c r="BB5" t="s">
        <v>151</v>
      </c>
      <c r="BC5" t="s">
        <v>152</v>
      </c>
      <c r="BD5" t="s">
        <v>153</v>
      </c>
      <c r="BE5" t="s">
        <v>154</v>
      </c>
      <c r="BF5" t="s">
        <v>155</v>
      </c>
      <c r="BG5" t="s">
        <v>156</v>
      </c>
      <c r="BH5" t="s">
        <v>157</v>
      </c>
      <c r="BI5" t="s">
        <v>158</v>
      </c>
      <c r="BJ5" t="s">
        <v>159</v>
      </c>
      <c r="BK5" t="s">
        <v>160</v>
      </c>
      <c r="BL5" t="s">
        <v>161</v>
      </c>
      <c r="BM5" t="s">
        <v>162</v>
      </c>
      <c r="BN5" t="s">
        <v>163</v>
      </c>
      <c r="BO5" t="s">
        <v>164</v>
      </c>
      <c r="BP5" t="s">
        <v>165</v>
      </c>
      <c r="BQ5" t="s">
        <v>166</v>
      </c>
      <c r="BR5" t="s">
        <v>167</v>
      </c>
      <c r="BS5" t="s">
        <v>168</v>
      </c>
      <c r="BT5" t="s">
        <v>169</v>
      </c>
      <c r="BU5" t="s">
        <v>170</v>
      </c>
      <c r="BV5" t="s">
        <v>171</v>
      </c>
      <c r="BW5" t="s">
        <v>172</v>
      </c>
      <c r="BX5" t="s">
        <v>173</v>
      </c>
      <c r="BY5" t="s">
        <v>174</v>
      </c>
      <c r="BZ5" t="s">
        <v>175</v>
      </c>
      <c r="CA5" t="s">
        <v>176</v>
      </c>
      <c r="CB5" t="s">
        <v>177</v>
      </c>
      <c r="CC5" t="s">
        <v>178</v>
      </c>
      <c r="CD5" t="s">
        <v>179</v>
      </c>
      <c r="CE5" t="s">
        <v>180</v>
      </c>
      <c r="CF5" t="s">
        <v>181</v>
      </c>
      <c r="CG5" t="s">
        <v>182</v>
      </c>
      <c r="CH5" t="s">
        <v>183</v>
      </c>
      <c r="CI5" t="s">
        <v>184</v>
      </c>
      <c r="CJ5" t="s">
        <v>185</v>
      </c>
      <c r="CK5" t="s">
        <v>186</v>
      </c>
      <c r="CL5" t="s">
        <v>187</v>
      </c>
      <c r="CM5" t="s">
        <v>188</v>
      </c>
      <c r="CN5" t="s">
        <v>189</v>
      </c>
      <c r="CO5" t="s">
        <v>190</v>
      </c>
      <c r="CP5" t="s">
        <v>191</v>
      </c>
      <c r="CQ5" t="s">
        <v>192</v>
      </c>
      <c r="CR5" t="s">
        <v>193</v>
      </c>
    </row>
    <row r="6" spans="2:96" ht="24" customHeight="1">
      <c r="B6" s="18">
        <v>1</v>
      </c>
      <c r="C6" s="23">
        <v>46255.45488049769</v>
      </c>
      <c r="D6" s="18">
        <v>28</v>
      </c>
      <c r="E6" s="21" t="s">
        <v>194</v>
      </c>
      <c r="F6" s="21" t="s">
        <v>195</v>
      </c>
      <c r="G6" s="17" t="s">
        <v>196</v>
      </c>
      <c r="H6" s="21" t="s">
        <v>197</v>
      </c>
      <c r="I6" s="18">
        <f>SUM(BL6:BU6)</f>
        <v>8</v>
      </c>
      <c r="J6" s="18">
        <f>IF(COUNT(BV6:CD6)=9,SUM(BV6:CD6),"")</f>
        <v>7</v>
      </c>
      <c r="K6" s="18">
        <f>SUM(BL6:CD6)</f>
        <v>15</v>
      </c>
      <c r="L6" s="18">
        <f>--(K6&gt;='Codebook'!$C$8)</f>
        <v>1</v>
      </c>
      <c r="M6" s="18">
        <f>--(COUNT(BL6:CD6)=19)</f>
        <v>1</v>
      </c>
      <c r="N6" s="18">
        <f>SUM(CE6:CL6)</f>
        <v>5</v>
      </c>
      <c r="O6" s="18">
        <f>SUM(CM6:CR6)</f>
        <v>4</v>
      </c>
      <c r="P6" s="18">
        <f>N6+O6</f>
        <v>9</v>
      </c>
      <c r="Q6" s="21" t="s">
        <v>197</v>
      </c>
      <c r="R6" s="17" t="s">
        <v>154</v>
      </c>
      <c r="S6" s="18">
        <f>--OR(Overview!$B$6="All",E6=Overview!$B$6)*--OR(Overview!$F$6="All",F6=Overview!$F$6)*--OR(Overview!$J$6="All",G6=Overview!$J$6)*--OR(Overview!$N$6="All",H6=Overview!$N$6)</f>
        <v>1</v>
      </c>
      <c r="T6" s="21" t="s">
        <v>22</v>
      </c>
      <c r="U6" s="21" t="s">
        <v>198</v>
      </c>
      <c r="V6" s="21" t="s">
        <v>22</v>
      </c>
      <c r="W6" s="21" t="s">
        <v>22</v>
      </c>
      <c r="X6" s="21" t="s">
        <v>22</v>
      </c>
      <c r="Y6" s="21" t="s">
        <v>26</v>
      </c>
      <c r="Z6" s="21" t="s">
        <v>22</v>
      </c>
      <c r="AA6" s="21" t="s">
        <v>22</v>
      </c>
      <c r="AB6" s="21" t="s">
        <v>26</v>
      </c>
      <c r="AC6" s="21" t="s">
        <v>22</v>
      </c>
      <c r="AD6" s="21" t="s">
        <v>22</v>
      </c>
      <c r="AE6" s="21" t="s">
        <v>22</v>
      </c>
      <c r="AF6" s="21" t="s">
        <v>26</v>
      </c>
      <c r="AG6" s="21" t="s">
        <v>26</v>
      </c>
      <c r="AH6" s="21" t="s">
        <v>22</v>
      </c>
      <c r="AI6" s="21" t="s">
        <v>26</v>
      </c>
      <c r="AJ6" s="21" t="s">
        <v>22</v>
      </c>
      <c r="AK6" s="21" t="s">
        <v>22</v>
      </c>
      <c r="AL6" s="21" t="s">
        <v>26</v>
      </c>
      <c r="AM6" s="21" t="s">
        <v>109</v>
      </c>
      <c r="AN6" s="21" t="s">
        <v>109</v>
      </c>
      <c r="AO6" s="21" t="s">
        <v>83</v>
      </c>
      <c r="AP6" s="21" t="s">
        <v>83</v>
      </c>
      <c r="AQ6" s="21" t="s">
        <v>109</v>
      </c>
      <c r="AR6" s="21" t="s">
        <v>83</v>
      </c>
      <c r="AS6" s="21" t="s">
        <v>83</v>
      </c>
      <c r="AT6" s="21" t="s">
        <v>83</v>
      </c>
      <c r="AU6" s="21" t="s">
        <v>83</v>
      </c>
      <c r="AV6" s="21" t="s">
        <v>83</v>
      </c>
      <c r="AW6" s="21" t="s">
        <v>109</v>
      </c>
      <c r="AX6" s="21" t="s">
        <v>109</v>
      </c>
      <c r="AY6" s="21" t="s">
        <v>109</v>
      </c>
      <c r="AZ6" s="21" t="s">
        <v>109</v>
      </c>
      <c r="BA6" s="17" t="s">
        <v>199</v>
      </c>
      <c r="BB6" s="17" t="s">
        <v>200</v>
      </c>
      <c r="BC6" s="18">
        <f>--ISNUMBER(SEARCH("Radio or television",BA6))</f>
        <v>1</v>
      </c>
      <c r="BD6" s="18">
        <f>--ISNUMBER(SEARCH("Newspapers or print media",BA6))</f>
        <v>0</v>
      </c>
      <c r="BE6" s="18">
        <f>--ISNUMBER(SEARCH("Social media (e.g. Facebook, WhatsApp, YouTube, X/Twitter)",BA6))</f>
        <v>1</v>
      </c>
      <c r="BF6" s="18">
        <f>--ISNUMBER(SEARCH("Family members",BA6))</f>
        <v>0</v>
      </c>
      <c r="BG6" s="18">
        <f>--ISNUMBER(SEARCH("Friends or fellow students",BA6))</f>
        <v>0</v>
      </c>
      <c r="BH6" s="18">
        <f>--ISNUMBER(SEARCH("School coursework or lectures",BA6))</f>
        <v>1</v>
      </c>
      <c r="BI6" s="18">
        <f>--ISNUMBER(SEARCH("NHIMA outreach activities or NHIMA offices",BA6))</f>
        <v>0</v>
      </c>
      <c r="BJ6" s="18">
        <f>--ISNUMBER(SEARCH("Health facility staff",BA6))</f>
        <v>1</v>
      </c>
      <c r="BK6" s="18">
        <f>--ISNUMBER(SEARCH("not received information",BA6))</f>
        <v>0</v>
      </c>
      <c r="BL6" s="18">
        <f>IF(T6="","",--(T6='Codebook'!$F$13))</f>
        <v>1</v>
      </c>
      <c r="BM6" s="18">
        <f>IF(U6="","",--(U6='Codebook'!$F$14))</f>
        <v>0</v>
      </c>
      <c r="BN6" s="18">
        <f>IF(V6="","",--(V6='Codebook'!$F$15))</f>
        <v>0</v>
      </c>
      <c r="BO6" s="18">
        <f>IF(W6="","",--(W6='Codebook'!$F$16))</f>
        <v>1</v>
      </c>
      <c r="BP6" s="18">
        <f>IF(X6="","",--(X6='Codebook'!$F$17))</f>
        <v>1</v>
      </c>
      <c r="BQ6" s="18">
        <f>IF(Y6="","",--(Y6='Codebook'!$F$18))</f>
        <v>1</v>
      </c>
      <c r="BR6" s="18">
        <f>IF(Z6="","",--(Z6='Codebook'!$F$19))</f>
        <v>1</v>
      </c>
      <c r="BS6" s="18">
        <f>IF(AA6="","",--(AA6='Codebook'!$F$20))</f>
        <v>1</v>
      </c>
      <c r="BT6" s="18">
        <f>IF(AB6="","",--(AB6='Codebook'!$F$21))</f>
        <v>1</v>
      </c>
      <c r="BU6" s="18">
        <f>IF(AC6="","",--(AC6='Codebook'!$F$22))</f>
        <v>1</v>
      </c>
      <c r="BV6" s="18">
        <f>IF(AD6="","",--(AD6='Codebook'!$F$23))</f>
        <v>1</v>
      </c>
      <c r="BW6" s="18">
        <f>IF(AE6="","",--(AE6='Codebook'!$F$24))</f>
        <v>1</v>
      </c>
      <c r="BX6" s="18">
        <f>IF(AF6="","",--(AF6='Codebook'!$F$25))</f>
        <v>1</v>
      </c>
      <c r="BY6" s="18">
        <f>IF(AG6="","",--(AG6='Codebook'!$F$26))</f>
        <v>0</v>
      </c>
      <c r="BZ6" s="18">
        <f>IF(AH6="","",--(AH6='Codebook'!$F$27))</f>
        <v>1</v>
      </c>
      <c r="CA6" s="18">
        <f>IF(AI6="","",--(AI6='Codebook'!$F$28))</f>
        <v>1</v>
      </c>
      <c r="CB6" s="18">
        <f>IF(AJ6="","",--(AJ6='Codebook'!$F$29))</f>
        <v>0</v>
      </c>
      <c r="CC6" s="18">
        <f>IF(AK6="","",--(AK6='Codebook'!$F$30))</f>
        <v>1</v>
      </c>
      <c r="CD6" s="18">
        <f>IF(AL6="","",--(AL6='Codebook'!$F$31))</f>
        <v>1</v>
      </c>
      <c r="CE6" s="18">
        <f>IF(AM6="","",--(AM6='Codebook'!$F$32))</f>
        <v>0</v>
      </c>
      <c r="CF6" s="18">
        <f>IF(AN6="","",--(AN6='Codebook'!$F$33))</f>
        <v>0</v>
      </c>
      <c r="CG6" s="18">
        <f>IF(AO6="","",--(AO6='Codebook'!$F$34))</f>
        <v>1</v>
      </c>
      <c r="CH6" s="18">
        <f>IF(AP6="","",--(AP6='Codebook'!$F$35))</f>
        <v>1</v>
      </c>
      <c r="CI6" s="18">
        <f>IF(AQ6="","",--(AQ6='Codebook'!$F$36))</f>
        <v>0</v>
      </c>
      <c r="CJ6" s="18">
        <f>IF(AR6="","",--(AR6='Codebook'!$F$37))</f>
        <v>1</v>
      </c>
      <c r="CK6" s="18">
        <f>IF(AS6="","",--(AS6='Codebook'!$F$38))</f>
        <v>1</v>
      </c>
      <c r="CL6" s="18">
        <f>IF(AT6="","",--(AT6='Codebook'!$F$39))</f>
        <v>1</v>
      </c>
      <c r="CM6" s="18">
        <f>IF(AU6="","",--(AU6='Codebook'!$F$40))</f>
        <v>0</v>
      </c>
      <c r="CN6" s="18">
        <f>IF(AV6="","",--(AV6='Codebook'!$F$41))</f>
        <v>0</v>
      </c>
      <c r="CO6" s="18">
        <f>IF(AW6="","",--(AW6='Codebook'!$F$42))</f>
        <v>1</v>
      </c>
      <c r="CP6" s="18">
        <f>IF(AX6="","",--(AX6='Codebook'!$F$43))</f>
        <v>1</v>
      </c>
      <c r="CQ6" s="18">
        <f>IF(AY6="","",--(AY6='Codebook'!$F$44))</f>
        <v>1</v>
      </c>
      <c r="CR6" s="18">
        <f>IF(AZ6="","",--(AZ6='Codebook'!$F$45))</f>
        <v>1</v>
      </c>
    </row>
    <row r="7" spans="2:96" ht="24" customHeight="1">
      <c r="B7" s="18">
        <v>2</v>
      </c>
      <c r="C7" s="23">
        <v>46255.51614875</v>
      </c>
      <c r="D7" s="18">
        <v>23</v>
      </c>
      <c r="E7" s="21" t="s">
        <v>194</v>
      </c>
      <c r="F7" s="21" t="s">
        <v>201</v>
      </c>
      <c r="G7" s="17" t="s">
        <v>202</v>
      </c>
      <c r="H7" s="21" t="s">
        <v>197</v>
      </c>
      <c r="I7" s="18">
        <f>SUM(BL7:BU7)</f>
        <v>8</v>
      </c>
      <c r="J7" s="18">
        <f>IF(COUNT(BV7:CD7)=9,SUM(BV7:CD7),"")</f>
        <v>6</v>
      </c>
      <c r="K7" s="18">
        <f>SUM(BL7:CD7)</f>
        <v>14</v>
      </c>
      <c r="L7" s="18">
        <f>--(K7&gt;='Codebook'!$C$8)</f>
        <v>1</v>
      </c>
      <c r="M7" s="18">
        <f>--(COUNT(BL7:CD7)=19)</f>
        <v>1</v>
      </c>
      <c r="N7" s="18">
        <f>SUM(CE7:CL7)</f>
        <v>4</v>
      </c>
      <c r="O7" s="18">
        <f>SUM(CM7:CR7)</f>
        <v>6</v>
      </c>
      <c r="P7" s="18">
        <f>N7+O7</f>
        <v>10</v>
      </c>
      <c r="Q7" s="21" t="s">
        <v>197</v>
      </c>
      <c r="R7" s="17" t="s">
        <v>152</v>
      </c>
      <c r="S7" s="18">
        <f>--OR(Overview!$B$6="All",E7=Overview!$B$6)*--OR(Overview!$F$6="All",F7=Overview!$F$6)*--OR(Overview!$J$6="All",G7=Overview!$J$6)*--OR(Overview!$N$6="All",H7=Overview!$N$6)</f>
        <v>1</v>
      </c>
      <c r="T7" s="21" t="s">
        <v>22</v>
      </c>
      <c r="U7" s="21" t="s">
        <v>22</v>
      </c>
      <c r="V7" s="21" t="s">
        <v>22</v>
      </c>
      <c r="W7" s="21" t="s">
        <v>22</v>
      </c>
      <c r="X7" s="21" t="s">
        <v>22</v>
      </c>
      <c r="Y7" s="21" t="s">
        <v>26</v>
      </c>
      <c r="Z7" s="21" t="s">
        <v>22</v>
      </c>
      <c r="AA7" s="21" t="s">
        <v>22</v>
      </c>
      <c r="AB7" s="21" t="s">
        <v>26</v>
      </c>
      <c r="AC7" s="21" t="s">
        <v>22</v>
      </c>
      <c r="AD7" s="21" t="s">
        <v>22</v>
      </c>
      <c r="AE7" s="21" t="s">
        <v>22</v>
      </c>
      <c r="AF7" s="21" t="s">
        <v>26</v>
      </c>
      <c r="AG7" s="21" t="s">
        <v>22</v>
      </c>
      <c r="AH7" s="21" t="s">
        <v>22</v>
      </c>
      <c r="AI7" s="21" t="s">
        <v>198</v>
      </c>
      <c r="AJ7" s="21" t="s">
        <v>198</v>
      </c>
      <c r="AK7" s="21" t="s">
        <v>198</v>
      </c>
      <c r="AL7" s="21" t="s">
        <v>26</v>
      </c>
      <c r="AM7" s="21" t="s">
        <v>198</v>
      </c>
      <c r="AN7" s="21" t="s">
        <v>83</v>
      </c>
      <c r="AO7" s="21" t="s">
        <v>198</v>
      </c>
      <c r="AP7" s="21" t="s">
        <v>109</v>
      </c>
      <c r="AQ7" s="21" t="s">
        <v>198</v>
      </c>
      <c r="AR7" s="21" t="s">
        <v>83</v>
      </c>
      <c r="AS7" s="21" t="s">
        <v>83</v>
      </c>
      <c r="AT7" s="21" t="s">
        <v>83</v>
      </c>
      <c r="AU7" s="21" t="s">
        <v>109</v>
      </c>
      <c r="AV7" s="21" t="s">
        <v>109</v>
      </c>
      <c r="AW7" s="21" t="s">
        <v>109</v>
      </c>
      <c r="AX7" s="21" t="s">
        <v>109</v>
      </c>
      <c r="AY7" s="21" t="s">
        <v>109</v>
      </c>
      <c r="AZ7" s="21" t="s">
        <v>109</v>
      </c>
      <c r="BA7" s="17" t="s">
        <v>203</v>
      </c>
      <c r="BB7" s="17" t="s">
        <v>204</v>
      </c>
      <c r="BC7" s="18">
        <f>--ISNUMBER(SEARCH("Radio or television",BA7))</f>
        <v>1</v>
      </c>
      <c r="BD7" s="18">
        <f>--ISNUMBER(SEARCH("Newspapers or print media",BA7))</f>
        <v>0</v>
      </c>
      <c r="BE7" s="18">
        <f>--ISNUMBER(SEARCH("Social media (e.g. Facebook, WhatsApp, YouTube, X/Twitter)",BA7))</f>
        <v>1</v>
      </c>
      <c r="BF7" s="18">
        <f>--ISNUMBER(SEARCH("Family members",BA7))</f>
        <v>1</v>
      </c>
      <c r="BG7" s="18">
        <f>--ISNUMBER(SEARCH("Friends or fellow students",BA7))</f>
        <v>1</v>
      </c>
      <c r="BH7" s="18">
        <f>--ISNUMBER(SEARCH("School coursework or lectures",BA7))</f>
        <v>1</v>
      </c>
      <c r="BI7" s="18">
        <f>--ISNUMBER(SEARCH("NHIMA outreach activities or NHIMA offices",BA7))</f>
        <v>0</v>
      </c>
      <c r="BJ7" s="18">
        <f>--ISNUMBER(SEARCH("Health facility staff",BA7))</f>
        <v>0</v>
      </c>
      <c r="BK7" s="18">
        <f>--ISNUMBER(SEARCH("not received information",BA7))</f>
        <v>0</v>
      </c>
      <c r="BL7" s="18">
        <f>IF(T7="","",--(T7='Codebook'!$F$13))</f>
        <v>1</v>
      </c>
      <c r="BM7" s="18">
        <f>IF(U7="","",--(U7='Codebook'!$F$14))</f>
        <v>0</v>
      </c>
      <c r="BN7" s="18">
        <f>IF(V7="","",--(V7='Codebook'!$F$15))</f>
        <v>0</v>
      </c>
      <c r="BO7" s="18">
        <f>IF(W7="","",--(W7='Codebook'!$F$16))</f>
        <v>1</v>
      </c>
      <c r="BP7" s="18">
        <f>IF(X7="","",--(X7='Codebook'!$F$17))</f>
        <v>1</v>
      </c>
      <c r="BQ7" s="18">
        <f>IF(Y7="","",--(Y7='Codebook'!$F$18))</f>
        <v>1</v>
      </c>
      <c r="BR7" s="18">
        <f>IF(Z7="","",--(Z7='Codebook'!$F$19))</f>
        <v>1</v>
      </c>
      <c r="BS7" s="18">
        <f>IF(AA7="","",--(AA7='Codebook'!$F$20))</f>
        <v>1</v>
      </c>
      <c r="BT7" s="18">
        <f>IF(AB7="","",--(AB7='Codebook'!$F$21))</f>
        <v>1</v>
      </c>
      <c r="BU7" s="18">
        <f>IF(AC7="","",--(AC7='Codebook'!$F$22))</f>
        <v>1</v>
      </c>
      <c r="BV7" s="18">
        <f>IF(AD7="","",--(AD7='Codebook'!$F$23))</f>
        <v>1</v>
      </c>
      <c r="BW7" s="18">
        <f>IF(AE7="","",--(AE7='Codebook'!$F$24))</f>
        <v>1</v>
      </c>
      <c r="BX7" s="18">
        <f>IF(AF7="","",--(AF7='Codebook'!$F$25))</f>
        <v>1</v>
      </c>
      <c r="BY7" s="18">
        <f>IF(AG7="","",--(AG7='Codebook'!$F$26))</f>
        <v>1</v>
      </c>
      <c r="BZ7" s="18">
        <f>IF(AH7="","",--(AH7='Codebook'!$F$27))</f>
        <v>1</v>
      </c>
      <c r="CA7" s="18">
        <f>IF(AI7="","",--(AI7='Codebook'!$F$28))</f>
        <v>0</v>
      </c>
      <c r="CB7" s="18">
        <f>IF(AJ7="","",--(AJ7='Codebook'!$F$29))</f>
        <v>0</v>
      </c>
      <c r="CC7" s="18">
        <f>IF(AK7="","",--(AK7='Codebook'!$F$30))</f>
        <v>0</v>
      </c>
      <c r="CD7" s="18">
        <f>IF(AL7="","",--(AL7='Codebook'!$F$31))</f>
        <v>1</v>
      </c>
      <c r="CE7" s="18">
        <f>IF(AM7="","",--(AM7='Codebook'!$F$32))</f>
        <v>0</v>
      </c>
      <c r="CF7" s="18">
        <f>IF(AN7="","",--(AN7='Codebook'!$F$33))</f>
        <v>1</v>
      </c>
      <c r="CG7" s="18">
        <f>IF(AO7="","",--(AO7='Codebook'!$F$34))</f>
        <v>0</v>
      </c>
      <c r="CH7" s="18">
        <f>IF(AP7="","",--(AP7='Codebook'!$F$35))</f>
        <v>0</v>
      </c>
      <c r="CI7" s="18">
        <f>IF(AQ7="","",--(AQ7='Codebook'!$F$36))</f>
        <v>0</v>
      </c>
      <c r="CJ7" s="18">
        <f>IF(AR7="","",--(AR7='Codebook'!$F$37))</f>
        <v>1</v>
      </c>
      <c r="CK7" s="18">
        <f>IF(AS7="","",--(AS7='Codebook'!$F$38))</f>
        <v>1</v>
      </c>
      <c r="CL7" s="18">
        <f>IF(AT7="","",--(AT7='Codebook'!$F$39))</f>
        <v>1</v>
      </c>
      <c r="CM7" s="18">
        <f>IF(AU7="","",--(AU7='Codebook'!$F$40))</f>
        <v>1</v>
      </c>
      <c r="CN7" s="18">
        <f>IF(AV7="","",--(AV7='Codebook'!$F$41))</f>
        <v>1</v>
      </c>
      <c r="CO7" s="18">
        <f>IF(AW7="","",--(AW7='Codebook'!$F$42))</f>
        <v>1</v>
      </c>
      <c r="CP7" s="18">
        <f>IF(AX7="","",--(AX7='Codebook'!$F$43))</f>
        <v>1</v>
      </c>
      <c r="CQ7" s="18">
        <f>IF(AY7="","",--(AY7='Codebook'!$F$44))</f>
        <v>1</v>
      </c>
      <c r="CR7" s="18">
        <f>IF(AZ7="","",--(AZ7='Codebook'!$F$45))</f>
        <v>1</v>
      </c>
    </row>
    <row r="8" spans="2:96" ht="24" customHeight="1">
      <c r="B8" s="18">
        <v>3</v>
      </c>
      <c r="C8" s="23">
        <v>46255.54156112269</v>
      </c>
      <c r="D8" s="21" t="s">
        <v>205</v>
      </c>
      <c r="E8" s="21" t="s">
        <v>206</v>
      </c>
      <c r="F8" s="21" t="s">
        <v>201</v>
      </c>
      <c r="G8" s="17" t="s">
        <v>202</v>
      </c>
      <c r="H8" s="21" t="s">
        <v>207</v>
      </c>
      <c r="I8" s="18">
        <f>SUM(BL8:BU8)</f>
        <v>9</v>
      </c>
      <c r="J8" s="18">
        <f>IF(COUNT(BV8:CD8)=9,SUM(BV8:CD8),"")</f>
        <v>5</v>
      </c>
      <c r="K8" s="18">
        <f>SUM(BL8:CD8)</f>
        <v>14</v>
      </c>
      <c r="L8" s="18">
        <f>--(K8&gt;='Codebook'!$C$8)</f>
        <v>1</v>
      </c>
      <c r="M8" s="18">
        <f>--(COUNT(BL8:CD8)=19)</f>
        <v>1</v>
      </c>
      <c r="N8" s="18">
        <f>SUM(CE8:CL8)</f>
        <v>5</v>
      </c>
      <c r="O8" s="18">
        <f>SUM(CM8:CR8)</f>
        <v>1</v>
      </c>
      <c r="P8" s="18">
        <f>N8+O8</f>
        <v>6</v>
      </c>
      <c r="Q8" s="21" t="s">
        <v>197</v>
      </c>
      <c r="R8" s="17" t="s">
        <v>157</v>
      </c>
      <c r="S8" s="18">
        <f>--OR(Overview!$B$6="All",E8=Overview!$B$6)*--OR(Overview!$F$6="All",F8=Overview!$F$6)*--OR(Overview!$J$6="All",G8=Overview!$J$6)*--OR(Overview!$N$6="All",H8=Overview!$N$6)</f>
        <v>1</v>
      </c>
      <c r="T8" s="21" t="s">
        <v>22</v>
      </c>
      <c r="U8" s="21" t="s">
        <v>22</v>
      </c>
      <c r="V8" s="21" t="s">
        <v>26</v>
      </c>
      <c r="W8" s="21" t="s">
        <v>22</v>
      </c>
      <c r="X8" s="21" t="s">
        <v>22</v>
      </c>
      <c r="Y8" s="21" t="s">
        <v>26</v>
      </c>
      <c r="Z8" s="21" t="s">
        <v>22</v>
      </c>
      <c r="AA8" s="21" t="s">
        <v>22</v>
      </c>
      <c r="AB8" s="21" t="s">
        <v>26</v>
      </c>
      <c r="AC8" s="21" t="s">
        <v>22</v>
      </c>
      <c r="AD8" s="21" t="s">
        <v>198</v>
      </c>
      <c r="AE8" s="21" t="s">
        <v>198</v>
      </c>
      <c r="AF8" s="21" t="s">
        <v>26</v>
      </c>
      <c r="AG8" s="21" t="s">
        <v>26</v>
      </c>
      <c r="AH8" s="21" t="s">
        <v>22</v>
      </c>
      <c r="AI8" s="21" t="s">
        <v>26</v>
      </c>
      <c r="AJ8" s="21" t="s">
        <v>22</v>
      </c>
      <c r="AK8" s="21" t="s">
        <v>22</v>
      </c>
      <c r="AL8" s="21" t="s">
        <v>26</v>
      </c>
      <c r="AM8" s="21" t="s">
        <v>198</v>
      </c>
      <c r="AN8" s="21" t="s">
        <v>83</v>
      </c>
      <c r="AO8" s="21" t="s">
        <v>83</v>
      </c>
      <c r="AP8" s="21" t="s">
        <v>83</v>
      </c>
      <c r="AQ8" s="21" t="s">
        <v>109</v>
      </c>
      <c r="AR8" s="21" t="s">
        <v>83</v>
      </c>
      <c r="AS8" s="21" t="s">
        <v>109</v>
      </c>
      <c r="AT8" s="21" t="s">
        <v>83</v>
      </c>
      <c r="AU8" s="21" t="s">
        <v>198</v>
      </c>
      <c r="AV8" s="21" t="s">
        <v>109</v>
      </c>
      <c r="AW8" s="21" t="s">
        <v>198</v>
      </c>
      <c r="AX8" s="21" t="s">
        <v>198</v>
      </c>
      <c r="AY8" s="21" t="s">
        <v>198</v>
      </c>
      <c r="AZ8" s="21" t="s">
        <v>198</v>
      </c>
      <c r="BA8" s="17" t="s">
        <v>208</v>
      </c>
      <c r="BB8" s="17" t="s">
        <v>209</v>
      </c>
      <c r="BC8" s="18">
        <f>--ISNUMBER(SEARCH("Radio or television",BA8))</f>
        <v>0</v>
      </c>
      <c r="BD8" s="18">
        <f>--ISNUMBER(SEARCH("Newspapers or print media",BA8))</f>
        <v>0</v>
      </c>
      <c r="BE8" s="18">
        <f>--ISNUMBER(SEARCH("Social media (e.g. Facebook, WhatsApp, YouTube, X/Twitter)",BA8))</f>
        <v>1</v>
      </c>
      <c r="BF8" s="18">
        <f>--ISNUMBER(SEARCH("Family members",BA8))</f>
        <v>1</v>
      </c>
      <c r="BG8" s="18">
        <f>--ISNUMBER(SEARCH("Friends or fellow students",BA8))</f>
        <v>1</v>
      </c>
      <c r="BH8" s="18">
        <f>--ISNUMBER(SEARCH("School coursework or lectures",BA8))</f>
        <v>1</v>
      </c>
      <c r="BI8" s="18">
        <f>--ISNUMBER(SEARCH("NHIMA outreach activities or NHIMA offices",BA8))</f>
        <v>0</v>
      </c>
      <c r="BJ8" s="18">
        <f>--ISNUMBER(SEARCH("Health facility staff",BA8))</f>
        <v>1</v>
      </c>
      <c r="BK8" s="18">
        <f>--ISNUMBER(SEARCH("not received information",BA8))</f>
        <v>0</v>
      </c>
      <c r="BL8" s="18">
        <f>IF(T8="","",--(T8='Codebook'!$F$13))</f>
        <v>1</v>
      </c>
      <c r="BM8" s="18">
        <f>IF(U8="","",--(U8='Codebook'!$F$14))</f>
        <v>0</v>
      </c>
      <c r="BN8" s="18">
        <f>IF(V8="","",--(V8='Codebook'!$F$15))</f>
        <v>1</v>
      </c>
      <c r="BO8" s="18">
        <f>IF(W8="","",--(W8='Codebook'!$F$16))</f>
        <v>1</v>
      </c>
      <c r="BP8" s="18">
        <f>IF(X8="","",--(X8='Codebook'!$F$17))</f>
        <v>1</v>
      </c>
      <c r="BQ8" s="18">
        <f>IF(Y8="","",--(Y8='Codebook'!$F$18))</f>
        <v>1</v>
      </c>
      <c r="BR8" s="18">
        <f>IF(Z8="","",--(Z8='Codebook'!$F$19))</f>
        <v>1</v>
      </c>
      <c r="BS8" s="18">
        <f>IF(AA8="","",--(AA8='Codebook'!$F$20))</f>
        <v>1</v>
      </c>
      <c r="BT8" s="18">
        <f>IF(AB8="","",--(AB8='Codebook'!$F$21))</f>
        <v>1</v>
      </c>
      <c r="BU8" s="18">
        <f>IF(AC8="","",--(AC8='Codebook'!$F$22))</f>
        <v>1</v>
      </c>
      <c r="BV8" s="18">
        <f>IF(AD8="","",--(AD8='Codebook'!$F$23))</f>
        <v>0</v>
      </c>
      <c r="BW8" s="18">
        <f>IF(AE8="","",--(AE8='Codebook'!$F$24))</f>
        <v>0</v>
      </c>
      <c r="BX8" s="18">
        <f>IF(AF8="","",--(AF8='Codebook'!$F$25))</f>
        <v>1</v>
      </c>
      <c r="BY8" s="18">
        <f>IF(AG8="","",--(AG8='Codebook'!$F$26))</f>
        <v>0</v>
      </c>
      <c r="BZ8" s="18">
        <f>IF(AH8="","",--(AH8='Codebook'!$F$27))</f>
        <v>1</v>
      </c>
      <c r="CA8" s="18">
        <f>IF(AI8="","",--(AI8='Codebook'!$F$28))</f>
        <v>1</v>
      </c>
      <c r="CB8" s="18">
        <f>IF(AJ8="","",--(AJ8='Codebook'!$F$29))</f>
        <v>0</v>
      </c>
      <c r="CC8" s="18">
        <f>IF(AK8="","",--(AK8='Codebook'!$F$30))</f>
        <v>1</v>
      </c>
      <c r="CD8" s="18">
        <f>IF(AL8="","",--(AL8='Codebook'!$F$31))</f>
        <v>1</v>
      </c>
      <c r="CE8" s="18">
        <f>IF(AM8="","",--(AM8='Codebook'!$F$32))</f>
        <v>0</v>
      </c>
      <c r="CF8" s="18">
        <f>IF(AN8="","",--(AN8='Codebook'!$F$33))</f>
        <v>1</v>
      </c>
      <c r="CG8" s="18">
        <f>IF(AO8="","",--(AO8='Codebook'!$F$34))</f>
        <v>1</v>
      </c>
      <c r="CH8" s="18">
        <f>IF(AP8="","",--(AP8='Codebook'!$F$35))</f>
        <v>1</v>
      </c>
      <c r="CI8" s="18">
        <f>IF(AQ8="","",--(AQ8='Codebook'!$F$36))</f>
        <v>0</v>
      </c>
      <c r="CJ8" s="18">
        <f>IF(AR8="","",--(AR8='Codebook'!$F$37))</f>
        <v>1</v>
      </c>
      <c r="CK8" s="18">
        <f>IF(AS8="","",--(AS8='Codebook'!$F$38))</f>
        <v>0</v>
      </c>
      <c r="CL8" s="18">
        <f>IF(AT8="","",--(AT8='Codebook'!$F$39))</f>
        <v>1</v>
      </c>
      <c r="CM8" s="18">
        <f>IF(AU8="","",--(AU8='Codebook'!$F$40))</f>
        <v>0</v>
      </c>
      <c r="CN8" s="18">
        <f>IF(AV8="","",--(AV8='Codebook'!$F$41))</f>
        <v>1</v>
      </c>
      <c r="CO8" s="18">
        <f>IF(AW8="","",--(AW8='Codebook'!$F$42))</f>
        <v>0</v>
      </c>
      <c r="CP8" s="18">
        <f>IF(AX8="","",--(AX8='Codebook'!$F$43))</f>
        <v>0</v>
      </c>
      <c r="CQ8" s="18">
        <f>IF(AY8="","",--(AY8='Codebook'!$F$44))</f>
        <v>0</v>
      </c>
      <c r="CR8" s="18">
        <f>IF(AZ8="","",--(AZ8='Codebook'!$F$45))</f>
        <v>0</v>
      </c>
    </row>
    <row r="9" spans="2:96" ht="24" customHeight="1">
      <c r="B9" s="18">
        <v>4</v>
      </c>
      <c r="C9" s="23">
        <v>46259.43159952547</v>
      </c>
      <c r="D9" s="18">
        <v>23</v>
      </c>
      <c r="E9" s="21" t="s">
        <v>206</v>
      </c>
      <c r="F9" s="21" t="s">
        <v>201</v>
      </c>
      <c r="G9" s="17" t="s">
        <v>202</v>
      </c>
      <c r="H9" s="21" t="s">
        <v>207</v>
      </c>
      <c r="I9" s="18">
        <f>SUM(BL9:BU9)</f>
        <v>7</v>
      </c>
      <c r="J9" s="18">
        <f>IF(COUNT(BV9:CD9)=9,SUM(BV9:CD9),"")</f>
        <v>6</v>
      </c>
      <c r="K9" s="18">
        <f>SUM(BL9:CD9)</f>
        <v>13</v>
      </c>
      <c r="L9" s="18">
        <f>--(K9&gt;='Codebook'!$C$8)</f>
        <v>1</v>
      </c>
      <c r="M9" s="18">
        <f>--(COUNT(BL9:CD9)=19)</f>
        <v>1</v>
      </c>
      <c r="N9" s="18">
        <f>SUM(CE9:CL9)</f>
        <v>6</v>
      </c>
      <c r="O9" s="18">
        <f>SUM(CM9:CR9)</f>
        <v>3</v>
      </c>
      <c r="P9" s="18">
        <f>N9+O9</f>
        <v>9</v>
      </c>
      <c r="Q9" s="21" t="s">
        <v>197</v>
      </c>
      <c r="R9" s="17" t="s">
        <v>156</v>
      </c>
      <c r="S9" s="18">
        <f>--OR(Overview!$B$6="All",E9=Overview!$B$6)*--OR(Overview!$F$6="All",F9=Overview!$F$6)*--OR(Overview!$J$6="All",G9=Overview!$J$6)*--OR(Overview!$N$6="All",H9=Overview!$N$6)</f>
        <v>1</v>
      </c>
      <c r="T9" s="21" t="s">
        <v>22</v>
      </c>
      <c r="U9" s="21" t="s">
        <v>198</v>
      </c>
      <c r="V9" s="21" t="s">
        <v>26</v>
      </c>
      <c r="W9" s="21" t="s">
        <v>22</v>
      </c>
      <c r="X9" s="21" t="s">
        <v>22</v>
      </c>
      <c r="Y9" s="21" t="s">
        <v>198</v>
      </c>
      <c r="Z9" s="21" t="s">
        <v>22</v>
      </c>
      <c r="AA9" s="21" t="s">
        <v>22</v>
      </c>
      <c r="AB9" s="21" t="s">
        <v>198</v>
      </c>
      <c r="AC9" s="21" t="s">
        <v>22</v>
      </c>
      <c r="AD9" s="21" t="s">
        <v>22</v>
      </c>
      <c r="AE9" s="21" t="s">
        <v>22</v>
      </c>
      <c r="AF9" s="21" t="s">
        <v>26</v>
      </c>
      <c r="AG9" s="21" t="s">
        <v>198</v>
      </c>
      <c r="AH9" s="21" t="s">
        <v>22</v>
      </c>
      <c r="AI9" s="21" t="s">
        <v>22</v>
      </c>
      <c r="AJ9" s="21" t="s">
        <v>198</v>
      </c>
      <c r="AK9" s="21" t="s">
        <v>22</v>
      </c>
      <c r="AL9" s="21" t="s">
        <v>26</v>
      </c>
      <c r="AM9" s="21" t="s">
        <v>109</v>
      </c>
      <c r="AN9" s="21" t="s">
        <v>83</v>
      </c>
      <c r="AO9" s="21" t="s">
        <v>83</v>
      </c>
      <c r="AP9" s="21" t="s">
        <v>83</v>
      </c>
      <c r="AQ9" s="21" t="s">
        <v>198</v>
      </c>
      <c r="AR9" s="21" t="s">
        <v>83</v>
      </c>
      <c r="AS9" s="21" t="s">
        <v>83</v>
      </c>
      <c r="AT9" s="21" t="s">
        <v>83</v>
      </c>
      <c r="AU9" s="21" t="s">
        <v>83</v>
      </c>
      <c r="AV9" s="21" t="s">
        <v>109</v>
      </c>
      <c r="AW9" s="21" t="s">
        <v>109</v>
      </c>
      <c r="AX9" s="21" t="s">
        <v>198</v>
      </c>
      <c r="AY9" s="21" t="s">
        <v>109</v>
      </c>
      <c r="AZ9" s="21" t="s">
        <v>83</v>
      </c>
      <c r="BA9" s="17" t="s">
        <v>210</v>
      </c>
      <c r="BB9" s="17" t="s">
        <v>211</v>
      </c>
      <c r="BC9" s="18">
        <f>--ISNUMBER(SEARCH("Radio or television",BA9))</f>
        <v>0</v>
      </c>
      <c r="BD9" s="18">
        <f>--ISNUMBER(SEARCH("Newspapers or print media",BA9))</f>
        <v>0</v>
      </c>
      <c r="BE9" s="18">
        <f>--ISNUMBER(SEARCH("Social media (e.g. Facebook, WhatsApp, YouTube, X/Twitter)",BA9))</f>
        <v>0</v>
      </c>
      <c r="BF9" s="18">
        <f>--ISNUMBER(SEARCH("Family members",BA9))</f>
        <v>0</v>
      </c>
      <c r="BG9" s="18">
        <f>--ISNUMBER(SEARCH("Friends or fellow students",BA9))</f>
        <v>0</v>
      </c>
      <c r="BH9" s="18">
        <f>--ISNUMBER(SEARCH("School coursework or lectures",BA9))</f>
        <v>1</v>
      </c>
      <c r="BI9" s="18">
        <f>--ISNUMBER(SEARCH("NHIMA outreach activities or NHIMA offices",BA9))</f>
        <v>0</v>
      </c>
      <c r="BJ9" s="18">
        <f>--ISNUMBER(SEARCH("Health facility staff",BA9))</f>
        <v>0</v>
      </c>
      <c r="BK9" s="18">
        <f>--ISNUMBER(SEARCH("not received information",BA9))</f>
        <v>0</v>
      </c>
      <c r="BL9" s="18">
        <f>IF(T9="","",--(T9='Codebook'!$F$13))</f>
        <v>1</v>
      </c>
      <c r="BM9" s="18">
        <f>IF(U9="","",--(U9='Codebook'!$F$14))</f>
        <v>0</v>
      </c>
      <c r="BN9" s="18">
        <f>IF(V9="","",--(V9='Codebook'!$F$15))</f>
        <v>1</v>
      </c>
      <c r="BO9" s="18">
        <f>IF(W9="","",--(W9='Codebook'!$F$16))</f>
        <v>1</v>
      </c>
      <c r="BP9" s="18">
        <f>IF(X9="","",--(X9='Codebook'!$F$17))</f>
        <v>1</v>
      </c>
      <c r="BQ9" s="18">
        <f>IF(Y9="","",--(Y9='Codebook'!$F$18))</f>
        <v>0</v>
      </c>
      <c r="BR9" s="18">
        <f>IF(Z9="","",--(Z9='Codebook'!$F$19))</f>
        <v>1</v>
      </c>
      <c r="BS9" s="18">
        <f>IF(AA9="","",--(AA9='Codebook'!$F$20))</f>
        <v>1</v>
      </c>
      <c r="BT9" s="18">
        <f>IF(AB9="","",--(AB9='Codebook'!$F$21))</f>
        <v>0</v>
      </c>
      <c r="BU9" s="18">
        <f>IF(AC9="","",--(AC9='Codebook'!$F$22))</f>
        <v>1</v>
      </c>
      <c r="BV9" s="18">
        <f>IF(AD9="","",--(AD9='Codebook'!$F$23))</f>
        <v>1</v>
      </c>
      <c r="BW9" s="18">
        <f>IF(AE9="","",--(AE9='Codebook'!$F$24))</f>
        <v>1</v>
      </c>
      <c r="BX9" s="18">
        <f>IF(AF9="","",--(AF9='Codebook'!$F$25))</f>
        <v>1</v>
      </c>
      <c r="BY9" s="18">
        <f>IF(AG9="","",--(AG9='Codebook'!$F$26))</f>
        <v>0</v>
      </c>
      <c r="BZ9" s="18">
        <f>IF(AH9="","",--(AH9='Codebook'!$F$27))</f>
        <v>1</v>
      </c>
      <c r="CA9" s="18">
        <f>IF(AI9="","",--(AI9='Codebook'!$F$28))</f>
        <v>0</v>
      </c>
      <c r="CB9" s="18">
        <f>IF(AJ9="","",--(AJ9='Codebook'!$F$29))</f>
        <v>0</v>
      </c>
      <c r="CC9" s="18">
        <f>IF(AK9="","",--(AK9='Codebook'!$F$30))</f>
        <v>1</v>
      </c>
      <c r="CD9" s="18">
        <f>IF(AL9="","",--(AL9='Codebook'!$F$31))</f>
        <v>1</v>
      </c>
      <c r="CE9" s="18">
        <f>IF(AM9="","",--(AM9='Codebook'!$F$32))</f>
        <v>0</v>
      </c>
      <c r="CF9" s="18">
        <f>IF(AN9="","",--(AN9='Codebook'!$F$33))</f>
        <v>1</v>
      </c>
      <c r="CG9" s="18">
        <f>IF(AO9="","",--(AO9='Codebook'!$F$34))</f>
        <v>1</v>
      </c>
      <c r="CH9" s="18">
        <f>IF(AP9="","",--(AP9='Codebook'!$F$35))</f>
        <v>1</v>
      </c>
      <c r="CI9" s="18">
        <f>IF(AQ9="","",--(AQ9='Codebook'!$F$36))</f>
        <v>0</v>
      </c>
      <c r="CJ9" s="18">
        <f>IF(AR9="","",--(AR9='Codebook'!$F$37))</f>
        <v>1</v>
      </c>
      <c r="CK9" s="18">
        <f>IF(AS9="","",--(AS9='Codebook'!$F$38))</f>
        <v>1</v>
      </c>
      <c r="CL9" s="18">
        <f>IF(AT9="","",--(AT9='Codebook'!$F$39))</f>
        <v>1</v>
      </c>
      <c r="CM9" s="18">
        <f>IF(AU9="","",--(AU9='Codebook'!$F$40))</f>
        <v>0</v>
      </c>
      <c r="CN9" s="18">
        <f>IF(AV9="","",--(AV9='Codebook'!$F$41))</f>
        <v>1</v>
      </c>
      <c r="CO9" s="18">
        <f>IF(AW9="","",--(AW9='Codebook'!$F$42))</f>
        <v>1</v>
      </c>
      <c r="CP9" s="18">
        <f>IF(AX9="","",--(AX9='Codebook'!$F$43))</f>
        <v>0</v>
      </c>
      <c r="CQ9" s="18">
        <f>IF(AY9="","",--(AY9='Codebook'!$F$44))</f>
        <v>1</v>
      </c>
      <c r="CR9" s="18">
        <f>IF(AZ9="","",--(AZ9='Codebook'!$F$45))</f>
        <v>0</v>
      </c>
    </row>
    <row r="10" spans="2:96" ht="24" customHeight="1">
      <c r="B10" s="18">
        <v>5</v>
      </c>
      <c r="C10" s="23">
        <v>46259.53733628472</v>
      </c>
      <c r="D10" s="18">
        <v>23</v>
      </c>
      <c r="E10" s="21" t="s">
        <v>194</v>
      </c>
      <c r="F10" s="21" t="s">
        <v>212</v>
      </c>
      <c r="G10" s="17" t="s">
        <v>196</v>
      </c>
      <c r="H10" s="21" t="s">
        <v>207</v>
      </c>
      <c r="I10" s="18">
        <f>SUM(BL10:BU10)</f>
        <v>7</v>
      </c>
      <c r="J10" s="18">
        <f>IF(COUNT(BV10:CD10)=9,SUM(BV10:CD10),"")</f>
        <v>5</v>
      </c>
      <c r="K10" s="18">
        <f>SUM(BL10:CD10)</f>
        <v>12</v>
      </c>
      <c r="L10" s="18">
        <f>--(K10&gt;='Codebook'!$C$8)</f>
        <v>1</v>
      </c>
      <c r="M10" s="18">
        <f>--(COUNT(BL10:CD10)=19)</f>
        <v>1</v>
      </c>
      <c r="N10" s="18">
        <f>SUM(CE10:CL10)</f>
        <v>3</v>
      </c>
      <c r="O10" s="18">
        <f>SUM(CM10:CR10)</f>
        <v>2</v>
      </c>
      <c r="P10" s="18">
        <f>N10+O10</f>
        <v>5</v>
      </c>
      <c r="Q10" s="21" t="s">
        <v>197</v>
      </c>
      <c r="R10" s="17" t="s">
        <v>213</v>
      </c>
      <c r="S10" s="18">
        <f>--OR(Overview!$B$6="All",E10=Overview!$B$6)*--OR(Overview!$F$6="All",F10=Overview!$F$6)*--OR(Overview!$J$6="All",G10=Overview!$J$6)*--OR(Overview!$N$6="All",H10=Overview!$N$6)</f>
        <v>1</v>
      </c>
      <c r="T10" s="21" t="s">
        <v>22</v>
      </c>
      <c r="U10" s="21" t="s">
        <v>198</v>
      </c>
      <c r="V10" s="21" t="s">
        <v>26</v>
      </c>
      <c r="W10" s="21" t="s">
        <v>22</v>
      </c>
      <c r="X10" s="21" t="s">
        <v>22</v>
      </c>
      <c r="Y10" s="21" t="s">
        <v>26</v>
      </c>
      <c r="Z10" s="21" t="s">
        <v>22</v>
      </c>
      <c r="AA10" s="21" t="s">
        <v>22</v>
      </c>
      <c r="AB10" s="21" t="s">
        <v>198</v>
      </c>
      <c r="AC10" s="21" t="s">
        <v>198</v>
      </c>
      <c r="AD10" s="21" t="s">
        <v>198</v>
      </c>
      <c r="AE10" s="21" t="s">
        <v>22</v>
      </c>
      <c r="AF10" s="21" t="s">
        <v>26</v>
      </c>
      <c r="AG10" s="21" t="s">
        <v>198</v>
      </c>
      <c r="AH10" s="21" t="s">
        <v>22</v>
      </c>
      <c r="AI10" s="21" t="s">
        <v>26</v>
      </c>
      <c r="AJ10" s="21" t="s">
        <v>198</v>
      </c>
      <c r="AK10" s="21" t="s">
        <v>198</v>
      </c>
      <c r="AL10" s="21" t="s">
        <v>26</v>
      </c>
      <c r="AM10" s="21" t="s">
        <v>83</v>
      </c>
      <c r="AN10" s="21" t="s">
        <v>198</v>
      </c>
      <c r="AO10" s="21" t="s">
        <v>198</v>
      </c>
      <c r="AP10" s="21" t="s">
        <v>83</v>
      </c>
      <c r="AQ10" s="21" t="s">
        <v>198</v>
      </c>
      <c r="AR10" s="21" t="s">
        <v>83</v>
      </c>
      <c r="AS10" s="21" t="s">
        <v>109</v>
      </c>
      <c r="AT10" s="21" t="s">
        <v>198</v>
      </c>
      <c r="AU10" s="21" t="s">
        <v>198</v>
      </c>
      <c r="AV10" s="21" t="s">
        <v>198</v>
      </c>
      <c r="AW10" s="21" t="s">
        <v>198</v>
      </c>
      <c r="AX10" s="21" t="s">
        <v>109</v>
      </c>
      <c r="AY10" s="21" t="s">
        <v>109</v>
      </c>
      <c r="AZ10" s="21" t="s">
        <v>198</v>
      </c>
      <c r="BA10" s="17" t="s">
        <v>210</v>
      </c>
      <c r="BB10" s="17" t="s">
        <v>214</v>
      </c>
      <c r="BC10" s="18">
        <f>--ISNUMBER(SEARCH("Radio or television",BA10))</f>
        <v>0</v>
      </c>
      <c r="BD10" s="18">
        <f>--ISNUMBER(SEARCH("Newspapers or print media",BA10))</f>
        <v>0</v>
      </c>
      <c r="BE10" s="18">
        <f>--ISNUMBER(SEARCH("Social media (e.g. Facebook, WhatsApp, YouTube, X/Twitter)",BA10))</f>
        <v>0</v>
      </c>
      <c r="BF10" s="18">
        <f>--ISNUMBER(SEARCH("Family members",BA10))</f>
        <v>0</v>
      </c>
      <c r="BG10" s="18">
        <f>--ISNUMBER(SEARCH("Friends or fellow students",BA10))</f>
        <v>0</v>
      </c>
      <c r="BH10" s="18">
        <f>--ISNUMBER(SEARCH("School coursework or lectures",BA10))</f>
        <v>1</v>
      </c>
      <c r="BI10" s="18">
        <f>--ISNUMBER(SEARCH("NHIMA outreach activities or NHIMA offices",BA10))</f>
        <v>0</v>
      </c>
      <c r="BJ10" s="18">
        <f>--ISNUMBER(SEARCH("Health facility staff",BA10))</f>
        <v>0</v>
      </c>
      <c r="BK10" s="18">
        <f>--ISNUMBER(SEARCH("not received information",BA10))</f>
        <v>0</v>
      </c>
      <c r="BL10" s="18">
        <f>IF(T10="","",--(T10='Codebook'!$F$13))</f>
        <v>1</v>
      </c>
      <c r="BM10" s="18">
        <f>IF(U10="","",--(U10='Codebook'!$F$14))</f>
        <v>0</v>
      </c>
      <c r="BN10" s="18">
        <f>IF(V10="","",--(V10='Codebook'!$F$15))</f>
        <v>1</v>
      </c>
      <c r="BO10" s="18">
        <f>IF(W10="","",--(W10='Codebook'!$F$16))</f>
        <v>1</v>
      </c>
      <c r="BP10" s="18">
        <f>IF(X10="","",--(X10='Codebook'!$F$17))</f>
        <v>1</v>
      </c>
      <c r="BQ10" s="18">
        <f>IF(Y10="","",--(Y10='Codebook'!$F$18))</f>
        <v>1</v>
      </c>
      <c r="BR10" s="18">
        <f>IF(Z10="","",--(Z10='Codebook'!$F$19))</f>
        <v>1</v>
      </c>
      <c r="BS10" s="18">
        <f>IF(AA10="","",--(AA10='Codebook'!$F$20))</f>
        <v>1</v>
      </c>
      <c r="BT10" s="18">
        <f>IF(AB10="","",--(AB10='Codebook'!$F$21))</f>
        <v>0</v>
      </c>
      <c r="BU10" s="18">
        <f>IF(AC10="","",--(AC10='Codebook'!$F$22))</f>
        <v>0</v>
      </c>
      <c r="BV10" s="18">
        <f>IF(AD10="","",--(AD10='Codebook'!$F$23))</f>
        <v>0</v>
      </c>
      <c r="BW10" s="18">
        <f>IF(AE10="","",--(AE10='Codebook'!$F$24))</f>
        <v>1</v>
      </c>
      <c r="BX10" s="18">
        <f>IF(AF10="","",--(AF10='Codebook'!$F$25))</f>
        <v>1</v>
      </c>
      <c r="BY10" s="18">
        <f>IF(AG10="","",--(AG10='Codebook'!$F$26))</f>
        <v>0</v>
      </c>
      <c r="BZ10" s="18">
        <f>IF(AH10="","",--(AH10='Codebook'!$F$27))</f>
        <v>1</v>
      </c>
      <c r="CA10" s="18">
        <f>IF(AI10="","",--(AI10='Codebook'!$F$28))</f>
        <v>1</v>
      </c>
      <c r="CB10" s="18">
        <f>IF(AJ10="","",--(AJ10='Codebook'!$F$29))</f>
        <v>0</v>
      </c>
      <c r="CC10" s="18">
        <f>IF(AK10="","",--(AK10='Codebook'!$F$30))</f>
        <v>0</v>
      </c>
      <c r="CD10" s="18">
        <f>IF(AL10="","",--(AL10='Codebook'!$F$31))</f>
        <v>1</v>
      </c>
      <c r="CE10" s="18">
        <f>IF(AM10="","",--(AM10='Codebook'!$F$32))</f>
        <v>1</v>
      </c>
      <c r="CF10" s="18">
        <f>IF(AN10="","",--(AN10='Codebook'!$F$33))</f>
        <v>0</v>
      </c>
      <c r="CG10" s="18">
        <f>IF(AO10="","",--(AO10='Codebook'!$F$34))</f>
        <v>0</v>
      </c>
      <c r="CH10" s="18">
        <f>IF(AP10="","",--(AP10='Codebook'!$F$35))</f>
        <v>1</v>
      </c>
      <c r="CI10" s="18">
        <f>IF(AQ10="","",--(AQ10='Codebook'!$F$36))</f>
        <v>0</v>
      </c>
      <c r="CJ10" s="18">
        <f>IF(AR10="","",--(AR10='Codebook'!$F$37))</f>
        <v>1</v>
      </c>
      <c r="CK10" s="18">
        <f>IF(AS10="","",--(AS10='Codebook'!$F$38))</f>
        <v>0</v>
      </c>
      <c r="CL10" s="18">
        <f>IF(AT10="","",--(AT10='Codebook'!$F$39))</f>
        <v>0</v>
      </c>
      <c r="CM10" s="18">
        <f>IF(AU10="","",--(AU10='Codebook'!$F$40))</f>
        <v>0</v>
      </c>
      <c r="CN10" s="18">
        <f>IF(AV10="","",--(AV10='Codebook'!$F$41))</f>
        <v>0</v>
      </c>
      <c r="CO10" s="18">
        <f>IF(AW10="","",--(AW10='Codebook'!$F$42))</f>
        <v>0</v>
      </c>
      <c r="CP10" s="18">
        <f>IF(AX10="","",--(AX10='Codebook'!$F$43))</f>
        <v>1</v>
      </c>
      <c r="CQ10" s="18">
        <f>IF(AY10="","",--(AY10='Codebook'!$F$44))</f>
        <v>1</v>
      </c>
      <c r="CR10" s="18">
        <f>IF(AZ10="","",--(AZ10='Codebook'!$F$45))</f>
        <v>0</v>
      </c>
    </row>
    <row r="11" spans="2:96" ht="24" customHeight="1">
      <c r="B11" s="18">
        <v>6</v>
      </c>
      <c r="C11" s="23">
        <v>46259.57049002315</v>
      </c>
      <c r="D11" s="18">
        <v>25</v>
      </c>
      <c r="E11" s="21" t="s">
        <v>194</v>
      </c>
      <c r="F11" s="21" t="s">
        <v>201</v>
      </c>
      <c r="G11" s="17" t="s">
        <v>215</v>
      </c>
      <c r="H11" s="21" t="s">
        <v>207</v>
      </c>
      <c r="I11" s="18">
        <f>SUM(BL11:BU11)</f>
        <v>8</v>
      </c>
      <c r="J11" s="18">
        <f>IF(COUNT(BV11:CD11)=9,SUM(BV11:CD11),"")</f>
        <v>6</v>
      </c>
      <c r="K11" s="18">
        <f>SUM(BL11:CD11)</f>
        <v>14</v>
      </c>
      <c r="L11" s="18">
        <f>--(K11&gt;='Codebook'!$C$8)</f>
        <v>1</v>
      </c>
      <c r="M11" s="18">
        <f>--(COUNT(BL11:CD11)=19)</f>
        <v>1</v>
      </c>
      <c r="N11" s="18">
        <f>SUM(CE11:CL11)</f>
        <v>7</v>
      </c>
      <c r="O11" s="18">
        <f>SUM(CM11:CR11)</f>
        <v>5</v>
      </c>
      <c r="P11" s="18">
        <f>N11+O11</f>
        <v>12</v>
      </c>
      <c r="Q11" s="21" t="s">
        <v>197</v>
      </c>
      <c r="R11" s="17" t="s">
        <v>216</v>
      </c>
      <c r="S11" s="18">
        <f>--OR(Overview!$B$6="All",E11=Overview!$B$6)*--OR(Overview!$F$6="All",F11=Overview!$F$6)*--OR(Overview!$J$6="All",G11=Overview!$J$6)*--OR(Overview!$N$6="All",H11=Overview!$N$6)</f>
        <v>1</v>
      </c>
      <c r="T11" s="21" t="s">
        <v>22</v>
      </c>
      <c r="U11" s="21" t="s">
        <v>22</v>
      </c>
      <c r="V11" s="21" t="s">
        <v>26</v>
      </c>
      <c r="W11" s="21" t="s">
        <v>22</v>
      </c>
      <c r="X11" s="21" t="s">
        <v>22</v>
      </c>
      <c r="Y11" s="21" t="s">
        <v>22</v>
      </c>
      <c r="Z11" s="21" t="s">
        <v>22</v>
      </c>
      <c r="AA11" s="21" t="s">
        <v>22</v>
      </c>
      <c r="AB11" s="21" t="s">
        <v>26</v>
      </c>
      <c r="AC11" s="21" t="s">
        <v>22</v>
      </c>
      <c r="AD11" s="21" t="s">
        <v>22</v>
      </c>
      <c r="AE11" s="21" t="s">
        <v>22</v>
      </c>
      <c r="AF11" s="21" t="s">
        <v>22</v>
      </c>
      <c r="AG11" s="21" t="s">
        <v>22</v>
      </c>
      <c r="AH11" s="21" t="s">
        <v>22</v>
      </c>
      <c r="AI11" s="21" t="s">
        <v>22</v>
      </c>
      <c r="AJ11" s="21" t="s">
        <v>26</v>
      </c>
      <c r="AK11" s="21" t="s">
        <v>22</v>
      </c>
      <c r="AL11" s="21" t="s">
        <v>22</v>
      </c>
      <c r="AM11" s="21" t="s">
        <v>83</v>
      </c>
      <c r="AN11" s="21" t="s">
        <v>83</v>
      </c>
      <c r="AO11" s="21" t="s">
        <v>83</v>
      </c>
      <c r="AP11" s="21" t="s">
        <v>83</v>
      </c>
      <c r="AQ11" s="21" t="s">
        <v>83</v>
      </c>
      <c r="AR11" s="21" t="s">
        <v>83</v>
      </c>
      <c r="AS11" s="21" t="s">
        <v>109</v>
      </c>
      <c r="AT11" s="21" t="s">
        <v>83</v>
      </c>
      <c r="AU11" s="21" t="s">
        <v>83</v>
      </c>
      <c r="AV11" s="21" t="s">
        <v>109</v>
      </c>
      <c r="AW11" s="21" t="s">
        <v>109</v>
      </c>
      <c r="AX11" s="21" t="s">
        <v>109</v>
      </c>
      <c r="AY11" s="21" t="s">
        <v>109</v>
      </c>
      <c r="AZ11" s="21" t="s">
        <v>109</v>
      </c>
      <c r="BA11" s="17" t="s">
        <v>217</v>
      </c>
      <c r="BB11" s="17" t="s">
        <v>218</v>
      </c>
      <c r="BC11" s="18">
        <f>--ISNUMBER(SEARCH("Radio or television",BA11))</f>
        <v>1</v>
      </c>
      <c r="BD11" s="18">
        <f>--ISNUMBER(SEARCH("Newspapers or print media",BA11))</f>
        <v>1</v>
      </c>
      <c r="BE11" s="18">
        <f>--ISNUMBER(SEARCH("Social media (e.g. Facebook, WhatsApp, YouTube, X/Twitter)",BA11))</f>
        <v>0</v>
      </c>
      <c r="BF11" s="18">
        <f>--ISNUMBER(SEARCH("Family members",BA11))</f>
        <v>1</v>
      </c>
      <c r="BG11" s="18">
        <f>--ISNUMBER(SEARCH("Friends or fellow students",BA11))</f>
        <v>1</v>
      </c>
      <c r="BH11" s="18">
        <f>--ISNUMBER(SEARCH("School coursework or lectures",BA11))</f>
        <v>1</v>
      </c>
      <c r="BI11" s="18">
        <f>--ISNUMBER(SEARCH("NHIMA outreach activities or NHIMA offices",BA11))</f>
        <v>1</v>
      </c>
      <c r="BJ11" s="18">
        <f>--ISNUMBER(SEARCH("Health facility staff",BA11))</f>
        <v>0</v>
      </c>
      <c r="BK11" s="18">
        <f>--ISNUMBER(SEARCH("not received information",BA11))</f>
        <v>0</v>
      </c>
      <c r="BL11" s="18">
        <f>IF(T11="","",--(T11='Codebook'!$F$13))</f>
        <v>1</v>
      </c>
      <c r="BM11" s="18">
        <f>IF(U11="","",--(U11='Codebook'!$F$14))</f>
        <v>0</v>
      </c>
      <c r="BN11" s="18">
        <f>IF(V11="","",--(V11='Codebook'!$F$15))</f>
        <v>1</v>
      </c>
      <c r="BO11" s="18">
        <f>IF(W11="","",--(W11='Codebook'!$F$16))</f>
        <v>1</v>
      </c>
      <c r="BP11" s="18">
        <f>IF(X11="","",--(X11='Codebook'!$F$17))</f>
        <v>1</v>
      </c>
      <c r="BQ11" s="18">
        <f>IF(Y11="","",--(Y11='Codebook'!$F$18))</f>
        <v>0</v>
      </c>
      <c r="BR11" s="18">
        <f>IF(Z11="","",--(Z11='Codebook'!$F$19))</f>
        <v>1</v>
      </c>
      <c r="BS11" s="18">
        <f>IF(AA11="","",--(AA11='Codebook'!$F$20))</f>
        <v>1</v>
      </c>
      <c r="BT11" s="18">
        <f>IF(AB11="","",--(AB11='Codebook'!$F$21))</f>
        <v>1</v>
      </c>
      <c r="BU11" s="18">
        <f>IF(AC11="","",--(AC11='Codebook'!$F$22))</f>
        <v>1</v>
      </c>
      <c r="BV11" s="18">
        <f>IF(AD11="","",--(AD11='Codebook'!$F$23))</f>
        <v>1</v>
      </c>
      <c r="BW11" s="18">
        <f>IF(AE11="","",--(AE11='Codebook'!$F$24))</f>
        <v>1</v>
      </c>
      <c r="BX11" s="18">
        <f>IF(AF11="","",--(AF11='Codebook'!$F$25))</f>
        <v>0</v>
      </c>
      <c r="BY11" s="18">
        <f>IF(AG11="","",--(AG11='Codebook'!$F$26))</f>
        <v>1</v>
      </c>
      <c r="BZ11" s="18">
        <f>IF(AH11="","",--(AH11='Codebook'!$F$27))</f>
        <v>1</v>
      </c>
      <c r="CA11" s="18">
        <f>IF(AI11="","",--(AI11='Codebook'!$F$28))</f>
        <v>0</v>
      </c>
      <c r="CB11" s="18">
        <f>IF(AJ11="","",--(AJ11='Codebook'!$F$29))</f>
        <v>1</v>
      </c>
      <c r="CC11" s="18">
        <f>IF(AK11="","",--(AK11='Codebook'!$F$30))</f>
        <v>1</v>
      </c>
      <c r="CD11" s="18">
        <f>IF(AL11="","",--(AL11='Codebook'!$F$31))</f>
        <v>0</v>
      </c>
      <c r="CE11" s="18">
        <f>IF(AM11="","",--(AM11='Codebook'!$F$32))</f>
        <v>1</v>
      </c>
      <c r="CF11" s="18">
        <f>IF(AN11="","",--(AN11='Codebook'!$F$33))</f>
        <v>1</v>
      </c>
      <c r="CG11" s="18">
        <f>IF(AO11="","",--(AO11='Codebook'!$F$34))</f>
        <v>1</v>
      </c>
      <c r="CH11" s="18">
        <f>IF(AP11="","",--(AP11='Codebook'!$F$35))</f>
        <v>1</v>
      </c>
      <c r="CI11" s="18">
        <f>IF(AQ11="","",--(AQ11='Codebook'!$F$36))</f>
        <v>1</v>
      </c>
      <c r="CJ11" s="18">
        <f>IF(AR11="","",--(AR11='Codebook'!$F$37))</f>
        <v>1</v>
      </c>
      <c r="CK11" s="18">
        <f>IF(AS11="","",--(AS11='Codebook'!$F$38))</f>
        <v>0</v>
      </c>
      <c r="CL11" s="18">
        <f>IF(AT11="","",--(AT11='Codebook'!$F$39))</f>
        <v>1</v>
      </c>
      <c r="CM11" s="18">
        <f>IF(AU11="","",--(AU11='Codebook'!$F$40))</f>
        <v>0</v>
      </c>
      <c r="CN11" s="18">
        <f>IF(AV11="","",--(AV11='Codebook'!$F$41))</f>
        <v>1</v>
      </c>
      <c r="CO11" s="18">
        <f>IF(AW11="","",--(AW11='Codebook'!$F$42))</f>
        <v>1</v>
      </c>
      <c r="CP11" s="18">
        <f>IF(AX11="","",--(AX11='Codebook'!$F$43))</f>
        <v>1</v>
      </c>
      <c r="CQ11" s="18">
        <f>IF(AY11="","",--(AY11='Codebook'!$F$44))</f>
        <v>1</v>
      </c>
      <c r="CR11" s="18">
        <f>IF(AZ11="","",--(AZ11='Codebook'!$F$45))</f>
        <v>1</v>
      </c>
    </row>
    <row r="12" spans="2:96" ht="24" customHeight="1">
      <c r="B12" s="18">
        <v>7</v>
      </c>
      <c r="C12" s="23">
        <v>46259.57547377315</v>
      </c>
      <c r="D12" s="18">
        <v>26</v>
      </c>
      <c r="E12" s="21" t="s">
        <v>206</v>
      </c>
      <c r="F12" s="21" t="s">
        <v>195</v>
      </c>
      <c r="G12" s="17" t="s">
        <v>196</v>
      </c>
      <c r="H12" s="21" t="s">
        <v>207</v>
      </c>
      <c r="I12" s="18">
        <f>SUM(BL12:BU12)</f>
        <v>2</v>
      </c>
      <c r="J12" s="18">
        <f>IF(COUNT(BV12:CD12)=9,SUM(BV12:CD12),"")</f>
        <v>3</v>
      </c>
      <c r="K12" s="18">
        <f>SUM(BL12:CD12)</f>
        <v>5</v>
      </c>
      <c r="L12" s="18">
        <f>--(K12&gt;='Codebook'!$C$8)</f>
        <v>0</v>
      </c>
      <c r="M12" s="18">
        <f>--(COUNT(BL12:CD12)=19)</f>
        <v>1</v>
      </c>
      <c r="N12" s="18">
        <f>SUM(CE12:CL12)</f>
        <v>4</v>
      </c>
      <c r="O12" s="18">
        <f>SUM(CM12:CR12)</f>
        <v>4</v>
      </c>
      <c r="P12" s="18">
        <f>N12+O12</f>
        <v>8</v>
      </c>
      <c r="Q12" s="21" t="s">
        <v>207</v>
      </c>
      <c r="R12" s="17" t="s">
        <v>155</v>
      </c>
      <c r="S12" s="18">
        <f>--OR(Overview!$B$6="All",E12=Overview!$B$6)*--OR(Overview!$F$6="All",F12=Overview!$F$6)*--OR(Overview!$J$6="All",G12=Overview!$J$6)*--OR(Overview!$N$6="All",H12=Overview!$N$6)</f>
        <v>1</v>
      </c>
      <c r="T12" s="21" t="s">
        <v>22</v>
      </c>
      <c r="U12" s="21" t="s">
        <v>26</v>
      </c>
      <c r="V12" s="21" t="s">
        <v>198</v>
      </c>
      <c r="W12" s="21" t="s">
        <v>198</v>
      </c>
      <c r="X12" s="21" t="s">
        <v>198</v>
      </c>
      <c r="Y12" s="21" t="s">
        <v>198</v>
      </c>
      <c r="Z12" s="21" t="s">
        <v>198</v>
      </c>
      <c r="AA12" s="21" t="s">
        <v>26</v>
      </c>
      <c r="AB12" s="21" t="s">
        <v>198</v>
      </c>
      <c r="AC12" s="21" t="s">
        <v>26</v>
      </c>
      <c r="AD12" s="21" t="s">
        <v>198</v>
      </c>
      <c r="AE12" s="21" t="s">
        <v>26</v>
      </c>
      <c r="AF12" s="21" t="s">
        <v>26</v>
      </c>
      <c r="AG12" s="21" t="s">
        <v>26</v>
      </c>
      <c r="AH12" s="21" t="s">
        <v>26</v>
      </c>
      <c r="AI12" s="21" t="s">
        <v>198</v>
      </c>
      <c r="AJ12" s="21" t="s">
        <v>26</v>
      </c>
      <c r="AK12" s="21" t="s">
        <v>26</v>
      </c>
      <c r="AL12" s="21" t="s">
        <v>26</v>
      </c>
      <c r="AM12" s="21" t="s">
        <v>109</v>
      </c>
      <c r="AN12" s="21" t="s">
        <v>198</v>
      </c>
      <c r="AO12" s="21" t="s">
        <v>109</v>
      </c>
      <c r="AP12" s="21" t="s">
        <v>83</v>
      </c>
      <c r="AQ12" s="21" t="s">
        <v>109</v>
      </c>
      <c r="AR12" s="21" t="s">
        <v>83</v>
      </c>
      <c r="AS12" s="21" t="s">
        <v>83</v>
      </c>
      <c r="AT12" s="21" t="s">
        <v>83</v>
      </c>
      <c r="AU12" s="21" t="s">
        <v>83</v>
      </c>
      <c r="AV12" s="21" t="s">
        <v>109</v>
      </c>
      <c r="AW12" s="21" t="s">
        <v>109</v>
      </c>
      <c r="AX12" s="21" t="s">
        <v>83</v>
      </c>
      <c r="AY12" s="21" t="s">
        <v>109</v>
      </c>
      <c r="AZ12" s="21" t="s">
        <v>109</v>
      </c>
      <c r="BA12" s="17" t="s">
        <v>219</v>
      </c>
      <c r="BB12" s="17" t="s">
        <v>155</v>
      </c>
      <c r="BC12" s="18">
        <f>--ISNUMBER(SEARCH("Radio or television",BA12))</f>
        <v>0</v>
      </c>
      <c r="BD12" s="18">
        <f>--ISNUMBER(SEARCH("Newspapers or print media",BA12))</f>
        <v>0</v>
      </c>
      <c r="BE12" s="18">
        <f>--ISNUMBER(SEARCH("Social media (e.g. Facebook, WhatsApp, YouTube, X/Twitter)",BA12))</f>
        <v>0</v>
      </c>
      <c r="BF12" s="18">
        <f>--ISNUMBER(SEARCH("Family members",BA12))</f>
        <v>1</v>
      </c>
      <c r="BG12" s="18">
        <f>--ISNUMBER(SEARCH("Friends or fellow students",BA12))</f>
        <v>0</v>
      </c>
      <c r="BH12" s="18">
        <f>--ISNUMBER(SEARCH("School coursework or lectures",BA12))</f>
        <v>0</v>
      </c>
      <c r="BI12" s="18">
        <f>--ISNUMBER(SEARCH("NHIMA outreach activities or NHIMA offices",BA12))</f>
        <v>0</v>
      </c>
      <c r="BJ12" s="18">
        <f>--ISNUMBER(SEARCH("Health facility staff",BA12))</f>
        <v>0</v>
      </c>
      <c r="BK12" s="18">
        <f>--ISNUMBER(SEARCH("not received information",BA12))</f>
        <v>0</v>
      </c>
      <c r="BL12" s="18">
        <f>IF(T12="","",--(T12='Codebook'!$F$13))</f>
        <v>1</v>
      </c>
      <c r="BM12" s="18">
        <f>IF(U12="","",--(U12='Codebook'!$F$14))</f>
        <v>1</v>
      </c>
      <c r="BN12" s="18">
        <f>IF(V12="","",--(V12='Codebook'!$F$15))</f>
        <v>0</v>
      </c>
      <c r="BO12" s="18">
        <f>IF(W12="","",--(W12='Codebook'!$F$16))</f>
        <v>0</v>
      </c>
      <c r="BP12" s="18">
        <f>IF(X12="","",--(X12='Codebook'!$F$17))</f>
        <v>0</v>
      </c>
      <c r="BQ12" s="18">
        <f>IF(Y12="","",--(Y12='Codebook'!$F$18))</f>
        <v>0</v>
      </c>
      <c r="BR12" s="18">
        <f>IF(Z12="","",--(Z12='Codebook'!$F$19))</f>
        <v>0</v>
      </c>
      <c r="BS12" s="18">
        <f>IF(AA12="","",--(AA12='Codebook'!$F$20))</f>
        <v>0</v>
      </c>
      <c r="BT12" s="18">
        <f>IF(AB12="","",--(AB12='Codebook'!$F$21))</f>
        <v>0</v>
      </c>
      <c r="BU12" s="18">
        <f>IF(AC12="","",--(AC12='Codebook'!$F$22))</f>
        <v>0</v>
      </c>
      <c r="BV12" s="18">
        <f>IF(AD12="","",--(AD12='Codebook'!$F$23))</f>
        <v>0</v>
      </c>
      <c r="BW12" s="18">
        <f>IF(AE12="","",--(AE12='Codebook'!$F$24))</f>
        <v>0</v>
      </c>
      <c r="BX12" s="18">
        <f>IF(AF12="","",--(AF12='Codebook'!$F$25))</f>
        <v>1</v>
      </c>
      <c r="BY12" s="18">
        <f>IF(AG12="","",--(AG12='Codebook'!$F$26))</f>
        <v>0</v>
      </c>
      <c r="BZ12" s="18">
        <f>IF(AH12="","",--(AH12='Codebook'!$F$27))</f>
        <v>0</v>
      </c>
      <c r="CA12" s="18">
        <f>IF(AI12="","",--(AI12='Codebook'!$F$28))</f>
        <v>0</v>
      </c>
      <c r="CB12" s="18">
        <f>IF(AJ12="","",--(AJ12='Codebook'!$F$29))</f>
        <v>1</v>
      </c>
      <c r="CC12" s="18">
        <f>IF(AK12="","",--(AK12='Codebook'!$F$30))</f>
        <v>0</v>
      </c>
      <c r="CD12" s="18">
        <f>IF(AL12="","",--(AL12='Codebook'!$F$31))</f>
        <v>1</v>
      </c>
      <c r="CE12" s="18">
        <f>IF(AM12="","",--(AM12='Codebook'!$F$32))</f>
        <v>0</v>
      </c>
      <c r="CF12" s="18">
        <f>IF(AN12="","",--(AN12='Codebook'!$F$33))</f>
        <v>0</v>
      </c>
      <c r="CG12" s="18">
        <f>IF(AO12="","",--(AO12='Codebook'!$F$34))</f>
        <v>0</v>
      </c>
      <c r="CH12" s="18">
        <f>IF(AP12="","",--(AP12='Codebook'!$F$35))</f>
        <v>1</v>
      </c>
      <c r="CI12" s="18">
        <f>IF(AQ12="","",--(AQ12='Codebook'!$F$36))</f>
        <v>0</v>
      </c>
      <c r="CJ12" s="18">
        <f>IF(AR12="","",--(AR12='Codebook'!$F$37))</f>
        <v>1</v>
      </c>
      <c r="CK12" s="18">
        <f>IF(AS12="","",--(AS12='Codebook'!$F$38))</f>
        <v>1</v>
      </c>
      <c r="CL12" s="18">
        <f>IF(AT12="","",--(AT12='Codebook'!$F$39))</f>
        <v>1</v>
      </c>
      <c r="CM12" s="18">
        <f>IF(AU12="","",--(AU12='Codebook'!$F$40))</f>
        <v>0</v>
      </c>
      <c r="CN12" s="18">
        <f>IF(AV12="","",--(AV12='Codebook'!$F$41))</f>
        <v>1</v>
      </c>
      <c r="CO12" s="18">
        <f>IF(AW12="","",--(AW12='Codebook'!$F$42))</f>
        <v>1</v>
      </c>
      <c r="CP12" s="18">
        <f>IF(AX12="","",--(AX12='Codebook'!$F$43))</f>
        <v>0</v>
      </c>
      <c r="CQ12" s="18">
        <f>IF(AY12="","",--(AY12='Codebook'!$F$44))</f>
        <v>1</v>
      </c>
      <c r="CR12" s="18">
        <f>IF(AZ12="","",--(AZ12='Codebook'!$F$45))</f>
        <v>1</v>
      </c>
    </row>
    <row r="13" spans="2:96" ht="24" customHeight="1">
      <c r="B13" s="18">
        <v>8</v>
      </c>
      <c r="C13" s="23">
        <v>46259.5763729051</v>
      </c>
      <c r="D13" s="18">
        <v>25</v>
      </c>
      <c r="E13" s="21" t="s">
        <v>194</v>
      </c>
      <c r="F13" s="21" t="s">
        <v>195</v>
      </c>
      <c r="G13" s="17" t="s">
        <v>202</v>
      </c>
      <c r="H13" s="21" t="s">
        <v>207</v>
      </c>
      <c r="I13" s="18">
        <f>SUM(BL13:BU13)</f>
        <v>3</v>
      </c>
      <c r="J13" s="18">
        <f>IF(COUNT(BV13:CD13)=9,SUM(BV13:CD13),"")</f>
        <v/>
      </c>
      <c r="K13" s="18">
        <f>SUM(BL13:CD13)</f>
        <v>3</v>
      </c>
      <c r="L13" s="18">
        <f>--(K13&gt;='Codebook'!$C$8)</f>
        <v>0</v>
      </c>
      <c r="M13" s="18">
        <f>--(COUNT(BL13:CD13)=19)</f>
        <v>0</v>
      </c>
      <c r="N13" s="18">
        <f>SUM(CE13:CL13)</f>
        <v>3</v>
      </c>
      <c r="O13" s="18">
        <f>SUM(CM13:CR13)</f>
        <v>6</v>
      </c>
      <c r="P13" s="18">
        <f>N13+O13</f>
        <v>9</v>
      </c>
      <c r="Q13" s="21" t="s">
        <v>197</v>
      </c>
      <c r="R13" s="17" t="s">
        <v>159</v>
      </c>
      <c r="S13" s="18">
        <f>--OR(Overview!$B$6="All",E13=Overview!$B$6)*--OR(Overview!$F$6="All",F13=Overview!$F$6)*--OR(Overview!$J$6="All",G13=Overview!$J$6)*--OR(Overview!$N$6="All",H13=Overview!$N$6)</f>
        <v>1</v>
      </c>
      <c r="T13" s="21" t="s">
        <v>198</v>
      </c>
      <c r="U13" s="21" t="s">
        <v>26</v>
      </c>
      <c r="V13" s="21" t="s">
        <v>198</v>
      </c>
      <c r="W13" s="21" t="s">
        <v>26</v>
      </c>
      <c r="X13" s="21" t="s">
        <v>198</v>
      </c>
      <c r="Y13" s="21" t="s">
        <v>198</v>
      </c>
      <c r="Z13" s="21" t="s">
        <v>26</v>
      </c>
      <c r="AA13" s="21" t="s">
        <v>22</v>
      </c>
      <c r="AB13" s="21" t="s">
        <v>26</v>
      </c>
      <c r="AC13" s="21" t="s">
        <v>26</v>
      </c>
      <c r="AD13" s="21"/>
      <c r="AE13" s="21"/>
      <c r="AF13" s="21"/>
      <c r="AG13" s="21"/>
      <c r="AH13" s="21"/>
      <c r="AI13" s="21"/>
      <c r="AJ13" s="21"/>
      <c r="AK13" s="21"/>
      <c r="AL13" s="21"/>
      <c r="AM13" s="21" t="s">
        <v>83</v>
      </c>
      <c r="AN13" s="21" t="s">
        <v>109</v>
      </c>
      <c r="AO13" s="21" t="s">
        <v>83</v>
      </c>
      <c r="AP13" s="21" t="s">
        <v>109</v>
      </c>
      <c r="AQ13" s="21" t="s">
        <v>198</v>
      </c>
      <c r="AR13" s="21" t="s">
        <v>198</v>
      </c>
      <c r="AS13" s="21" t="s">
        <v>109</v>
      </c>
      <c r="AT13" s="21" t="s">
        <v>83</v>
      </c>
      <c r="AU13" s="21" t="s">
        <v>109</v>
      </c>
      <c r="AV13" s="21" t="s">
        <v>109</v>
      </c>
      <c r="AW13" s="21" t="s">
        <v>109</v>
      </c>
      <c r="AX13" s="21" t="s">
        <v>109</v>
      </c>
      <c r="AY13" s="21" t="s">
        <v>109</v>
      </c>
      <c r="AZ13" s="21" t="s">
        <v>109</v>
      </c>
      <c r="BA13" s="17" t="s">
        <v>220</v>
      </c>
      <c r="BB13" s="17" t="s">
        <v>221</v>
      </c>
      <c r="BC13" s="18">
        <f>--ISNUMBER(SEARCH("Radio or television",BA13))</f>
        <v>0</v>
      </c>
      <c r="BD13" s="18">
        <f>--ISNUMBER(SEARCH("Newspapers or print media",BA13))</f>
        <v>0</v>
      </c>
      <c r="BE13" s="18">
        <f>--ISNUMBER(SEARCH("Social media (e.g. Facebook, WhatsApp, YouTube, X/Twitter)",BA13))</f>
        <v>1</v>
      </c>
      <c r="BF13" s="18">
        <f>--ISNUMBER(SEARCH("Family members",BA13))</f>
        <v>0</v>
      </c>
      <c r="BG13" s="18">
        <f>--ISNUMBER(SEARCH("Friends or fellow students",BA13))</f>
        <v>0</v>
      </c>
      <c r="BH13" s="18">
        <f>--ISNUMBER(SEARCH("School coursework or lectures",BA13))</f>
        <v>0</v>
      </c>
      <c r="BI13" s="18">
        <f>--ISNUMBER(SEARCH("NHIMA outreach activities or NHIMA offices",BA13))</f>
        <v>0</v>
      </c>
      <c r="BJ13" s="18">
        <f>--ISNUMBER(SEARCH("Health facility staff",BA13))</f>
        <v>1</v>
      </c>
      <c r="BK13" s="18">
        <f>--ISNUMBER(SEARCH("not received information",BA13))</f>
        <v>0</v>
      </c>
      <c r="BL13" s="18">
        <f>IF(T13="","",--(T13='Codebook'!$F$13))</f>
        <v>0</v>
      </c>
      <c r="BM13" s="18">
        <f>IF(U13="","",--(U13='Codebook'!$F$14))</f>
        <v>1</v>
      </c>
      <c r="BN13" s="18">
        <f>IF(V13="","",--(V13='Codebook'!$F$15))</f>
        <v>0</v>
      </c>
      <c r="BO13" s="18">
        <f>IF(W13="","",--(W13='Codebook'!$F$16))</f>
        <v>0</v>
      </c>
      <c r="BP13" s="18">
        <f>IF(X13="","",--(X13='Codebook'!$F$17))</f>
        <v>0</v>
      </c>
      <c r="BQ13" s="18">
        <f>IF(Y13="","",--(Y13='Codebook'!$F$18))</f>
        <v>0</v>
      </c>
      <c r="BR13" s="18">
        <f>IF(Z13="","",--(Z13='Codebook'!$F$19))</f>
        <v>0</v>
      </c>
      <c r="BS13" s="18">
        <f>IF(AA13="","",--(AA13='Codebook'!$F$20))</f>
        <v>1</v>
      </c>
      <c r="BT13" s="18">
        <f>IF(AB13="","",--(AB13='Codebook'!$F$21))</f>
        <v>1</v>
      </c>
      <c r="BU13" s="18">
        <f>IF(AC13="","",--(AC13='Codebook'!$F$22))</f>
        <v>0</v>
      </c>
      <c r="BV13" s="18">
        <f>IF(AD13="","",--(AD13='Codebook'!$F$23))</f>
        <v/>
      </c>
      <c r="BW13" s="18">
        <f>IF(AE13="","",--(AE13='Codebook'!$F$24))</f>
        <v/>
      </c>
      <c r="BX13" s="18">
        <f>IF(AF13="","",--(AF13='Codebook'!$F$25))</f>
        <v/>
      </c>
      <c r="BY13" s="18">
        <f>IF(AG13="","",--(AG13='Codebook'!$F$26))</f>
        <v/>
      </c>
      <c r="BZ13" s="18">
        <f>IF(AH13="","",--(AH13='Codebook'!$F$27))</f>
        <v/>
      </c>
      <c r="CA13" s="18">
        <f>IF(AI13="","",--(AI13='Codebook'!$F$28))</f>
        <v/>
      </c>
      <c r="CB13" s="18">
        <f>IF(AJ13="","",--(AJ13='Codebook'!$F$29))</f>
        <v/>
      </c>
      <c r="CC13" s="18">
        <f>IF(AK13="","",--(AK13='Codebook'!$F$30))</f>
        <v/>
      </c>
      <c r="CD13" s="18">
        <f>IF(AL13="","",--(AL13='Codebook'!$F$31))</f>
        <v/>
      </c>
      <c r="CE13" s="18">
        <f>IF(AM13="","",--(AM13='Codebook'!$F$32))</f>
        <v>1</v>
      </c>
      <c r="CF13" s="18">
        <f>IF(AN13="","",--(AN13='Codebook'!$F$33))</f>
        <v>0</v>
      </c>
      <c r="CG13" s="18">
        <f>IF(AO13="","",--(AO13='Codebook'!$F$34))</f>
        <v>1</v>
      </c>
      <c r="CH13" s="18">
        <f>IF(AP13="","",--(AP13='Codebook'!$F$35))</f>
        <v>0</v>
      </c>
      <c r="CI13" s="18">
        <f>IF(AQ13="","",--(AQ13='Codebook'!$F$36))</f>
        <v>0</v>
      </c>
      <c r="CJ13" s="18">
        <f>IF(AR13="","",--(AR13='Codebook'!$F$37))</f>
        <v>0</v>
      </c>
      <c r="CK13" s="18">
        <f>IF(AS13="","",--(AS13='Codebook'!$F$38))</f>
        <v>0</v>
      </c>
      <c r="CL13" s="18">
        <f>IF(AT13="","",--(AT13='Codebook'!$F$39))</f>
        <v>1</v>
      </c>
      <c r="CM13" s="18">
        <f>IF(AU13="","",--(AU13='Codebook'!$F$40))</f>
        <v>1</v>
      </c>
      <c r="CN13" s="18">
        <f>IF(AV13="","",--(AV13='Codebook'!$F$41))</f>
        <v>1</v>
      </c>
      <c r="CO13" s="18">
        <f>IF(AW13="","",--(AW13='Codebook'!$F$42))</f>
        <v>1</v>
      </c>
      <c r="CP13" s="18">
        <f>IF(AX13="","",--(AX13='Codebook'!$F$43))</f>
        <v>1</v>
      </c>
      <c r="CQ13" s="18">
        <f>IF(AY13="","",--(AY13='Codebook'!$F$44))</f>
        <v>1</v>
      </c>
      <c r="CR13" s="18">
        <f>IF(AZ13="","",--(AZ13='Codebook'!$F$45))</f>
        <v>1</v>
      </c>
    </row>
    <row r="14" spans="2:96" ht="24" customHeight="1">
      <c r="B14" s="18">
        <v>9</v>
      </c>
      <c r="C14" s="23">
        <v>46259.59273326389</v>
      </c>
      <c r="D14" s="18">
        <v>25</v>
      </c>
      <c r="E14" s="21" t="s">
        <v>206</v>
      </c>
      <c r="F14" s="21" t="s">
        <v>201</v>
      </c>
      <c r="G14" s="17" t="s">
        <v>202</v>
      </c>
      <c r="H14" s="21" t="s">
        <v>207</v>
      </c>
      <c r="I14" s="18">
        <f>SUM(BL14:BU14)</f>
        <v>3</v>
      </c>
      <c r="J14" s="18">
        <f>IF(COUNT(BV14:CD14)=9,SUM(BV14:CD14),"")</f>
        <v>7</v>
      </c>
      <c r="K14" s="18">
        <f>SUM(BL14:CD14)</f>
        <v>10</v>
      </c>
      <c r="L14" s="18">
        <f>--(K14&gt;='Codebook'!$C$8)</f>
        <v>0</v>
      </c>
      <c r="M14" s="18">
        <f>--(COUNT(BL14:CD14)=19)</f>
        <v>1</v>
      </c>
      <c r="N14" s="18">
        <f>SUM(CE14:CL14)</f>
        <v>2</v>
      </c>
      <c r="O14" s="18">
        <f>SUM(CM14:CR14)</f>
        <v>3</v>
      </c>
      <c r="P14" s="18">
        <f>N14+O14</f>
        <v>5</v>
      </c>
      <c r="Q14" s="21" t="s">
        <v>207</v>
      </c>
      <c r="R14" s="17" t="s">
        <v>222</v>
      </c>
      <c r="S14" s="18">
        <f>--OR(Overview!$B$6="All",E14=Overview!$B$6)*--OR(Overview!$F$6="All",F14=Overview!$F$6)*--OR(Overview!$J$6="All",G14=Overview!$J$6)*--OR(Overview!$N$6="All",H14=Overview!$N$6)</f>
        <v>1</v>
      </c>
      <c r="T14" s="21" t="s">
        <v>26</v>
      </c>
      <c r="U14" s="21" t="s">
        <v>198</v>
      </c>
      <c r="V14" s="21" t="s">
        <v>198</v>
      </c>
      <c r="W14" s="21" t="s">
        <v>22</v>
      </c>
      <c r="X14" s="21" t="s">
        <v>26</v>
      </c>
      <c r="Y14" s="21" t="s">
        <v>22</v>
      </c>
      <c r="Z14" s="21" t="s">
        <v>26</v>
      </c>
      <c r="AA14" s="21" t="s">
        <v>22</v>
      </c>
      <c r="AB14" s="21" t="s">
        <v>26</v>
      </c>
      <c r="AC14" s="21" t="s">
        <v>198</v>
      </c>
      <c r="AD14" s="21" t="s">
        <v>22</v>
      </c>
      <c r="AE14" s="21" t="s">
        <v>26</v>
      </c>
      <c r="AF14" s="21" t="s">
        <v>26</v>
      </c>
      <c r="AG14" s="21" t="s">
        <v>22</v>
      </c>
      <c r="AH14" s="21" t="s">
        <v>198</v>
      </c>
      <c r="AI14" s="21" t="s">
        <v>26</v>
      </c>
      <c r="AJ14" s="21" t="s">
        <v>26</v>
      </c>
      <c r="AK14" s="21" t="s">
        <v>22</v>
      </c>
      <c r="AL14" s="21" t="s">
        <v>26</v>
      </c>
      <c r="AM14" s="21" t="s">
        <v>198</v>
      </c>
      <c r="AN14" s="21" t="s">
        <v>83</v>
      </c>
      <c r="AO14" s="21" t="s">
        <v>109</v>
      </c>
      <c r="AP14" s="21" t="s">
        <v>109</v>
      </c>
      <c r="AQ14" s="21" t="s">
        <v>83</v>
      </c>
      <c r="AR14" s="21" t="s">
        <v>109</v>
      </c>
      <c r="AS14" s="21" t="s">
        <v>198</v>
      </c>
      <c r="AT14" s="21" t="s">
        <v>109</v>
      </c>
      <c r="AU14" s="21" t="s">
        <v>109</v>
      </c>
      <c r="AV14" s="21" t="s">
        <v>83</v>
      </c>
      <c r="AW14" s="21" t="s">
        <v>198</v>
      </c>
      <c r="AX14" s="21" t="s">
        <v>109</v>
      </c>
      <c r="AY14" s="21" t="s">
        <v>83</v>
      </c>
      <c r="AZ14" s="21" t="s">
        <v>109</v>
      </c>
      <c r="BA14" s="17" t="s">
        <v>223</v>
      </c>
      <c r="BB14" s="21"/>
      <c r="BC14" s="18">
        <f>--ISNUMBER(SEARCH("Radio or television",BA14))</f>
        <v>1</v>
      </c>
      <c r="BD14" s="18">
        <f>--ISNUMBER(SEARCH("Newspapers or print media",BA14))</f>
        <v>0</v>
      </c>
      <c r="BE14" s="18">
        <f>--ISNUMBER(SEARCH("Social media (e.g. Facebook, WhatsApp, YouTube, X/Twitter)",BA14))</f>
        <v>0</v>
      </c>
      <c r="BF14" s="18">
        <f>--ISNUMBER(SEARCH("Family members",BA14))</f>
        <v>0</v>
      </c>
      <c r="BG14" s="18">
        <f>--ISNUMBER(SEARCH("Friends or fellow students",BA14))</f>
        <v>0</v>
      </c>
      <c r="BH14" s="18">
        <f>--ISNUMBER(SEARCH("School coursework or lectures",BA14))</f>
        <v>0</v>
      </c>
      <c r="BI14" s="18">
        <f>--ISNUMBER(SEARCH("NHIMA outreach activities or NHIMA offices",BA14))</f>
        <v>0</v>
      </c>
      <c r="BJ14" s="18">
        <f>--ISNUMBER(SEARCH("Health facility staff",BA14))</f>
        <v>0</v>
      </c>
      <c r="BK14" s="18">
        <f>--ISNUMBER(SEARCH("not received information",BA14))</f>
        <v>0</v>
      </c>
      <c r="BL14" s="18">
        <f>IF(T14="","",--(T14='Codebook'!$F$13))</f>
        <v>0</v>
      </c>
      <c r="BM14" s="18">
        <f>IF(U14="","",--(U14='Codebook'!$F$14))</f>
        <v>0</v>
      </c>
      <c r="BN14" s="18">
        <f>IF(V14="","",--(V14='Codebook'!$F$15))</f>
        <v>0</v>
      </c>
      <c r="BO14" s="18">
        <f>IF(W14="","",--(W14='Codebook'!$F$16))</f>
        <v>1</v>
      </c>
      <c r="BP14" s="18">
        <f>IF(X14="","",--(X14='Codebook'!$F$17))</f>
        <v>0</v>
      </c>
      <c r="BQ14" s="18">
        <f>IF(Y14="","",--(Y14='Codebook'!$F$18))</f>
        <v>0</v>
      </c>
      <c r="BR14" s="18">
        <f>IF(Z14="","",--(Z14='Codebook'!$F$19))</f>
        <v>0</v>
      </c>
      <c r="BS14" s="18">
        <f>IF(AA14="","",--(AA14='Codebook'!$F$20))</f>
        <v>1</v>
      </c>
      <c r="BT14" s="18">
        <f>IF(AB14="","",--(AB14='Codebook'!$F$21))</f>
        <v>1</v>
      </c>
      <c r="BU14" s="18">
        <f>IF(AC14="","",--(AC14='Codebook'!$F$22))</f>
        <v>0</v>
      </c>
      <c r="BV14" s="18">
        <f>IF(AD14="","",--(AD14='Codebook'!$F$23))</f>
        <v>1</v>
      </c>
      <c r="BW14" s="18">
        <f>IF(AE14="","",--(AE14='Codebook'!$F$24))</f>
        <v>0</v>
      </c>
      <c r="BX14" s="18">
        <f>IF(AF14="","",--(AF14='Codebook'!$F$25))</f>
        <v>1</v>
      </c>
      <c r="BY14" s="18">
        <f>IF(AG14="","",--(AG14='Codebook'!$F$26))</f>
        <v>1</v>
      </c>
      <c r="BZ14" s="18">
        <f>IF(AH14="","",--(AH14='Codebook'!$F$27))</f>
        <v>0</v>
      </c>
      <c r="CA14" s="18">
        <f>IF(AI14="","",--(AI14='Codebook'!$F$28))</f>
        <v>1</v>
      </c>
      <c r="CB14" s="18">
        <f>IF(AJ14="","",--(AJ14='Codebook'!$F$29))</f>
        <v>1</v>
      </c>
      <c r="CC14" s="18">
        <f>IF(AK14="","",--(AK14='Codebook'!$F$30))</f>
        <v>1</v>
      </c>
      <c r="CD14" s="18">
        <f>IF(AL14="","",--(AL14='Codebook'!$F$31))</f>
        <v>1</v>
      </c>
      <c r="CE14" s="18">
        <f>IF(AM14="","",--(AM14='Codebook'!$F$32))</f>
        <v>0</v>
      </c>
      <c r="CF14" s="18">
        <f>IF(AN14="","",--(AN14='Codebook'!$F$33))</f>
        <v>1</v>
      </c>
      <c r="CG14" s="18">
        <f>IF(AO14="","",--(AO14='Codebook'!$F$34))</f>
        <v>0</v>
      </c>
      <c r="CH14" s="18">
        <f>IF(AP14="","",--(AP14='Codebook'!$F$35))</f>
        <v>0</v>
      </c>
      <c r="CI14" s="18">
        <f>IF(AQ14="","",--(AQ14='Codebook'!$F$36))</f>
        <v>1</v>
      </c>
      <c r="CJ14" s="18">
        <f>IF(AR14="","",--(AR14='Codebook'!$F$37))</f>
        <v>0</v>
      </c>
      <c r="CK14" s="18">
        <f>IF(AS14="","",--(AS14='Codebook'!$F$38))</f>
        <v>0</v>
      </c>
      <c r="CL14" s="18">
        <f>IF(AT14="","",--(AT14='Codebook'!$F$39))</f>
        <v>0</v>
      </c>
      <c r="CM14" s="18">
        <f>IF(AU14="","",--(AU14='Codebook'!$F$40))</f>
        <v>1</v>
      </c>
      <c r="CN14" s="18">
        <f>IF(AV14="","",--(AV14='Codebook'!$F$41))</f>
        <v>0</v>
      </c>
      <c r="CO14" s="18">
        <f>IF(AW14="","",--(AW14='Codebook'!$F$42))</f>
        <v>0</v>
      </c>
      <c r="CP14" s="18">
        <f>IF(AX14="","",--(AX14='Codebook'!$F$43))</f>
        <v>1</v>
      </c>
      <c r="CQ14" s="18">
        <f>IF(AY14="","",--(AY14='Codebook'!$F$44))</f>
        <v>0</v>
      </c>
      <c r="CR14" s="18">
        <f>IF(AZ14="","",--(AZ14='Codebook'!$F$45))</f>
        <v>1</v>
      </c>
    </row>
    <row r="15" spans="2:96" ht="24" customHeight="1">
      <c r="B15" s="18">
        <v>10</v>
      </c>
      <c r="C15" s="23">
        <v>46259.62262825231</v>
      </c>
      <c r="D15" s="18">
        <v>25</v>
      </c>
      <c r="E15" s="21" t="s">
        <v>194</v>
      </c>
      <c r="F15" s="21" t="s">
        <v>201</v>
      </c>
      <c r="G15" s="17" t="s">
        <v>224</v>
      </c>
      <c r="H15" s="21" t="s">
        <v>207</v>
      </c>
      <c r="I15" s="18">
        <f>SUM(BL15:BU15)</f>
        <v>10</v>
      </c>
      <c r="J15" s="18">
        <f>IF(COUNT(BV15:CD15)=9,SUM(BV15:CD15),"")</f>
        <v>6</v>
      </c>
      <c r="K15" s="18">
        <f>SUM(BL15:CD15)</f>
        <v>16</v>
      </c>
      <c r="L15" s="18">
        <f>--(K15&gt;='Codebook'!$C$8)</f>
        <v>1</v>
      </c>
      <c r="M15" s="18">
        <f>--(COUNT(BL15:CD15)=19)</f>
        <v>1</v>
      </c>
      <c r="N15" s="18">
        <f>SUM(CE15:CL15)</f>
        <v>4</v>
      </c>
      <c r="O15" s="18">
        <f>SUM(CM15:CR15)</f>
        <v>0</v>
      </c>
      <c r="P15" s="18">
        <f>N15+O15</f>
        <v>4</v>
      </c>
      <c r="Q15" s="21" t="s">
        <v>198</v>
      </c>
      <c r="R15" s="17" t="s">
        <v>159</v>
      </c>
      <c r="S15" s="18">
        <f>--OR(Overview!$B$6="All",E15=Overview!$B$6)*--OR(Overview!$F$6="All",F15=Overview!$F$6)*--OR(Overview!$J$6="All",G15=Overview!$J$6)*--OR(Overview!$N$6="All",H15=Overview!$N$6)</f>
        <v>1</v>
      </c>
      <c r="T15" s="21" t="s">
        <v>22</v>
      </c>
      <c r="U15" s="21" t="s">
        <v>26</v>
      </c>
      <c r="V15" s="21" t="s">
        <v>26</v>
      </c>
      <c r="W15" s="21" t="s">
        <v>22</v>
      </c>
      <c r="X15" s="21" t="s">
        <v>22</v>
      </c>
      <c r="Y15" s="21" t="s">
        <v>26</v>
      </c>
      <c r="Z15" s="21" t="s">
        <v>22</v>
      </c>
      <c r="AA15" s="21" t="s">
        <v>22</v>
      </c>
      <c r="AB15" s="21" t="s">
        <v>26</v>
      </c>
      <c r="AC15" s="21" t="s">
        <v>22</v>
      </c>
      <c r="AD15" s="21" t="s">
        <v>22</v>
      </c>
      <c r="AE15" s="21" t="s">
        <v>22</v>
      </c>
      <c r="AF15" s="21" t="s">
        <v>26</v>
      </c>
      <c r="AG15" s="21" t="s">
        <v>198</v>
      </c>
      <c r="AH15" s="21" t="s">
        <v>198</v>
      </c>
      <c r="AI15" s="21" t="s">
        <v>26</v>
      </c>
      <c r="AJ15" s="21" t="s">
        <v>198</v>
      </c>
      <c r="AK15" s="21" t="s">
        <v>22</v>
      </c>
      <c r="AL15" s="21" t="s">
        <v>26</v>
      </c>
      <c r="AM15" s="21" t="s">
        <v>198</v>
      </c>
      <c r="AN15" s="21" t="s">
        <v>83</v>
      </c>
      <c r="AO15" s="21" t="s">
        <v>198</v>
      </c>
      <c r="AP15" s="21" t="s">
        <v>198</v>
      </c>
      <c r="AQ15" s="21" t="s">
        <v>198</v>
      </c>
      <c r="AR15" s="21" t="s">
        <v>83</v>
      </c>
      <c r="AS15" s="21" t="s">
        <v>83</v>
      </c>
      <c r="AT15" s="21" t="s">
        <v>83</v>
      </c>
      <c r="AU15" s="21" t="s">
        <v>198</v>
      </c>
      <c r="AV15" s="21" t="s">
        <v>198</v>
      </c>
      <c r="AW15" s="21" t="s">
        <v>198</v>
      </c>
      <c r="AX15" s="21" t="s">
        <v>198</v>
      </c>
      <c r="AY15" s="21" t="s">
        <v>198</v>
      </c>
      <c r="AZ15" s="21" t="s">
        <v>198</v>
      </c>
      <c r="BA15" s="17" t="s">
        <v>225</v>
      </c>
      <c r="BB15" s="17" t="s">
        <v>221</v>
      </c>
      <c r="BC15" s="18">
        <f>--ISNUMBER(SEARCH("Radio or television",BA15))</f>
        <v>0</v>
      </c>
      <c r="BD15" s="18">
        <f>--ISNUMBER(SEARCH("Newspapers or print media",BA15))</f>
        <v>0</v>
      </c>
      <c r="BE15" s="18">
        <f>--ISNUMBER(SEARCH("Social media (e.g. Facebook, WhatsApp, YouTube, X/Twitter)",BA15))</f>
        <v>0</v>
      </c>
      <c r="BF15" s="18">
        <f>--ISNUMBER(SEARCH("Family members",BA15))</f>
        <v>0</v>
      </c>
      <c r="BG15" s="18">
        <f>--ISNUMBER(SEARCH("Friends or fellow students",BA15))</f>
        <v>0</v>
      </c>
      <c r="BH15" s="18">
        <f>--ISNUMBER(SEARCH("School coursework or lectures",BA15))</f>
        <v>0</v>
      </c>
      <c r="BI15" s="18">
        <f>--ISNUMBER(SEARCH("NHIMA outreach activities or NHIMA offices",BA15))</f>
        <v>1</v>
      </c>
      <c r="BJ15" s="18">
        <f>--ISNUMBER(SEARCH("Health facility staff",BA15))</f>
        <v>0</v>
      </c>
      <c r="BK15" s="18">
        <f>--ISNUMBER(SEARCH("not received information",BA15))</f>
        <v>0</v>
      </c>
      <c r="BL15" s="18">
        <f>IF(T15="","",--(T15='Codebook'!$F$13))</f>
        <v>1</v>
      </c>
      <c r="BM15" s="18">
        <f>IF(U15="","",--(U15='Codebook'!$F$14))</f>
        <v>1</v>
      </c>
      <c r="BN15" s="18">
        <f>IF(V15="","",--(V15='Codebook'!$F$15))</f>
        <v>1</v>
      </c>
      <c r="BO15" s="18">
        <f>IF(W15="","",--(W15='Codebook'!$F$16))</f>
        <v>1</v>
      </c>
      <c r="BP15" s="18">
        <f>IF(X15="","",--(X15='Codebook'!$F$17))</f>
        <v>1</v>
      </c>
      <c r="BQ15" s="18">
        <f>IF(Y15="","",--(Y15='Codebook'!$F$18))</f>
        <v>1</v>
      </c>
      <c r="BR15" s="18">
        <f>IF(Z15="","",--(Z15='Codebook'!$F$19))</f>
        <v>1</v>
      </c>
      <c r="BS15" s="18">
        <f>IF(AA15="","",--(AA15='Codebook'!$F$20))</f>
        <v>1</v>
      </c>
      <c r="BT15" s="18">
        <f>IF(AB15="","",--(AB15='Codebook'!$F$21))</f>
        <v>1</v>
      </c>
      <c r="BU15" s="18">
        <f>IF(AC15="","",--(AC15='Codebook'!$F$22))</f>
        <v>1</v>
      </c>
      <c r="BV15" s="18">
        <f>IF(AD15="","",--(AD15='Codebook'!$F$23))</f>
        <v>1</v>
      </c>
      <c r="BW15" s="18">
        <f>IF(AE15="","",--(AE15='Codebook'!$F$24))</f>
        <v>1</v>
      </c>
      <c r="BX15" s="18">
        <f>IF(AF15="","",--(AF15='Codebook'!$F$25))</f>
        <v>1</v>
      </c>
      <c r="BY15" s="18">
        <f>IF(AG15="","",--(AG15='Codebook'!$F$26))</f>
        <v>0</v>
      </c>
      <c r="BZ15" s="18">
        <f>IF(AH15="","",--(AH15='Codebook'!$F$27))</f>
        <v>0</v>
      </c>
      <c r="CA15" s="18">
        <f>IF(AI15="","",--(AI15='Codebook'!$F$28))</f>
        <v>1</v>
      </c>
      <c r="CB15" s="18">
        <f>IF(AJ15="","",--(AJ15='Codebook'!$F$29))</f>
        <v>0</v>
      </c>
      <c r="CC15" s="18">
        <f>IF(AK15="","",--(AK15='Codebook'!$F$30))</f>
        <v>1</v>
      </c>
      <c r="CD15" s="18">
        <f>IF(AL15="","",--(AL15='Codebook'!$F$31))</f>
        <v>1</v>
      </c>
      <c r="CE15" s="18">
        <f>IF(AM15="","",--(AM15='Codebook'!$F$32))</f>
        <v>0</v>
      </c>
      <c r="CF15" s="18">
        <f>IF(AN15="","",--(AN15='Codebook'!$F$33))</f>
        <v>1</v>
      </c>
      <c r="CG15" s="18">
        <f>IF(AO15="","",--(AO15='Codebook'!$F$34))</f>
        <v>0</v>
      </c>
      <c r="CH15" s="18">
        <f>IF(AP15="","",--(AP15='Codebook'!$F$35))</f>
        <v>0</v>
      </c>
      <c r="CI15" s="18">
        <f>IF(AQ15="","",--(AQ15='Codebook'!$F$36))</f>
        <v>0</v>
      </c>
      <c r="CJ15" s="18">
        <f>IF(AR15="","",--(AR15='Codebook'!$F$37))</f>
        <v>1</v>
      </c>
      <c r="CK15" s="18">
        <f>IF(AS15="","",--(AS15='Codebook'!$F$38))</f>
        <v>1</v>
      </c>
      <c r="CL15" s="18">
        <f>IF(AT15="","",--(AT15='Codebook'!$F$39))</f>
        <v>1</v>
      </c>
      <c r="CM15" s="18">
        <f>IF(AU15="","",--(AU15='Codebook'!$F$40))</f>
        <v>0</v>
      </c>
      <c r="CN15" s="18">
        <f>IF(AV15="","",--(AV15='Codebook'!$F$41))</f>
        <v>0</v>
      </c>
      <c r="CO15" s="18">
        <f>IF(AW15="","",--(AW15='Codebook'!$F$42))</f>
        <v>0</v>
      </c>
      <c r="CP15" s="18">
        <f>IF(AX15="","",--(AX15='Codebook'!$F$43))</f>
        <v>0</v>
      </c>
      <c r="CQ15" s="18">
        <f>IF(AY15="","",--(AY15='Codebook'!$F$44))</f>
        <v>0</v>
      </c>
      <c r="CR15" s="18">
        <f>IF(AZ15="","",--(AZ15='Codebook'!$F$45))</f>
        <v>0</v>
      </c>
    </row>
    <row r="16" spans="2:96" ht="24" customHeight="1">
      <c r="B16" s="18">
        <v>11</v>
      </c>
      <c r="C16" s="23">
        <v>46259.62880393519</v>
      </c>
      <c r="D16" s="18">
        <v>24</v>
      </c>
      <c r="E16" s="21" t="s">
        <v>194</v>
      </c>
      <c r="F16" s="21" t="s">
        <v>226</v>
      </c>
      <c r="G16" s="17" t="s">
        <v>224</v>
      </c>
      <c r="H16" s="21" t="s">
        <v>197</v>
      </c>
      <c r="I16" s="18">
        <f>SUM(BL16:BU16)</f>
        <v>7</v>
      </c>
      <c r="J16" s="18">
        <f>IF(COUNT(BV16:CD16)=9,SUM(BV16:CD16),"")</f>
        <v>5</v>
      </c>
      <c r="K16" s="18">
        <f>SUM(BL16:CD16)</f>
        <v>12</v>
      </c>
      <c r="L16" s="18">
        <f>--(K16&gt;='Codebook'!$C$8)</f>
        <v>1</v>
      </c>
      <c r="M16" s="18">
        <f>--(COUNT(BL16:CD16)=19)</f>
        <v>1</v>
      </c>
      <c r="N16" s="18">
        <f>SUM(CE16:CL16)</f>
        <v>2</v>
      </c>
      <c r="O16" s="18">
        <f>SUM(CM16:CR16)</f>
        <v>1</v>
      </c>
      <c r="P16" s="18">
        <f>N16+O16</f>
        <v>3</v>
      </c>
      <c r="Q16" s="21" t="s">
        <v>197</v>
      </c>
      <c r="R16" s="17" t="s">
        <v>154</v>
      </c>
      <c r="S16" s="18">
        <f>--OR(Overview!$B$6="All",E16=Overview!$B$6)*--OR(Overview!$F$6="All",F16=Overview!$F$6)*--OR(Overview!$J$6="All",G16=Overview!$J$6)*--OR(Overview!$N$6="All",H16=Overview!$N$6)</f>
        <v>1</v>
      </c>
      <c r="T16" s="21" t="s">
        <v>22</v>
      </c>
      <c r="U16" s="21" t="s">
        <v>198</v>
      </c>
      <c r="V16" s="21" t="s">
        <v>26</v>
      </c>
      <c r="W16" s="21" t="s">
        <v>22</v>
      </c>
      <c r="X16" s="21" t="s">
        <v>22</v>
      </c>
      <c r="Y16" s="21" t="s">
        <v>26</v>
      </c>
      <c r="Z16" s="21" t="s">
        <v>22</v>
      </c>
      <c r="AA16" s="21" t="s">
        <v>198</v>
      </c>
      <c r="AB16" s="21" t="s">
        <v>198</v>
      </c>
      <c r="AC16" s="21" t="s">
        <v>22</v>
      </c>
      <c r="AD16" s="21" t="s">
        <v>22</v>
      </c>
      <c r="AE16" s="21" t="s">
        <v>198</v>
      </c>
      <c r="AF16" s="21" t="s">
        <v>26</v>
      </c>
      <c r="AG16" s="21" t="s">
        <v>198</v>
      </c>
      <c r="AH16" s="21" t="s">
        <v>22</v>
      </c>
      <c r="AI16" s="21" t="s">
        <v>198</v>
      </c>
      <c r="AJ16" s="21" t="s">
        <v>198</v>
      </c>
      <c r="AK16" s="21" t="s">
        <v>22</v>
      </c>
      <c r="AL16" s="21" t="s">
        <v>26</v>
      </c>
      <c r="AM16" s="21" t="s">
        <v>198</v>
      </c>
      <c r="AN16" s="21" t="s">
        <v>83</v>
      </c>
      <c r="AO16" s="21" t="s">
        <v>198</v>
      </c>
      <c r="AP16" s="21" t="s">
        <v>198</v>
      </c>
      <c r="AQ16" s="21" t="s">
        <v>198</v>
      </c>
      <c r="AR16" s="21" t="s">
        <v>109</v>
      </c>
      <c r="AS16" s="21" t="s">
        <v>198</v>
      </c>
      <c r="AT16" s="21" t="s">
        <v>83</v>
      </c>
      <c r="AU16" s="21" t="s">
        <v>83</v>
      </c>
      <c r="AV16" s="21" t="s">
        <v>109</v>
      </c>
      <c r="AW16" s="21" t="s">
        <v>198</v>
      </c>
      <c r="AX16" s="21" t="s">
        <v>198</v>
      </c>
      <c r="AY16" s="21" t="s">
        <v>198</v>
      </c>
      <c r="AZ16" s="21" t="s">
        <v>198</v>
      </c>
      <c r="BA16" s="17" t="s">
        <v>227</v>
      </c>
      <c r="BB16" s="17" t="s">
        <v>154</v>
      </c>
      <c r="BC16" s="18">
        <f>--ISNUMBER(SEARCH("Radio or television",BA16))</f>
        <v>0</v>
      </c>
      <c r="BD16" s="18">
        <f>--ISNUMBER(SEARCH("Newspapers or print media",BA16))</f>
        <v>0</v>
      </c>
      <c r="BE16" s="18">
        <f>--ISNUMBER(SEARCH("Social media (e.g. Facebook, WhatsApp, YouTube, X/Twitter)",BA16))</f>
        <v>1</v>
      </c>
      <c r="BF16" s="18">
        <f>--ISNUMBER(SEARCH("Family members",BA16))</f>
        <v>1</v>
      </c>
      <c r="BG16" s="18">
        <f>--ISNUMBER(SEARCH("Friends or fellow students",BA16))</f>
        <v>1</v>
      </c>
      <c r="BH16" s="18">
        <f>--ISNUMBER(SEARCH("School coursework or lectures",BA16))</f>
        <v>1</v>
      </c>
      <c r="BI16" s="18">
        <f>--ISNUMBER(SEARCH("NHIMA outreach activities or NHIMA offices",BA16))</f>
        <v>0</v>
      </c>
      <c r="BJ16" s="18">
        <f>--ISNUMBER(SEARCH("Health facility staff",BA16))</f>
        <v>0</v>
      </c>
      <c r="BK16" s="18">
        <f>--ISNUMBER(SEARCH("not received information",BA16))</f>
        <v>0</v>
      </c>
      <c r="BL16" s="18">
        <f>IF(T16="","",--(T16='Codebook'!$F$13))</f>
        <v>1</v>
      </c>
      <c r="BM16" s="18">
        <f>IF(U16="","",--(U16='Codebook'!$F$14))</f>
        <v>0</v>
      </c>
      <c r="BN16" s="18">
        <f>IF(V16="","",--(V16='Codebook'!$F$15))</f>
        <v>1</v>
      </c>
      <c r="BO16" s="18">
        <f>IF(W16="","",--(W16='Codebook'!$F$16))</f>
        <v>1</v>
      </c>
      <c r="BP16" s="18">
        <f>IF(X16="","",--(X16='Codebook'!$F$17))</f>
        <v>1</v>
      </c>
      <c r="BQ16" s="18">
        <f>IF(Y16="","",--(Y16='Codebook'!$F$18))</f>
        <v>1</v>
      </c>
      <c r="BR16" s="18">
        <f>IF(Z16="","",--(Z16='Codebook'!$F$19))</f>
        <v>1</v>
      </c>
      <c r="BS16" s="18">
        <f>IF(AA16="","",--(AA16='Codebook'!$F$20))</f>
        <v>0</v>
      </c>
      <c r="BT16" s="18">
        <f>IF(AB16="","",--(AB16='Codebook'!$F$21))</f>
        <v>0</v>
      </c>
      <c r="BU16" s="18">
        <f>IF(AC16="","",--(AC16='Codebook'!$F$22))</f>
        <v>1</v>
      </c>
      <c r="BV16" s="18">
        <f>IF(AD16="","",--(AD16='Codebook'!$F$23))</f>
        <v>1</v>
      </c>
      <c r="BW16" s="18">
        <f>IF(AE16="","",--(AE16='Codebook'!$F$24))</f>
        <v>0</v>
      </c>
      <c r="BX16" s="18">
        <f>IF(AF16="","",--(AF16='Codebook'!$F$25))</f>
        <v>1</v>
      </c>
      <c r="BY16" s="18">
        <f>IF(AG16="","",--(AG16='Codebook'!$F$26))</f>
        <v>0</v>
      </c>
      <c r="BZ16" s="18">
        <f>IF(AH16="","",--(AH16='Codebook'!$F$27))</f>
        <v>1</v>
      </c>
      <c r="CA16" s="18">
        <f>IF(AI16="","",--(AI16='Codebook'!$F$28))</f>
        <v>0</v>
      </c>
      <c r="CB16" s="18">
        <f>IF(AJ16="","",--(AJ16='Codebook'!$F$29))</f>
        <v>0</v>
      </c>
      <c r="CC16" s="18">
        <f>IF(AK16="","",--(AK16='Codebook'!$F$30))</f>
        <v>1</v>
      </c>
      <c r="CD16" s="18">
        <f>IF(AL16="","",--(AL16='Codebook'!$F$31))</f>
        <v>1</v>
      </c>
      <c r="CE16" s="18">
        <f>IF(AM16="","",--(AM16='Codebook'!$F$32))</f>
        <v>0</v>
      </c>
      <c r="CF16" s="18">
        <f>IF(AN16="","",--(AN16='Codebook'!$F$33))</f>
        <v>1</v>
      </c>
      <c r="CG16" s="18">
        <f>IF(AO16="","",--(AO16='Codebook'!$F$34))</f>
        <v>0</v>
      </c>
      <c r="CH16" s="18">
        <f>IF(AP16="","",--(AP16='Codebook'!$F$35))</f>
        <v>0</v>
      </c>
      <c r="CI16" s="18">
        <f>IF(AQ16="","",--(AQ16='Codebook'!$F$36))</f>
        <v>0</v>
      </c>
      <c r="CJ16" s="18">
        <f>IF(AR16="","",--(AR16='Codebook'!$F$37))</f>
        <v>0</v>
      </c>
      <c r="CK16" s="18">
        <f>IF(AS16="","",--(AS16='Codebook'!$F$38))</f>
        <v>0</v>
      </c>
      <c r="CL16" s="18">
        <f>IF(AT16="","",--(AT16='Codebook'!$F$39))</f>
        <v>1</v>
      </c>
      <c r="CM16" s="18">
        <f>IF(AU16="","",--(AU16='Codebook'!$F$40))</f>
        <v>0</v>
      </c>
      <c r="CN16" s="18">
        <f>IF(AV16="","",--(AV16='Codebook'!$F$41))</f>
        <v>1</v>
      </c>
      <c r="CO16" s="18">
        <f>IF(AW16="","",--(AW16='Codebook'!$F$42))</f>
        <v>0</v>
      </c>
      <c r="CP16" s="18">
        <f>IF(AX16="","",--(AX16='Codebook'!$F$43))</f>
        <v>0</v>
      </c>
      <c r="CQ16" s="18">
        <f>IF(AY16="","",--(AY16='Codebook'!$F$44))</f>
        <v>0</v>
      </c>
      <c r="CR16" s="18">
        <f>IF(AZ16="","",--(AZ16='Codebook'!$F$45))</f>
        <v>0</v>
      </c>
    </row>
    <row r="17" spans="2:96" ht="24" customHeight="1">
      <c r="B17" s="18">
        <v>12</v>
      </c>
      <c r="C17" s="23">
        <v>46259.67986810186</v>
      </c>
      <c r="D17" s="18">
        <v>24</v>
      </c>
      <c r="E17" s="21" t="s">
        <v>206</v>
      </c>
      <c r="F17" s="21" t="s">
        <v>201</v>
      </c>
      <c r="G17" s="17" t="s">
        <v>202</v>
      </c>
      <c r="H17" s="21" t="s">
        <v>197</v>
      </c>
      <c r="I17" s="18">
        <f>SUM(BL17:BU17)</f>
        <v>8</v>
      </c>
      <c r="J17" s="18">
        <f>IF(COUNT(BV17:CD17)=9,SUM(BV17:CD17),"")</f>
        <v>4</v>
      </c>
      <c r="K17" s="18">
        <f>SUM(BL17:CD17)</f>
        <v>12</v>
      </c>
      <c r="L17" s="18">
        <f>--(K17&gt;='Codebook'!$C$8)</f>
        <v>1</v>
      </c>
      <c r="M17" s="18">
        <f>--(COUNT(BL17:CD17)=19)</f>
        <v>1</v>
      </c>
      <c r="N17" s="18">
        <f>SUM(CE17:CL17)</f>
        <v>6</v>
      </c>
      <c r="O17" s="18">
        <f>SUM(CM17:CR17)</f>
        <v>2</v>
      </c>
      <c r="P17" s="18">
        <f>N17+O17</f>
        <v>8</v>
      </c>
      <c r="Q17" s="21" t="s">
        <v>198</v>
      </c>
      <c r="R17" s="17" t="s">
        <v>154</v>
      </c>
      <c r="S17" s="18">
        <f>--OR(Overview!$B$6="All",E17=Overview!$B$6)*--OR(Overview!$F$6="All",F17=Overview!$F$6)*--OR(Overview!$J$6="All",G17=Overview!$J$6)*--OR(Overview!$N$6="All",H17=Overview!$N$6)</f>
        <v>1</v>
      </c>
      <c r="T17" s="21" t="s">
        <v>22</v>
      </c>
      <c r="U17" s="21" t="s">
        <v>22</v>
      </c>
      <c r="V17" s="21" t="s">
        <v>22</v>
      </c>
      <c r="W17" s="21" t="s">
        <v>22</v>
      </c>
      <c r="X17" s="21" t="s">
        <v>22</v>
      </c>
      <c r="Y17" s="21" t="s">
        <v>26</v>
      </c>
      <c r="Z17" s="21" t="s">
        <v>22</v>
      </c>
      <c r="AA17" s="21" t="s">
        <v>22</v>
      </c>
      <c r="AB17" s="21" t="s">
        <v>26</v>
      </c>
      <c r="AC17" s="21" t="s">
        <v>22</v>
      </c>
      <c r="AD17" s="21" t="s">
        <v>198</v>
      </c>
      <c r="AE17" s="21" t="s">
        <v>198</v>
      </c>
      <c r="AF17" s="21" t="s">
        <v>26</v>
      </c>
      <c r="AG17" s="21" t="s">
        <v>198</v>
      </c>
      <c r="AH17" s="21" t="s">
        <v>198</v>
      </c>
      <c r="AI17" s="21" t="s">
        <v>198</v>
      </c>
      <c r="AJ17" s="21" t="s">
        <v>26</v>
      </c>
      <c r="AK17" s="21" t="s">
        <v>22</v>
      </c>
      <c r="AL17" s="21" t="s">
        <v>26</v>
      </c>
      <c r="AM17" s="21" t="s">
        <v>109</v>
      </c>
      <c r="AN17" s="21" t="s">
        <v>83</v>
      </c>
      <c r="AO17" s="21" t="s">
        <v>83</v>
      </c>
      <c r="AP17" s="21" t="s">
        <v>83</v>
      </c>
      <c r="AQ17" s="21" t="s">
        <v>83</v>
      </c>
      <c r="AR17" s="21" t="s">
        <v>83</v>
      </c>
      <c r="AS17" s="21" t="s">
        <v>83</v>
      </c>
      <c r="AT17" s="21" t="s">
        <v>198</v>
      </c>
      <c r="AU17" s="21" t="s">
        <v>83</v>
      </c>
      <c r="AV17" s="21" t="s">
        <v>83</v>
      </c>
      <c r="AW17" s="21" t="s">
        <v>83</v>
      </c>
      <c r="AX17" s="21" t="s">
        <v>109</v>
      </c>
      <c r="AY17" s="21" t="s">
        <v>109</v>
      </c>
      <c r="AZ17" s="21" t="s">
        <v>198</v>
      </c>
      <c r="BA17" s="17" t="s">
        <v>227</v>
      </c>
      <c r="BB17" s="17" t="s">
        <v>154</v>
      </c>
      <c r="BC17" s="18">
        <f>--ISNUMBER(SEARCH("Radio or television",BA17))</f>
        <v>0</v>
      </c>
      <c r="BD17" s="18">
        <f>--ISNUMBER(SEARCH("Newspapers or print media",BA17))</f>
        <v>0</v>
      </c>
      <c r="BE17" s="18">
        <f>--ISNUMBER(SEARCH("Social media (e.g. Facebook, WhatsApp, YouTube, X/Twitter)",BA17))</f>
        <v>1</v>
      </c>
      <c r="BF17" s="18">
        <f>--ISNUMBER(SEARCH("Family members",BA17))</f>
        <v>1</v>
      </c>
      <c r="BG17" s="18">
        <f>--ISNUMBER(SEARCH("Friends or fellow students",BA17))</f>
        <v>1</v>
      </c>
      <c r="BH17" s="18">
        <f>--ISNUMBER(SEARCH("School coursework or lectures",BA17))</f>
        <v>1</v>
      </c>
      <c r="BI17" s="18">
        <f>--ISNUMBER(SEARCH("NHIMA outreach activities or NHIMA offices",BA17))</f>
        <v>0</v>
      </c>
      <c r="BJ17" s="18">
        <f>--ISNUMBER(SEARCH("Health facility staff",BA17))</f>
        <v>0</v>
      </c>
      <c r="BK17" s="18">
        <f>--ISNUMBER(SEARCH("not received information",BA17))</f>
        <v>0</v>
      </c>
      <c r="BL17" s="18">
        <f>IF(T17="","",--(T17='Codebook'!$F$13))</f>
        <v>1</v>
      </c>
      <c r="BM17" s="18">
        <f>IF(U17="","",--(U17='Codebook'!$F$14))</f>
        <v>0</v>
      </c>
      <c r="BN17" s="18">
        <f>IF(V17="","",--(V17='Codebook'!$F$15))</f>
        <v>0</v>
      </c>
      <c r="BO17" s="18">
        <f>IF(W17="","",--(W17='Codebook'!$F$16))</f>
        <v>1</v>
      </c>
      <c r="BP17" s="18">
        <f>IF(X17="","",--(X17='Codebook'!$F$17))</f>
        <v>1</v>
      </c>
      <c r="BQ17" s="18">
        <f>IF(Y17="","",--(Y17='Codebook'!$F$18))</f>
        <v>1</v>
      </c>
      <c r="BR17" s="18">
        <f>IF(Z17="","",--(Z17='Codebook'!$F$19))</f>
        <v>1</v>
      </c>
      <c r="BS17" s="18">
        <f>IF(AA17="","",--(AA17='Codebook'!$F$20))</f>
        <v>1</v>
      </c>
      <c r="BT17" s="18">
        <f>IF(AB17="","",--(AB17='Codebook'!$F$21))</f>
        <v>1</v>
      </c>
      <c r="BU17" s="18">
        <f>IF(AC17="","",--(AC17='Codebook'!$F$22))</f>
        <v>1</v>
      </c>
      <c r="BV17" s="18">
        <f>IF(AD17="","",--(AD17='Codebook'!$F$23))</f>
        <v>0</v>
      </c>
      <c r="BW17" s="18">
        <f>IF(AE17="","",--(AE17='Codebook'!$F$24))</f>
        <v>0</v>
      </c>
      <c r="BX17" s="18">
        <f>IF(AF17="","",--(AF17='Codebook'!$F$25))</f>
        <v>1</v>
      </c>
      <c r="BY17" s="18">
        <f>IF(AG17="","",--(AG17='Codebook'!$F$26))</f>
        <v>0</v>
      </c>
      <c r="BZ17" s="18">
        <f>IF(AH17="","",--(AH17='Codebook'!$F$27))</f>
        <v>0</v>
      </c>
      <c r="CA17" s="18">
        <f>IF(AI17="","",--(AI17='Codebook'!$F$28))</f>
        <v>0</v>
      </c>
      <c r="CB17" s="18">
        <f>IF(AJ17="","",--(AJ17='Codebook'!$F$29))</f>
        <v>1</v>
      </c>
      <c r="CC17" s="18">
        <f>IF(AK17="","",--(AK17='Codebook'!$F$30))</f>
        <v>1</v>
      </c>
      <c r="CD17" s="18">
        <f>IF(AL17="","",--(AL17='Codebook'!$F$31))</f>
        <v>1</v>
      </c>
      <c r="CE17" s="18">
        <f>IF(AM17="","",--(AM17='Codebook'!$F$32))</f>
        <v>0</v>
      </c>
      <c r="CF17" s="18">
        <f>IF(AN17="","",--(AN17='Codebook'!$F$33))</f>
        <v>1</v>
      </c>
      <c r="CG17" s="18">
        <f>IF(AO17="","",--(AO17='Codebook'!$F$34))</f>
        <v>1</v>
      </c>
      <c r="CH17" s="18">
        <f>IF(AP17="","",--(AP17='Codebook'!$F$35))</f>
        <v>1</v>
      </c>
      <c r="CI17" s="18">
        <f>IF(AQ17="","",--(AQ17='Codebook'!$F$36))</f>
        <v>1</v>
      </c>
      <c r="CJ17" s="18">
        <f>IF(AR17="","",--(AR17='Codebook'!$F$37))</f>
        <v>1</v>
      </c>
      <c r="CK17" s="18">
        <f>IF(AS17="","",--(AS17='Codebook'!$F$38))</f>
        <v>1</v>
      </c>
      <c r="CL17" s="18">
        <f>IF(AT17="","",--(AT17='Codebook'!$F$39))</f>
        <v>0</v>
      </c>
      <c r="CM17" s="18">
        <f>IF(AU17="","",--(AU17='Codebook'!$F$40))</f>
        <v>0</v>
      </c>
      <c r="CN17" s="18">
        <f>IF(AV17="","",--(AV17='Codebook'!$F$41))</f>
        <v>0</v>
      </c>
      <c r="CO17" s="18">
        <f>IF(AW17="","",--(AW17='Codebook'!$F$42))</f>
        <v>0</v>
      </c>
      <c r="CP17" s="18">
        <f>IF(AX17="","",--(AX17='Codebook'!$F$43))</f>
        <v>1</v>
      </c>
      <c r="CQ17" s="18">
        <f>IF(AY17="","",--(AY17='Codebook'!$F$44))</f>
        <v>1</v>
      </c>
      <c r="CR17" s="18">
        <f>IF(AZ17="","",--(AZ17='Codebook'!$F$45))</f>
        <v>0</v>
      </c>
    </row>
    <row r="18" spans="2:96" ht="24" customHeight="1">
      <c r="B18" s="18">
        <v>13</v>
      </c>
      <c r="C18" s="23">
        <v>46259.68682783565</v>
      </c>
      <c r="D18" s="18">
        <v>23</v>
      </c>
      <c r="E18" s="21" t="s">
        <v>194</v>
      </c>
      <c r="F18" s="21" t="s">
        <v>226</v>
      </c>
      <c r="G18" s="17" t="s">
        <v>215</v>
      </c>
      <c r="H18" s="21" t="s">
        <v>207</v>
      </c>
      <c r="I18" s="18">
        <f>SUM(BL18:BU18)</f>
        <v>10</v>
      </c>
      <c r="J18" s="18">
        <f>IF(COUNT(BV18:CD18)=9,SUM(BV18:CD18),"")</f>
        <v>6</v>
      </c>
      <c r="K18" s="18">
        <f>SUM(BL18:CD18)</f>
        <v>16</v>
      </c>
      <c r="L18" s="18">
        <f>--(K18&gt;='Codebook'!$C$8)</f>
        <v>1</v>
      </c>
      <c r="M18" s="18">
        <f>--(COUNT(BL18:CD18)=19)</f>
        <v>1</v>
      </c>
      <c r="N18" s="18">
        <f>SUM(CE18:CL18)</f>
        <v>5</v>
      </c>
      <c r="O18" s="18">
        <f>SUM(CM18:CR18)</f>
        <v>5</v>
      </c>
      <c r="P18" s="18">
        <f>N18+O18</f>
        <v>10</v>
      </c>
      <c r="Q18" s="21" t="s">
        <v>197</v>
      </c>
      <c r="R18" s="17" t="s">
        <v>154</v>
      </c>
      <c r="S18" s="18">
        <f>--OR(Overview!$B$6="All",E18=Overview!$B$6)*--OR(Overview!$F$6="All",F18=Overview!$F$6)*--OR(Overview!$J$6="All",G18=Overview!$J$6)*--OR(Overview!$N$6="All",H18=Overview!$N$6)</f>
        <v>1</v>
      </c>
      <c r="T18" s="21" t="s">
        <v>22</v>
      </c>
      <c r="U18" s="21" t="s">
        <v>26</v>
      </c>
      <c r="V18" s="21" t="s">
        <v>26</v>
      </c>
      <c r="W18" s="21" t="s">
        <v>22</v>
      </c>
      <c r="X18" s="21" t="s">
        <v>22</v>
      </c>
      <c r="Y18" s="21" t="s">
        <v>26</v>
      </c>
      <c r="Z18" s="21" t="s">
        <v>22</v>
      </c>
      <c r="AA18" s="21" t="s">
        <v>22</v>
      </c>
      <c r="AB18" s="21" t="s">
        <v>26</v>
      </c>
      <c r="AC18" s="21" t="s">
        <v>22</v>
      </c>
      <c r="AD18" s="21" t="s">
        <v>22</v>
      </c>
      <c r="AE18" s="21" t="s">
        <v>22</v>
      </c>
      <c r="AF18" s="21" t="s">
        <v>26</v>
      </c>
      <c r="AG18" s="21" t="s">
        <v>22</v>
      </c>
      <c r="AH18" s="21" t="s">
        <v>22</v>
      </c>
      <c r="AI18" s="21" t="s">
        <v>22</v>
      </c>
      <c r="AJ18" s="21" t="s">
        <v>22</v>
      </c>
      <c r="AK18" s="21" t="s">
        <v>198</v>
      </c>
      <c r="AL18" s="21" t="s">
        <v>26</v>
      </c>
      <c r="AM18" s="21" t="s">
        <v>198</v>
      </c>
      <c r="AN18" s="21" t="s">
        <v>109</v>
      </c>
      <c r="AO18" s="21" t="s">
        <v>198</v>
      </c>
      <c r="AP18" s="21" t="s">
        <v>83</v>
      </c>
      <c r="AQ18" s="21" t="s">
        <v>83</v>
      </c>
      <c r="AR18" s="21" t="s">
        <v>83</v>
      </c>
      <c r="AS18" s="21" t="s">
        <v>83</v>
      </c>
      <c r="AT18" s="21" t="s">
        <v>83</v>
      </c>
      <c r="AU18" s="21" t="s">
        <v>109</v>
      </c>
      <c r="AV18" s="21" t="s">
        <v>109</v>
      </c>
      <c r="AW18" s="21" t="s">
        <v>83</v>
      </c>
      <c r="AX18" s="21" t="s">
        <v>109</v>
      </c>
      <c r="AY18" s="21" t="s">
        <v>109</v>
      </c>
      <c r="AZ18" s="21" t="s">
        <v>109</v>
      </c>
      <c r="BA18" s="17" t="s">
        <v>228</v>
      </c>
      <c r="BB18" s="17" t="s">
        <v>154</v>
      </c>
      <c r="BC18" s="18">
        <f>--ISNUMBER(SEARCH("Radio or television",BA18))</f>
        <v>1</v>
      </c>
      <c r="BD18" s="18">
        <f>--ISNUMBER(SEARCH("Newspapers or print media",BA18))</f>
        <v>1</v>
      </c>
      <c r="BE18" s="18">
        <f>--ISNUMBER(SEARCH("Social media (e.g. Facebook, WhatsApp, YouTube, X/Twitter)",BA18))</f>
        <v>1</v>
      </c>
      <c r="BF18" s="18">
        <f>--ISNUMBER(SEARCH("Family members",BA18))</f>
        <v>1</v>
      </c>
      <c r="BG18" s="18">
        <f>--ISNUMBER(SEARCH("Friends or fellow students",BA18))</f>
        <v>1</v>
      </c>
      <c r="BH18" s="18">
        <f>--ISNUMBER(SEARCH("School coursework or lectures",BA18))</f>
        <v>1</v>
      </c>
      <c r="BI18" s="18">
        <f>--ISNUMBER(SEARCH("NHIMA outreach activities or NHIMA offices",BA18))</f>
        <v>1</v>
      </c>
      <c r="BJ18" s="18">
        <f>--ISNUMBER(SEARCH("Health facility staff",BA18))</f>
        <v>1</v>
      </c>
      <c r="BK18" s="18">
        <f>--ISNUMBER(SEARCH("not received information",BA18))</f>
        <v>0</v>
      </c>
      <c r="BL18" s="18">
        <f>IF(T18="","",--(T18='Codebook'!$F$13))</f>
        <v>1</v>
      </c>
      <c r="BM18" s="18">
        <f>IF(U18="","",--(U18='Codebook'!$F$14))</f>
        <v>1</v>
      </c>
      <c r="BN18" s="18">
        <f>IF(V18="","",--(V18='Codebook'!$F$15))</f>
        <v>1</v>
      </c>
      <c r="BO18" s="18">
        <f>IF(W18="","",--(W18='Codebook'!$F$16))</f>
        <v>1</v>
      </c>
      <c r="BP18" s="18">
        <f>IF(X18="","",--(X18='Codebook'!$F$17))</f>
        <v>1</v>
      </c>
      <c r="BQ18" s="18">
        <f>IF(Y18="","",--(Y18='Codebook'!$F$18))</f>
        <v>1</v>
      </c>
      <c r="BR18" s="18">
        <f>IF(Z18="","",--(Z18='Codebook'!$F$19))</f>
        <v>1</v>
      </c>
      <c r="BS18" s="18">
        <f>IF(AA18="","",--(AA18='Codebook'!$F$20))</f>
        <v>1</v>
      </c>
      <c r="BT18" s="18">
        <f>IF(AB18="","",--(AB18='Codebook'!$F$21))</f>
        <v>1</v>
      </c>
      <c r="BU18" s="18">
        <f>IF(AC18="","",--(AC18='Codebook'!$F$22))</f>
        <v>1</v>
      </c>
      <c r="BV18" s="18">
        <f>IF(AD18="","",--(AD18='Codebook'!$F$23))</f>
        <v>1</v>
      </c>
      <c r="BW18" s="18">
        <f>IF(AE18="","",--(AE18='Codebook'!$F$24))</f>
        <v>1</v>
      </c>
      <c r="BX18" s="18">
        <f>IF(AF18="","",--(AF18='Codebook'!$F$25))</f>
        <v>1</v>
      </c>
      <c r="BY18" s="18">
        <f>IF(AG18="","",--(AG18='Codebook'!$F$26))</f>
        <v>1</v>
      </c>
      <c r="BZ18" s="18">
        <f>IF(AH18="","",--(AH18='Codebook'!$F$27))</f>
        <v>1</v>
      </c>
      <c r="CA18" s="18">
        <f>IF(AI18="","",--(AI18='Codebook'!$F$28))</f>
        <v>0</v>
      </c>
      <c r="CB18" s="18">
        <f>IF(AJ18="","",--(AJ18='Codebook'!$F$29))</f>
        <v>0</v>
      </c>
      <c r="CC18" s="18">
        <f>IF(AK18="","",--(AK18='Codebook'!$F$30))</f>
        <v>0</v>
      </c>
      <c r="CD18" s="18">
        <f>IF(AL18="","",--(AL18='Codebook'!$F$31))</f>
        <v>1</v>
      </c>
      <c r="CE18" s="18">
        <f>IF(AM18="","",--(AM18='Codebook'!$F$32))</f>
        <v>0</v>
      </c>
      <c r="CF18" s="18">
        <f>IF(AN18="","",--(AN18='Codebook'!$F$33))</f>
        <v>0</v>
      </c>
      <c r="CG18" s="18">
        <f>IF(AO18="","",--(AO18='Codebook'!$F$34))</f>
        <v>0</v>
      </c>
      <c r="CH18" s="18">
        <f>IF(AP18="","",--(AP18='Codebook'!$F$35))</f>
        <v>1</v>
      </c>
      <c r="CI18" s="18">
        <f>IF(AQ18="","",--(AQ18='Codebook'!$F$36))</f>
        <v>1</v>
      </c>
      <c r="CJ18" s="18">
        <f>IF(AR18="","",--(AR18='Codebook'!$F$37))</f>
        <v>1</v>
      </c>
      <c r="CK18" s="18">
        <f>IF(AS18="","",--(AS18='Codebook'!$F$38))</f>
        <v>1</v>
      </c>
      <c r="CL18" s="18">
        <f>IF(AT18="","",--(AT18='Codebook'!$F$39))</f>
        <v>1</v>
      </c>
      <c r="CM18" s="18">
        <f>IF(AU18="","",--(AU18='Codebook'!$F$40))</f>
        <v>1</v>
      </c>
      <c r="CN18" s="18">
        <f>IF(AV18="","",--(AV18='Codebook'!$F$41))</f>
        <v>1</v>
      </c>
      <c r="CO18" s="18">
        <f>IF(AW18="","",--(AW18='Codebook'!$F$42))</f>
        <v>0</v>
      </c>
      <c r="CP18" s="18">
        <f>IF(AX18="","",--(AX18='Codebook'!$F$43))</f>
        <v>1</v>
      </c>
      <c r="CQ18" s="18">
        <f>IF(AY18="","",--(AY18='Codebook'!$F$44))</f>
        <v>1</v>
      </c>
      <c r="CR18" s="18">
        <f>IF(AZ18="","",--(AZ18='Codebook'!$F$45))</f>
        <v>1</v>
      </c>
    </row>
    <row r="19" spans="2:96" ht="24" customHeight="1">
      <c r="B19" s="18">
        <v>14</v>
      </c>
      <c r="C19" s="23">
        <v>46259.69022890046</v>
      </c>
      <c r="D19" s="18">
        <v>22</v>
      </c>
      <c r="E19" s="21" t="s">
        <v>194</v>
      </c>
      <c r="F19" s="21" t="s">
        <v>195</v>
      </c>
      <c r="G19" s="17" t="s">
        <v>224</v>
      </c>
      <c r="H19" s="21" t="s">
        <v>197</v>
      </c>
      <c r="I19" s="18">
        <f>SUM(BL19:BU19)</f>
        <v>9</v>
      </c>
      <c r="J19" s="18">
        <f>IF(COUNT(BV19:CD19)=9,SUM(BV19:CD19),"")</f>
        <v>7</v>
      </c>
      <c r="K19" s="18">
        <f>SUM(BL19:CD19)</f>
        <v>16</v>
      </c>
      <c r="L19" s="18">
        <f>--(K19&gt;='Codebook'!$C$8)</f>
        <v>1</v>
      </c>
      <c r="M19" s="18">
        <f>--(COUNT(BL19:CD19)=19)</f>
        <v>1</v>
      </c>
      <c r="N19" s="18">
        <f>SUM(CE19:CL19)</f>
        <v>3</v>
      </c>
      <c r="O19" s="18">
        <f>SUM(CM19:CR19)</f>
        <v>5</v>
      </c>
      <c r="P19" s="18">
        <f>N19+O19</f>
        <v>8</v>
      </c>
      <c r="Q19" s="21" t="s">
        <v>197</v>
      </c>
      <c r="R19" s="17" t="s">
        <v>222</v>
      </c>
      <c r="S19" s="18">
        <f>--OR(Overview!$B$6="All",E19=Overview!$B$6)*--OR(Overview!$F$6="All",F19=Overview!$F$6)*--OR(Overview!$J$6="All",G19=Overview!$J$6)*--OR(Overview!$N$6="All",H19=Overview!$N$6)</f>
        <v>1</v>
      </c>
      <c r="T19" s="21" t="s">
        <v>22</v>
      </c>
      <c r="U19" s="21" t="s">
        <v>26</v>
      </c>
      <c r="V19" s="21" t="s">
        <v>26</v>
      </c>
      <c r="W19" s="21" t="s">
        <v>22</v>
      </c>
      <c r="X19" s="21" t="s">
        <v>22</v>
      </c>
      <c r="Y19" s="21" t="s">
        <v>26</v>
      </c>
      <c r="Z19" s="21" t="s">
        <v>22</v>
      </c>
      <c r="AA19" s="21" t="s">
        <v>22</v>
      </c>
      <c r="AB19" s="21" t="s">
        <v>22</v>
      </c>
      <c r="AC19" s="21" t="s">
        <v>22</v>
      </c>
      <c r="AD19" s="21" t="s">
        <v>22</v>
      </c>
      <c r="AE19" s="21" t="s">
        <v>198</v>
      </c>
      <c r="AF19" s="21" t="s">
        <v>26</v>
      </c>
      <c r="AG19" s="21" t="s">
        <v>22</v>
      </c>
      <c r="AH19" s="21" t="s">
        <v>22</v>
      </c>
      <c r="AI19" s="21" t="s">
        <v>26</v>
      </c>
      <c r="AJ19" s="21" t="s">
        <v>22</v>
      </c>
      <c r="AK19" s="21" t="s">
        <v>22</v>
      </c>
      <c r="AL19" s="21" t="s">
        <v>26</v>
      </c>
      <c r="AM19" s="21" t="s">
        <v>109</v>
      </c>
      <c r="AN19" s="21" t="s">
        <v>109</v>
      </c>
      <c r="AO19" s="21" t="s">
        <v>109</v>
      </c>
      <c r="AP19" s="21" t="s">
        <v>83</v>
      </c>
      <c r="AQ19" s="21" t="s">
        <v>109</v>
      </c>
      <c r="AR19" s="21" t="s">
        <v>83</v>
      </c>
      <c r="AS19" s="21" t="s">
        <v>109</v>
      </c>
      <c r="AT19" s="21" t="s">
        <v>83</v>
      </c>
      <c r="AU19" s="21" t="s">
        <v>109</v>
      </c>
      <c r="AV19" s="21" t="s">
        <v>109</v>
      </c>
      <c r="AW19" s="21" t="s">
        <v>83</v>
      </c>
      <c r="AX19" s="21" t="s">
        <v>109</v>
      </c>
      <c r="AY19" s="21" t="s">
        <v>109</v>
      </c>
      <c r="AZ19" s="21" t="s">
        <v>109</v>
      </c>
      <c r="BA19" s="17" t="s">
        <v>228</v>
      </c>
      <c r="BB19" s="21"/>
      <c r="BC19" s="18">
        <f>--ISNUMBER(SEARCH("Radio or television",BA19))</f>
        <v>1</v>
      </c>
      <c r="BD19" s="18">
        <f>--ISNUMBER(SEARCH("Newspapers or print media",BA19))</f>
        <v>1</v>
      </c>
      <c r="BE19" s="18">
        <f>--ISNUMBER(SEARCH("Social media (e.g. Facebook, WhatsApp, YouTube, X/Twitter)",BA19))</f>
        <v>1</v>
      </c>
      <c r="BF19" s="18">
        <f>--ISNUMBER(SEARCH("Family members",BA19))</f>
        <v>1</v>
      </c>
      <c r="BG19" s="18">
        <f>--ISNUMBER(SEARCH("Friends or fellow students",BA19))</f>
        <v>1</v>
      </c>
      <c r="BH19" s="18">
        <f>--ISNUMBER(SEARCH("School coursework or lectures",BA19))</f>
        <v>1</v>
      </c>
      <c r="BI19" s="18">
        <f>--ISNUMBER(SEARCH("NHIMA outreach activities or NHIMA offices",BA19))</f>
        <v>1</v>
      </c>
      <c r="BJ19" s="18">
        <f>--ISNUMBER(SEARCH("Health facility staff",BA19))</f>
        <v>1</v>
      </c>
      <c r="BK19" s="18">
        <f>--ISNUMBER(SEARCH("not received information",BA19))</f>
        <v>0</v>
      </c>
      <c r="BL19" s="18">
        <f>IF(T19="","",--(T19='Codebook'!$F$13))</f>
        <v>1</v>
      </c>
      <c r="BM19" s="18">
        <f>IF(U19="","",--(U19='Codebook'!$F$14))</f>
        <v>1</v>
      </c>
      <c r="BN19" s="18">
        <f>IF(V19="","",--(V19='Codebook'!$F$15))</f>
        <v>1</v>
      </c>
      <c r="BO19" s="18">
        <f>IF(W19="","",--(W19='Codebook'!$F$16))</f>
        <v>1</v>
      </c>
      <c r="BP19" s="18">
        <f>IF(X19="","",--(X19='Codebook'!$F$17))</f>
        <v>1</v>
      </c>
      <c r="BQ19" s="18">
        <f>IF(Y19="","",--(Y19='Codebook'!$F$18))</f>
        <v>1</v>
      </c>
      <c r="BR19" s="18">
        <f>IF(Z19="","",--(Z19='Codebook'!$F$19))</f>
        <v>1</v>
      </c>
      <c r="BS19" s="18">
        <f>IF(AA19="","",--(AA19='Codebook'!$F$20))</f>
        <v>1</v>
      </c>
      <c r="BT19" s="18">
        <f>IF(AB19="","",--(AB19='Codebook'!$F$21))</f>
        <v>0</v>
      </c>
      <c r="BU19" s="18">
        <f>IF(AC19="","",--(AC19='Codebook'!$F$22))</f>
        <v>1</v>
      </c>
      <c r="BV19" s="18">
        <f>IF(AD19="","",--(AD19='Codebook'!$F$23))</f>
        <v>1</v>
      </c>
      <c r="BW19" s="18">
        <f>IF(AE19="","",--(AE19='Codebook'!$F$24))</f>
        <v>0</v>
      </c>
      <c r="BX19" s="18">
        <f>IF(AF19="","",--(AF19='Codebook'!$F$25))</f>
        <v>1</v>
      </c>
      <c r="BY19" s="18">
        <f>IF(AG19="","",--(AG19='Codebook'!$F$26))</f>
        <v>1</v>
      </c>
      <c r="BZ19" s="18">
        <f>IF(AH19="","",--(AH19='Codebook'!$F$27))</f>
        <v>1</v>
      </c>
      <c r="CA19" s="18">
        <f>IF(AI19="","",--(AI19='Codebook'!$F$28))</f>
        <v>1</v>
      </c>
      <c r="CB19" s="18">
        <f>IF(AJ19="","",--(AJ19='Codebook'!$F$29))</f>
        <v>0</v>
      </c>
      <c r="CC19" s="18">
        <f>IF(AK19="","",--(AK19='Codebook'!$F$30))</f>
        <v>1</v>
      </c>
      <c r="CD19" s="18">
        <f>IF(AL19="","",--(AL19='Codebook'!$F$31))</f>
        <v>1</v>
      </c>
      <c r="CE19" s="18">
        <f>IF(AM19="","",--(AM19='Codebook'!$F$32))</f>
        <v>0</v>
      </c>
      <c r="CF19" s="18">
        <f>IF(AN19="","",--(AN19='Codebook'!$F$33))</f>
        <v>0</v>
      </c>
      <c r="CG19" s="18">
        <f>IF(AO19="","",--(AO19='Codebook'!$F$34))</f>
        <v>0</v>
      </c>
      <c r="CH19" s="18">
        <f>IF(AP19="","",--(AP19='Codebook'!$F$35))</f>
        <v>1</v>
      </c>
      <c r="CI19" s="18">
        <f>IF(AQ19="","",--(AQ19='Codebook'!$F$36))</f>
        <v>0</v>
      </c>
      <c r="CJ19" s="18">
        <f>IF(AR19="","",--(AR19='Codebook'!$F$37))</f>
        <v>1</v>
      </c>
      <c r="CK19" s="18">
        <f>IF(AS19="","",--(AS19='Codebook'!$F$38))</f>
        <v>0</v>
      </c>
      <c r="CL19" s="18">
        <f>IF(AT19="","",--(AT19='Codebook'!$F$39))</f>
        <v>1</v>
      </c>
      <c r="CM19" s="18">
        <f>IF(AU19="","",--(AU19='Codebook'!$F$40))</f>
        <v>1</v>
      </c>
      <c r="CN19" s="18">
        <f>IF(AV19="","",--(AV19='Codebook'!$F$41))</f>
        <v>1</v>
      </c>
      <c r="CO19" s="18">
        <f>IF(AW19="","",--(AW19='Codebook'!$F$42))</f>
        <v>0</v>
      </c>
      <c r="CP19" s="18">
        <f>IF(AX19="","",--(AX19='Codebook'!$F$43))</f>
        <v>1</v>
      </c>
      <c r="CQ19" s="18">
        <f>IF(AY19="","",--(AY19='Codebook'!$F$44))</f>
        <v>1</v>
      </c>
      <c r="CR19" s="18">
        <f>IF(AZ19="","",--(AZ19='Codebook'!$F$45))</f>
        <v>1</v>
      </c>
    </row>
    <row r="20" spans="2:96" ht="24" customHeight="1">
      <c r="B20" s="18">
        <v>15</v>
      </c>
      <c r="C20" s="23">
        <v>46259.73710631944</v>
      </c>
      <c r="D20" s="18">
        <v>25</v>
      </c>
      <c r="E20" s="21" t="s">
        <v>194</v>
      </c>
      <c r="F20" s="21" t="s">
        <v>201</v>
      </c>
      <c r="G20" s="17" t="s">
        <v>202</v>
      </c>
      <c r="H20" s="21" t="s">
        <v>197</v>
      </c>
      <c r="I20" s="18">
        <f>SUM(BL20:BU20)</f>
        <v>7</v>
      </c>
      <c r="J20" s="18">
        <f>IF(COUNT(BV20:CD20)=9,SUM(BV20:CD20),"")</f>
        <v>6</v>
      </c>
      <c r="K20" s="18">
        <f>SUM(BL20:CD20)</f>
        <v>13</v>
      </c>
      <c r="L20" s="18">
        <f>--(K20&gt;='Codebook'!$C$8)</f>
        <v>1</v>
      </c>
      <c r="M20" s="18">
        <f>--(COUNT(BL20:CD20)=19)</f>
        <v>1</v>
      </c>
      <c r="N20" s="18">
        <f>SUM(CE20:CL20)</f>
        <v>2</v>
      </c>
      <c r="O20" s="18">
        <f>SUM(CM20:CR20)</f>
        <v>5</v>
      </c>
      <c r="P20" s="18">
        <f>N20+O20</f>
        <v>7</v>
      </c>
      <c r="Q20" s="21" t="s">
        <v>197</v>
      </c>
      <c r="R20" s="17" t="s">
        <v>213</v>
      </c>
      <c r="S20" s="18">
        <f>--OR(Overview!$B$6="All",E20=Overview!$B$6)*--OR(Overview!$F$6="All",F20=Overview!$F$6)*--OR(Overview!$J$6="All",G20=Overview!$J$6)*--OR(Overview!$N$6="All",H20=Overview!$N$6)</f>
        <v>1</v>
      </c>
      <c r="T20" s="21" t="s">
        <v>22</v>
      </c>
      <c r="U20" s="21" t="s">
        <v>22</v>
      </c>
      <c r="V20" s="21" t="s">
        <v>22</v>
      </c>
      <c r="W20" s="21" t="s">
        <v>22</v>
      </c>
      <c r="X20" s="21" t="s">
        <v>22</v>
      </c>
      <c r="Y20" s="21" t="s">
        <v>22</v>
      </c>
      <c r="Z20" s="21" t="s">
        <v>22</v>
      </c>
      <c r="AA20" s="21" t="s">
        <v>22</v>
      </c>
      <c r="AB20" s="21" t="s">
        <v>26</v>
      </c>
      <c r="AC20" s="21" t="s">
        <v>22</v>
      </c>
      <c r="AD20" s="21" t="s">
        <v>198</v>
      </c>
      <c r="AE20" s="21" t="s">
        <v>22</v>
      </c>
      <c r="AF20" s="21" t="s">
        <v>26</v>
      </c>
      <c r="AG20" s="21" t="s">
        <v>22</v>
      </c>
      <c r="AH20" s="21" t="s">
        <v>22</v>
      </c>
      <c r="AI20" s="21" t="s">
        <v>198</v>
      </c>
      <c r="AJ20" s="21" t="s">
        <v>198</v>
      </c>
      <c r="AK20" s="21" t="s">
        <v>22</v>
      </c>
      <c r="AL20" s="21" t="s">
        <v>26</v>
      </c>
      <c r="AM20" s="21" t="s">
        <v>109</v>
      </c>
      <c r="AN20" s="21" t="s">
        <v>83</v>
      </c>
      <c r="AO20" s="21" t="s">
        <v>109</v>
      </c>
      <c r="AP20" s="21" t="s">
        <v>83</v>
      </c>
      <c r="AQ20" s="21" t="s">
        <v>198</v>
      </c>
      <c r="AR20" s="21" t="s">
        <v>198</v>
      </c>
      <c r="AS20" s="21" t="s">
        <v>109</v>
      </c>
      <c r="AT20" s="21" t="s">
        <v>198</v>
      </c>
      <c r="AU20" s="21" t="s">
        <v>109</v>
      </c>
      <c r="AV20" s="21" t="s">
        <v>109</v>
      </c>
      <c r="AW20" s="21" t="s">
        <v>109</v>
      </c>
      <c r="AX20" s="21" t="s">
        <v>109</v>
      </c>
      <c r="AY20" s="21" t="s">
        <v>109</v>
      </c>
      <c r="AZ20" s="21" t="s">
        <v>198</v>
      </c>
      <c r="BA20" s="17" t="s">
        <v>210</v>
      </c>
      <c r="BB20" s="17" t="s">
        <v>214</v>
      </c>
      <c r="BC20" s="18">
        <f>--ISNUMBER(SEARCH("Radio or television",BA20))</f>
        <v>0</v>
      </c>
      <c r="BD20" s="18">
        <f>--ISNUMBER(SEARCH("Newspapers or print media",BA20))</f>
        <v>0</v>
      </c>
      <c r="BE20" s="18">
        <f>--ISNUMBER(SEARCH("Social media (e.g. Facebook, WhatsApp, YouTube, X/Twitter)",BA20))</f>
        <v>0</v>
      </c>
      <c r="BF20" s="18">
        <f>--ISNUMBER(SEARCH("Family members",BA20))</f>
        <v>0</v>
      </c>
      <c r="BG20" s="18">
        <f>--ISNUMBER(SEARCH("Friends or fellow students",BA20))</f>
        <v>0</v>
      </c>
      <c r="BH20" s="18">
        <f>--ISNUMBER(SEARCH("School coursework or lectures",BA20))</f>
        <v>1</v>
      </c>
      <c r="BI20" s="18">
        <f>--ISNUMBER(SEARCH("NHIMA outreach activities or NHIMA offices",BA20))</f>
        <v>0</v>
      </c>
      <c r="BJ20" s="18">
        <f>--ISNUMBER(SEARCH("Health facility staff",BA20))</f>
        <v>0</v>
      </c>
      <c r="BK20" s="18">
        <f>--ISNUMBER(SEARCH("not received information",BA20))</f>
        <v>0</v>
      </c>
      <c r="BL20" s="18">
        <f>IF(T20="","",--(T20='Codebook'!$F$13))</f>
        <v>1</v>
      </c>
      <c r="BM20" s="18">
        <f>IF(U20="","",--(U20='Codebook'!$F$14))</f>
        <v>0</v>
      </c>
      <c r="BN20" s="18">
        <f>IF(V20="","",--(V20='Codebook'!$F$15))</f>
        <v>0</v>
      </c>
      <c r="BO20" s="18">
        <f>IF(W20="","",--(W20='Codebook'!$F$16))</f>
        <v>1</v>
      </c>
      <c r="BP20" s="18">
        <f>IF(X20="","",--(X20='Codebook'!$F$17))</f>
        <v>1</v>
      </c>
      <c r="BQ20" s="18">
        <f>IF(Y20="","",--(Y20='Codebook'!$F$18))</f>
        <v>0</v>
      </c>
      <c r="BR20" s="18">
        <f>IF(Z20="","",--(Z20='Codebook'!$F$19))</f>
        <v>1</v>
      </c>
      <c r="BS20" s="18">
        <f>IF(AA20="","",--(AA20='Codebook'!$F$20))</f>
        <v>1</v>
      </c>
      <c r="BT20" s="18">
        <f>IF(AB20="","",--(AB20='Codebook'!$F$21))</f>
        <v>1</v>
      </c>
      <c r="BU20" s="18">
        <f>IF(AC20="","",--(AC20='Codebook'!$F$22))</f>
        <v>1</v>
      </c>
      <c r="BV20" s="18">
        <f>IF(AD20="","",--(AD20='Codebook'!$F$23))</f>
        <v>0</v>
      </c>
      <c r="BW20" s="18">
        <f>IF(AE20="","",--(AE20='Codebook'!$F$24))</f>
        <v>1</v>
      </c>
      <c r="BX20" s="18">
        <f>IF(AF20="","",--(AF20='Codebook'!$F$25))</f>
        <v>1</v>
      </c>
      <c r="BY20" s="18">
        <f>IF(AG20="","",--(AG20='Codebook'!$F$26))</f>
        <v>1</v>
      </c>
      <c r="BZ20" s="18">
        <f>IF(AH20="","",--(AH20='Codebook'!$F$27))</f>
        <v>1</v>
      </c>
      <c r="CA20" s="18">
        <f>IF(AI20="","",--(AI20='Codebook'!$F$28))</f>
        <v>0</v>
      </c>
      <c r="CB20" s="18">
        <f>IF(AJ20="","",--(AJ20='Codebook'!$F$29))</f>
        <v>0</v>
      </c>
      <c r="CC20" s="18">
        <f>IF(AK20="","",--(AK20='Codebook'!$F$30))</f>
        <v>1</v>
      </c>
      <c r="CD20" s="18">
        <f>IF(AL20="","",--(AL20='Codebook'!$F$31))</f>
        <v>1</v>
      </c>
      <c r="CE20" s="18">
        <f>IF(AM20="","",--(AM20='Codebook'!$F$32))</f>
        <v>0</v>
      </c>
      <c r="CF20" s="18">
        <f>IF(AN20="","",--(AN20='Codebook'!$F$33))</f>
        <v>1</v>
      </c>
      <c r="CG20" s="18">
        <f>IF(AO20="","",--(AO20='Codebook'!$F$34))</f>
        <v>0</v>
      </c>
      <c r="CH20" s="18">
        <f>IF(AP20="","",--(AP20='Codebook'!$F$35))</f>
        <v>1</v>
      </c>
      <c r="CI20" s="18">
        <f>IF(AQ20="","",--(AQ20='Codebook'!$F$36))</f>
        <v>0</v>
      </c>
      <c r="CJ20" s="18">
        <f>IF(AR20="","",--(AR20='Codebook'!$F$37))</f>
        <v>0</v>
      </c>
      <c r="CK20" s="18">
        <f>IF(AS20="","",--(AS20='Codebook'!$F$38))</f>
        <v>0</v>
      </c>
      <c r="CL20" s="18">
        <f>IF(AT20="","",--(AT20='Codebook'!$F$39))</f>
        <v>0</v>
      </c>
      <c r="CM20" s="18">
        <f>IF(AU20="","",--(AU20='Codebook'!$F$40))</f>
        <v>1</v>
      </c>
      <c r="CN20" s="18">
        <f>IF(AV20="","",--(AV20='Codebook'!$F$41))</f>
        <v>1</v>
      </c>
      <c r="CO20" s="18">
        <f>IF(AW20="","",--(AW20='Codebook'!$F$42))</f>
        <v>1</v>
      </c>
      <c r="CP20" s="18">
        <f>IF(AX20="","",--(AX20='Codebook'!$F$43))</f>
        <v>1</v>
      </c>
      <c r="CQ20" s="18">
        <f>IF(AY20="","",--(AY20='Codebook'!$F$44))</f>
        <v>1</v>
      </c>
      <c r="CR20" s="18">
        <f>IF(AZ20="","",--(AZ20='Codebook'!$F$45))</f>
        <v>0</v>
      </c>
    </row>
    <row r="21" spans="2:96" ht="24" customHeight="1">
      <c r="B21" s="18">
        <v>16</v>
      </c>
      <c r="C21" s="23">
        <v>46259.73938747685</v>
      </c>
      <c r="D21" s="18">
        <v>23</v>
      </c>
      <c r="E21" s="21" t="s">
        <v>206</v>
      </c>
      <c r="F21" s="21" t="s">
        <v>195</v>
      </c>
      <c r="G21" s="17" t="s">
        <v>196</v>
      </c>
      <c r="H21" s="21" t="s">
        <v>197</v>
      </c>
      <c r="I21" s="18">
        <f>SUM(BL21:BU21)</f>
        <v>6</v>
      </c>
      <c r="J21" s="18">
        <f>IF(COUNT(BV21:CD21)=9,SUM(BV21:CD21),"")</f>
        <v>2</v>
      </c>
      <c r="K21" s="18">
        <f>SUM(BL21:CD21)</f>
        <v>8</v>
      </c>
      <c r="L21" s="18">
        <f>--(K21&gt;='Codebook'!$C$8)</f>
        <v>0</v>
      </c>
      <c r="M21" s="18">
        <f>--(COUNT(BL21:CD21)=19)</f>
        <v>1</v>
      </c>
      <c r="N21" s="18">
        <f>SUM(CE21:CL21)</f>
        <v>0</v>
      </c>
      <c r="O21" s="18">
        <f>SUM(CM21:CR21)</f>
        <v>0</v>
      </c>
      <c r="P21" s="18">
        <f>N21+O21</f>
        <v>0</v>
      </c>
      <c r="Q21" s="21" t="s">
        <v>197</v>
      </c>
      <c r="R21" s="17" t="s">
        <v>156</v>
      </c>
      <c r="S21" s="18">
        <f>--OR(Overview!$B$6="All",E21=Overview!$B$6)*--OR(Overview!$F$6="All",F21=Overview!$F$6)*--OR(Overview!$J$6="All",G21=Overview!$J$6)*--OR(Overview!$N$6="All",H21=Overview!$N$6)</f>
        <v>1</v>
      </c>
      <c r="T21" s="21" t="s">
        <v>22</v>
      </c>
      <c r="U21" s="21" t="s">
        <v>22</v>
      </c>
      <c r="V21" s="21" t="s">
        <v>26</v>
      </c>
      <c r="W21" s="21" t="s">
        <v>22</v>
      </c>
      <c r="X21" s="21" t="s">
        <v>22</v>
      </c>
      <c r="Y21" s="21" t="s">
        <v>22</v>
      </c>
      <c r="Z21" s="21" t="s">
        <v>22</v>
      </c>
      <c r="AA21" s="21" t="s">
        <v>22</v>
      </c>
      <c r="AB21" s="21" t="s">
        <v>198</v>
      </c>
      <c r="AC21" s="21" t="s">
        <v>26</v>
      </c>
      <c r="AD21" s="21" t="s">
        <v>198</v>
      </c>
      <c r="AE21" s="21" t="s">
        <v>198</v>
      </c>
      <c r="AF21" s="21" t="s">
        <v>26</v>
      </c>
      <c r="AG21" s="21" t="s">
        <v>198</v>
      </c>
      <c r="AH21" s="21" t="s">
        <v>22</v>
      </c>
      <c r="AI21" s="21" t="s">
        <v>22</v>
      </c>
      <c r="AJ21" s="21" t="s">
        <v>198</v>
      </c>
      <c r="AK21" s="21" t="s">
        <v>198</v>
      </c>
      <c r="AL21" s="21" t="s">
        <v>198</v>
      </c>
      <c r="AM21" s="21" t="s">
        <v>198</v>
      </c>
      <c r="AN21" s="21" t="s">
        <v>198</v>
      </c>
      <c r="AO21" s="21" t="s">
        <v>198</v>
      </c>
      <c r="AP21" s="21" t="s">
        <v>198</v>
      </c>
      <c r="AQ21" s="21" t="s">
        <v>198</v>
      </c>
      <c r="AR21" s="21" t="s">
        <v>198</v>
      </c>
      <c r="AS21" s="21" t="s">
        <v>198</v>
      </c>
      <c r="AT21" s="21" t="s">
        <v>198</v>
      </c>
      <c r="AU21" s="21" t="s">
        <v>198</v>
      </c>
      <c r="AV21" s="21" t="s">
        <v>198</v>
      </c>
      <c r="AW21" s="21" t="s">
        <v>198</v>
      </c>
      <c r="AX21" s="21" t="s">
        <v>198</v>
      </c>
      <c r="AY21" s="21" t="s">
        <v>198</v>
      </c>
      <c r="AZ21" s="21" t="s">
        <v>198</v>
      </c>
      <c r="BA21" s="17" t="s">
        <v>229</v>
      </c>
      <c r="BB21" s="17" t="s">
        <v>230</v>
      </c>
      <c r="BC21" s="18">
        <f>--ISNUMBER(SEARCH("Radio or television",BA21))</f>
        <v>0</v>
      </c>
      <c r="BD21" s="18">
        <f>--ISNUMBER(SEARCH("Newspapers or print media",BA21))</f>
        <v>0</v>
      </c>
      <c r="BE21" s="18">
        <f>--ISNUMBER(SEARCH("Social media (e.g. Facebook, WhatsApp, YouTube, X/Twitter)",BA21))</f>
        <v>1</v>
      </c>
      <c r="BF21" s="18">
        <f>--ISNUMBER(SEARCH("Family members",BA21))</f>
        <v>1</v>
      </c>
      <c r="BG21" s="18">
        <f>--ISNUMBER(SEARCH("Friends or fellow students",BA21))</f>
        <v>1</v>
      </c>
      <c r="BH21" s="18">
        <f>--ISNUMBER(SEARCH("School coursework or lectures",BA21))</f>
        <v>1</v>
      </c>
      <c r="BI21" s="18">
        <f>--ISNUMBER(SEARCH("NHIMA outreach activities or NHIMA offices",BA21))</f>
        <v>1</v>
      </c>
      <c r="BJ21" s="18">
        <f>--ISNUMBER(SEARCH("Health facility staff",BA21))</f>
        <v>1</v>
      </c>
      <c r="BK21" s="18">
        <f>--ISNUMBER(SEARCH("not received information",BA21))</f>
        <v>1</v>
      </c>
      <c r="BL21" s="18">
        <f>IF(T21="","",--(T21='Codebook'!$F$13))</f>
        <v>1</v>
      </c>
      <c r="BM21" s="18">
        <f>IF(U21="","",--(U21='Codebook'!$F$14))</f>
        <v>0</v>
      </c>
      <c r="BN21" s="18">
        <f>IF(V21="","",--(V21='Codebook'!$F$15))</f>
        <v>1</v>
      </c>
      <c r="BO21" s="18">
        <f>IF(W21="","",--(W21='Codebook'!$F$16))</f>
        <v>1</v>
      </c>
      <c r="BP21" s="18">
        <f>IF(X21="","",--(X21='Codebook'!$F$17))</f>
        <v>1</v>
      </c>
      <c r="BQ21" s="18">
        <f>IF(Y21="","",--(Y21='Codebook'!$F$18))</f>
        <v>0</v>
      </c>
      <c r="BR21" s="18">
        <f>IF(Z21="","",--(Z21='Codebook'!$F$19))</f>
        <v>1</v>
      </c>
      <c r="BS21" s="18">
        <f>IF(AA21="","",--(AA21='Codebook'!$F$20))</f>
        <v>1</v>
      </c>
      <c r="BT21" s="18">
        <f>IF(AB21="","",--(AB21='Codebook'!$F$21))</f>
        <v>0</v>
      </c>
      <c r="BU21" s="18">
        <f>IF(AC21="","",--(AC21='Codebook'!$F$22))</f>
        <v>0</v>
      </c>
      <c r="BV21" s="18">
        <f>IF(AD21="","",--(AD21='Codebook'!$F$23))</f>
        <v>0</v>
      </c>
      <c r="BW21" s="18">
        <f>IF(AE21="","",--(AE21='Codebook'!$F$24))</f>
        <v>0</v>
      </c>
      <c r="BX21" s="18">
        <f>IF(AF21="","",--(AF21='Codebook'!$F$25))</f>
        <v>1</v>
      </c>
      <c r="BY21" s="18">
        <f>IF(AG21="","",--(AG21='Codebook'!$F$26))</f>
        <v>0</v>
      </c>
      <c r="BZ21" s="18">
        <f>IF(AH21="","",--(AH21='Codebook'!$F$27))</f>
        <v>1</v>
      </c>
      <c r="CA21" s="18">
        <f>IF(AI21="","",--(AI21='Codebook'!$F$28))</f>
        <v>0</v>
      </c>
      <c r="CB21" s="18">
        <f>IF(AJ21="","",--(AJ21='Codebook'!$F$29))</f>
        <v>0</v>
      </c>
      <c r="CC21" s="18">
        <f>IF(AK21="","",--(AK21='Codebook'!$F$30))</f>
        <v>0</v>
      </c>
      <c r="CD21" s="18">
        <f>IF(AL21="","",--(AL21='Codebook'!$F$31))</f>
        <v>0</v>
      </c>
      <c r="CE21" s="18">
        <f>IF(AM21="","",--(AM21='Codebook'!$F$32))</f>
        <v>0</v>
      </c>
      <c r="CF21" s="18">
        <f>IF(AN21="","",--(AN21='Codebook'!$F$33))</f>
        <v>0</v>
      </c>
      <c r="CG21" s="18">
        <f>IF(AO21="","",--(AO21='Codebook'!$F$34))</f>
        <v>0</v>
      </c>
      <c r="CH21" s="18">
        <f>IF(AP21="","",--(AP21='Codebook'!$F$35))</f>
        <v>0</v>
      </c>
      <c r="CI21" s="18">
        <f>IF(AQ21="","",--(AQ21='Codebook'!$F$36))</f>
        <v>0</v>
      </c>
      <c r="CJ21" s="18">
        <f>IF(AR21="","",--(AR21='Codebook'!$F$37))</f>
        <v>0</v>
      </c>
      <c r="CK21" s="18">
        <f>IF(AS21="","",--(AS21='Codebook'!$F$38))</f>
        <v>0</v>
      </c>
      <c r="CL21" s="18">
        <f>IF(AT21="","",--(AT21='Codebook'!$F$39))</f>
        <v>0</v>
      </c>
      <c r="CM21" s="18">
        <f>IF(AU21="","",--(AU21='Codebook'!$F$40))</f>
        <v>0</v>
      </c>
      <c r="CN21" s="18">
        <f>IF(AV21="","",--(AV21='Codebook'!$F$41))</f>
        <v>0</v>
      </c>
      <c r="CO21" s="18">
        <f>IF(AW21="","",--(AW21='Codebook'!$F$42))</f>
        <v>0</v>
      </c>
      <c r="CP21" s="18">
        <f>IF(AX21="","",--(AX21='Codebook'!$F$43))</f>
        <v>0</v>
      </c>
      <c r="CQ21" s="18">
        <f>IF(AY21="","",--(AY21='Codebook'!$F$44))</f>
        <v>0</v>
      </c>
      <c r="CR21" s="18">
        <f>IF(AZ21="","",--(AZ21='Codebook'!$F$45))</f>
        <v>0</v>
      </c>
    </row>
    <row r="22" spans="2:96" ht="24" customHeight="1">
      <c r="B22" s="18">
        <v>17</v>
      </c>
      <c r="C22" s="23">
        <v>46259.76780559028</v>
      </c>
      <c r="D22" s="18">
        <v>22</v>
      </c>
      <c r="E22" s="21" t="s">
        <v>206</v>
      </c>
      <c r="F22" s="21" t="s">
        <v>195</v>
      </c>
      <c r="G22" s="17" t="s">
        <v>224</v>
      </c>
      <c r="H22" s="21" t="s">
        <v>207</v>
      </c>
      <c r="I22" s="18">
        <f>SUM(BL22:BU22)</f>
        <v>8</v>
      </c>
      <c r="J22" s="18">
        <f>IF(COUNT(BV22:CD22)=9,SUM(BV22:CD22),"")</f>
        <v>4</v>
      </c>
      <c r="K22" s="18">
        <f>SUM(BL22:CD22)</f>
        <v>12</v>
      </c>
      <c r="L22" s="18">
        <f>--(K22&gt;='Codebook'!$C$8)</f>
        <v>1</v>
      </c>
      <c r="M22" s="18">
        <f>--(COUNT(BL22:CD22)=19)</f>
        <v>1</v>
      </c>
      <c r="N22" s="18">
        <f>SUM(CE22:CL22)</f>
        <v>3</v>
      </c>
      <c r="O22" s="18">
        <f>SUM(CM22:CR22)</f>
        <v>0</v>
      </c>
      <c r="P22" s="18">
        <f>N22+O22</f>
        <v>3</v>
      </c>
      <c r="Q22" s="21" t="s">
        <v>197</v>
      </c>
      <c r="R22" s="17" t="s">
        <v>222</v>
      </c>
      <c r="S22" s="18">
        <f>--OR(Overview!$B$6="All",E22=Overview!$B$6)*--OR(Overview!$F$6="All",F22=Overview!$F$6)*--OR(Overview!$J$6="All",G22=Overview!$J$6)*--OR(Overview!$N$6="All",H22=Overview!$N$6)</f>
        <v>1</v>
      </c>
      <c r="T22" s="21" t="s">
        <v>22</v>
      </c>
      <c r="U22" s="21" t="s">
        <v>198</v>
      </c>
      <c r="V22" s="21" t="s">
        <v>26</v>
      </c>
      <c r="W22" s="21" t="s">
        <v>22</v>
      </c>
      <c r="X22" s="21" t="s">
        <v>22</v>
      </c>
      <c r="Y22" s="21" t="s">
        <v>26</v>
      </c>
      <c r="Z22" s="21" t="s">
        <v>22</v>
      </c>
      <c r="AA22" s="21" t="s">
        <v>22</v>
      </c>
      <c r="AB22" s="21" t="s">
        <v>198</v>
      </c>
      <c r="AC22" s="21" t="s">
        <v>22</v>
      </c>
      <c r="AD22" s="21" t="s">
        <v>22</v>
      </c>
      <c r="AE22" s="21" t="s">
        <v>198</v>
      </c>
      <c r="AF22" s="21" t="s">
        <v>26</v>
      </c>
      <c r="AG22" s="21" t="s">
        <v>198</v>
      </c>
      <c r="AH22" s="21" t="s">
        <v>22</v>
      </c>
      <c r="AI22" s="21" t="s">
        <v>22</v>
      </c>
      <c r="AJ22" s="21" t="s">
        <v>198</v>
      </c>
      <c r="AK22" s="21" t="s">
        <v>198</v>
      </c>
      <c r="AL22" s="21" t="s">
        <v>26</v>
      </c>
      <c r="AM22" s="21" t="s">
        <v>198</v>
      </c>
      <c r="AN22" s="21" t="s">
        <v>198</v>
      </c>
      <c r="AO22" s="21" t="s">
        <v>198</v>
      </c>
      <c r="AP22" s="21" t="s">
        <v>83</v>
      </c>
      <c r="AQ22" s="21" t="s">
        <v>198</v>
      </c>
      <c r="AR22" s="21" t="s">
        <v>83</v>
      </c>
      <c r="AS22" s="21" t="s">
        <v>83</v>
      </c>
      <c r="AT22" s="21" t="s">
        <v>198</v>
      </c>
      <c r="AU22" s="21" t="s">
        <v>198</v>
      </c>
      <c r="AV22" s="21" t="s">
        <v>198</v>
      </c>
      <c r="AW22" s="21" t="s">
        <v>198</v>
      </c>
      <c r="AX22" s="21" t="s">
        <v>198</v>
      </c>
      <c r="AY22" s="21" t="s">
        <v>198</v>
      </c>
      <c r="AZ22" s="21" t="s">
        <v>198</v>
      </c>
      <c r="BA22" s="17" t="s">
        <v>231</v>
      </c>
      <c r="BB22" s="21"/>
      <c r="BC22" s="18">
        <f>--ISNUMBER(SEARCH("Radio or television",BA22))</f>
        <v>0</v>
      </c>
      <c r="BD22" s="18">
        <f>--ISNUMBER(SEARCH("Newspapers or print media",BA22))</f>
        <v>0</v>
      </c>
      <c r="BE22" s="18">
        <f>--ISNUMBER(SEARCH("Social media (e.g. Facebook, WhatsApp, YouTube, X/Twitter)",BA22))</f>
        <v>1</v>
      </c>
      <c r="BF22" s="18">
        <f>--ISNUMBER(SEARCH("Family members",BA22))</f>
        <v>1</v>
      </c>
      <c r="BG22" s="18">
        <f>--ISNUMBER(SEARCH("Friends or fellow students",BA22))</f>
        <v>0</v>
      </c>
      <c r="BH22" s="18">
        <f>--ISNUMBER(SEARCH("School coursework or lectures",BA22))</f>
        <v>0</v>
      </c>
      <c r="BI22" s="18">
        <f>--ISNUMBER(SEARCH("NHIMA outreach activities or NHIMA offices",BA22))</f>
        <v>0</v>
      </c>
      <c r="BJ22" s="18">
        <f>--ISNUMBER(SEARCH("Health facility staff",BA22))</f>
        <v>0</v>
      </c>
      <c r="BK22" s="18">
        <f>--ISNUMBER(SEARCH("not received information",BA22))</f>
        <v>0</v>
      </c>
      <c r="BL22" s="18">
        <f>IF(T22="","",--(T22='Codebook'!$F$13))</f>
        <v>1</v>
      </c>
      <c r="BM22" s="18">
        <f>IF(U22="","",--(U22='Codebook'!$F$14))</f>
        <v>0</v>
      </c>
      <c r="BN22" s="18">
        <f>IF(V22="","",--(V22='Codebook'!$F$15))</f>
        <v>1</v>
      </c>
      <c r="BO22" s="18">
        <f>IF(W22="","",--(W22='Codebook'!$F$16))</f>
        <v>1</v>
      </c>
      <c r="BP22" s="18">
        <f>IF(X22="","",--(X22='Codebook'!$F$17))</f>
        <v>1</v>
      </c>
      <c r="BQ22" s="18">
        <f>IF(Y22="","",--(Y22='Codebook'!$F$18))</f>
        <v>1</v>
      </c>
      <c r="BR22" s="18">
        <f>IF(Z22="","",--(Z22='Codebook'!$F$19))</f>
        <v>1</v>
      </c>
      <c r="BS22" s="18">
        <f>IF(AA22="","",--(AA22='Codebook'!$F$20))</f>
        <v>1</v>
      </c>
      <c r="BT22" s="18">
        <f>IF(AB22="","",--(AB22='Codebook'!$F$21))</f>
        <v>0</v>
      </c>
      <c r="BU22" s="18">
        <f>IF(AC22="","",--(AC22='Codebook'!$F$22))</f>
        <v>1</v>
      </c>
      <c r="BV22" s="18">
        <f>IF(AD22="","",--(AD22='Codebook'!$F$23))</f>
        <v>1</v>
      </c>
      <c r="BW22" s="18">
        <f>IF(AE22="","",--(AE22='Codebook'!$F$24))</f>
        <v>0</v>
      </c>
      <c r="BX22" s="18">
        <f>IF(AF22="","",--(AF22='Codebook'!$F$25))</f>
        <v>1</v>
      </c>
      <c r="BY22" s="18">
        <f>IF(AG22="","",--(AG22='Codebook'!$F$26))</f>
        <v>0</v>
      </c>
      <c r="BZ22" s="18">
        <f>IF(AH22="","",--(AH22='Codebook'!$F$27))</f>
        <v>1</v>
      </c>
      <c r="CA22" s="18">
        <f>IF(AI22="","",--(AI22='Codebook'!$F$28))</f>
        <v>0</v>
      </c>
      <c r="CB22" s="18">
        <f>IF(AJ22="","",--(AJ22='Codebook'!$F$29))</f>
        <v>0</v>
      </c>
      <c r="CC22" s="18">
        <f>IF(AK22="","",--(AK22='Codebook'!$F$30))</f>
        <v>0</v>
      </c>
      <c r="CD22" s="18">
        <f>IF(AL22="","",--(AL22='Codebook'!$F$31))</f>
        <v>1</v>
      </c>
      <c r="CE22" s="18">
        <f>IF(AM22="","",--(AM22='Codebook'!$F$32))</f>
        <v>0</v>
      </c>
      <c r="CF22" s="18">
        <f>IF(AN22="","",--(AN22='Codebook'!$F$33))</f>
        <v>0</v>
      </c>
      <c r="CG22" s="18">
        <f>IF(AO22="","",--(AO22='Codebook'!$F$34))</f>
        <v>0</v>
      </c>
      <c r="CH22" s="18">
        <f>IF(AP22="","",--(AP22='Codebook'!$F$35))</f>
        <v>1</v>
      </c>
      <c r="CI22" s="18">
        <f>IF(AQ22="","",--(AQ22='Codebook'!$F$36))</f>
        <v>0</v>
      </c>
      <c r="CJ22" s="18">
        <f>IF(AR22="","",--(AR22='Codebook'!$F$37))</f>
        <v>1</v>
      </c>
      <c r="CK22" s="18">
        <f>IF(AS22="","",--(AS22='Codebook'!$F$38))</f>
        <v>1</v>
      </c>
      <c r="CL22" s="18">
        <f>IF(AT22="","",--(AT22='Codebook'!$F$39))</f>
        <v>0</v>
      </c>
      <c r="CM22" s="18">
        <f>IF(AU22="","",--(AU22='Codebook'!$F$40))</f>
        <v>0</v>
      </c>
      <c r="CN22" s="18">
        <f>IF(AV22="","",--(AV22='Codebook'!$F$41))</f>
        <v>0</v>
      </c>
      <c r="CO22" s="18">
        <f>IF(AW22="","",--(AW22='Codebook'!$F$42))</f>
        <v>0</v>
      </c>
      <c r="CP22" s="18">
        <f>IF(AX22="","",--(AX22='Codebook'!$F$43))</f>
        <v>0</v>
      </c>
      <c r="CQ22" s="18">
        <f>IF(AY22="","",--(AY22='Codebook'!$F$44))</f>
        <v>0</v>
      </c>
      <c r="CR22" s="18">
        <f>IF(AZ22="","",--(AZ22='Codebook'!$F$45))</f>
        <v>0</v>
      </c>
    </row>
    <row r="23" spans="2:96" ht="24" customHeight="1">
      <c r="B23" s="18">
        <v>18</v>
      </c>
      <c r="C23" s="23">
        <v>46259.76981028935</v>
      </c>
      <c r="D23" s="18">
        <v>22</v>
      </c>
      <c r="E23" s="21" t="s">
        <v>194</v>
      </c>
      <c r="F23" s="21" t="s">
        <v>195</v>
      </c>
      <c r="G23" s="17" t="s">
        <v>196</v>
      </c>
      <c r="H23" s="21" t="s">
        <v>207</v>
      </c>
      <c r="I23" s="18">
        <f>SUM(BL23:BU23)</f>
        <v>7</v>
      </c>
      <c r="J23" s="18">
        <f>IF(COUNT(BV23:CD23)=9,SUM(BV23:CD23),"")</f>
        <v>3</v>
      </c>
      <c r="K23" s="18">
        <f>SUM(BL23:CD23)</f>
        <v>10</v>
      </c>
      <c r="L23" s="18">
        <f>--(K23&gt;='Codebook'!$C$8)</f>
        <v>0</v>
      </c>
      <c r="M23" s="18">
        <f>--(COUNT(BL23:CD23)=19)</f>
        <v>1</v>
      </c>
      <c r="N23" s="18">
        <f>SUM(CE23:CL23)</f>
        <v>7</v>
      </c>
      <c r="O23" s="18">
        <f>SUM(CM23:CR23)</f>
        <v>5</v>
      </c>
      <c r="P23" s="18">
        <f>N23+O23</f>
        <v>12</v>
      </c>
      <c r="Q23" s="21" t="s">
        <v>207</v>
      </c>
      <c r="R23" s="17" t="s">
        <v>222</v>
      </c>
      <c r="S23" s="18">
        <f>--OR(Overview!$B$6="All",E23=Overview!$B$6)*--OR(Overview!$F$6="All",F23=Overview!$F$6)*--OR(Overview!$J$6="All",G23=Overview!$J$6)*--OR(Overview!$N$6="All",H23=Overview!$N$6)</f>
        <v>1</v>
      </c>
      <c r="T23" s="21" t="s">
        <v>22</v>
      </c>
      <c r="U23" s="21" t="s">
        <v>22</v>
      </c>
      <c r="V23" s="21" t="s">
        <v>26</v>
      </c>
      <c r="W23" s="21" t="s">
        <v>22</v>
      </c>
      <c r="X23" s="21" t="s">
        <v>22</v>
      </c>
      <c r="Y23" s="21" t="s">
        <v>26</v>
      </c>
      <c r="Z23" s="21" t="s">
        <v>22</v>
      </c>
      <c r="AA23" s="21" t="s">
        <v>22</v>
      </c>
      <c r="AB23" s="21" t="s">
        <v>198</v>
      </c>
      <c r="AC23" s="21" t="s">
        <v>198</v>
      </c>
      <c r="AD23" s="21" t="s">
        <v>198</v>
      </c>
      <c r="AE23" s="21" t="s">
        <v>198</v>
      </c>
      <c r="AF23" s="21" t="s">
        <v>22</v>
      </c>
      <c r="AG23" s="21" t="s">
        <v>198</v>
      </c>
      <c r="AH23" s="21" t="s">
        <v>198</v>
      </c>
      <c r="AI23" s="21" t="s">
        <v>22</v>
      </c>
      <c r="AJ23" s="21" t="s">
        <v>26</v>
      </c>
      <c r="AK23" s="21" t="s">
        <v>22</v>
      </c>
      <c r="AL23" s="21" t="s">
        <v>26</v>
      </c>
      <c r="AM23" s="21" t="s">
        <v>83</v>
      </c>
      <c r="AN23" s="21" t="s">
        <v>83</v>
      </c>
      <c r="AO23" s="21" t="s">
        <v>83</v>
      </c>
      <c r="AP23" s="21" t="s">
        <v>83</v>
      </c>
      <c r="AQ23" s="21" t="s">
        <v>83</v>
      </c>
      <c r="AR23" s="21" t="s">
        <v>83</v>
      </c>
      <c r="AS23" s="21" t="s">
        <v>83</v>
      </c>
      <c r="AT23" s="21" t="s">
        <v>198</v>
      </c>
      <c r="AU23" s="21" t="s">
        <v>198</v>
      </c>
      <c r="AV23" s="21" t="s">
        <v>109</v>
      </c>
      <c r="AW23" s="21" t="s">
        <v>109</v>
      </c>
      <c r="AX23" s="21" t="s">
        <v>109</v>
      </c>
      <c r="AY23" s="21" t="s">
        <v>109</v>
      </c>
      <c r="AZ23" s="21" t="s">
        <v>109</v>
      </c>
      <c r="BA23" s="17" t="s">
        <v>231</v>
      </c>
      <c r="BB23" s="21"/>
      <c r="BC23" s="18">
        <f>--ISNUMBER(SEARCH("Radio or television",BA23))</f>
        <v>0</v>
      </c>
      <c r="BD23" s="18">
        <f>--ISNUMBER(SEARCH("Newspapers or print media",BA23))</f>
        <v>0</v>
      </c>
      <c r="BE23" s="18">
        <f>--ISNUMBER(SEARCH("Social media (e.g. Facebook, WhatsApp, YouTube, X/Twitter)",BA23))</f>
        <v>1</v>
      </c>
      <c r="BF23" s="18">
        <f>--ISNUMBER(SEARCH("Family members",BA23))</f>
        <v>1</v>
      </c>
      <c r="BG23" s="18">
        <f>--ISNUMBER(SEARCH("Friends or fellow students",BA23))</f>
        <v>0</v>
      </c>
      <c r="BH23" s="18">
        <f>--ISNUMBER(SEARCH("School coursework or lectures",BA23))</f>
        <v>0</v>
      </c>
      <c r="BI23" s="18">
        <f>--ISNUMBER(SEARCH("NHIMA outreach activities or NHIMA offices",BA23))</f>
        <v>0</v>
      </c>
      <c r="BJ23" s="18">
        <f>--ISNUMBER(SEARCH("Health facility staff",BA23))</f>
        <v>0</v>
      </c>
      <c r="BK23" s="18">
        <f>--ISNUMBER(SEARCH("not received information",BA23))</f>
        <v>0</v>
      </c>
      <c r="BL23" s="18">
        <f>IF(T23="","",--(T23='Codebook'!$F$13))</f>
        <v>1</v>
      </c>
      <c r="BM23" s="18">
        <f>IF(U23="","",--(U23='Codebook'!$F$14))</f>
        <v>0</v>
      </c>
      <c r="BN23" s="18">
        <f>IF(V23="","",--(V23='Codebook'!$F$15))</f>
        <v>1</v>
      </c>
      <c r="BO23" s="18">
        <f>IF(W23="","",--(W23='Codebook'!$F$16))</f>
        <v>1</v>
      </c>
      <c r="BP23" s="18">
        <f>IF(X23="","",--(X23='Codebook'!$F$17))</f>
        <v>1</v>
      </c>
      <c r="BQ23" s="18">
        <f>IF(Y23="","",--(Y23='Codebook'!$F$18))</f>
        <v>1</v>
      </c>
      <c r="BR23" s="18">
        <f>IF(Z23="","",--(Z23='Codebook'!$F$19))</f>
        <v>1</v>
      </c>
      <c r="BS23" s="18">
        <f>IF(AA23="","",--(AA23='Codebook'!$F$20))</f>
        <v>1</v>
      </c>
      <c r="BT23" s="18">
        <f>IF(AB23="","",--(AB23='Codebook'!$F$21))</f>
        <v>0</v>
      </c>
      <c r="BU23" s="18">
        <f>IF(AC23="","",--(AC23='Codebook'!$F$22))</f>
        <v>0</v>
      </c>
      <c r="BV23" s="18">
        <f>IF(AD23="","",--(AD23='Codebook'!$F$23))</f>
        <v>0</v>
      </c>
      <c r="BW23" s="18">
        <f>IF(AE23="","",--(AE23='Codebook'!$F$24))</f>
        <v>0</v>
      </c>
      <c r="BX23" s="18">
        <f>IF(AF23="","",--(AF23='Codebook'!$F$25))</f>
        <v>0</v>
      </c>
      <c r="BY23" s="18">
        <f>IF(AG23="","",--(AG23='Codebook'!$F$26))</f>
        <v>0</v>
      </c>
      <c r="BZ23" s="18">
        <f>IF(AH23="","",--(AH23='Codebook'!$F$27))</f>
        <v>0</v>
      </c>
      <c r="CA23" s="18">
        <f>IF(AI23="","",--(AI23='Codebook'!$F$28))</f>
        <v>0</v>
      </c>
      <c r="CB23" s="18">
        <f>IF(AJ23="","",--(AJ23='Codebook'!$F$29))</f>
        <v>1</v>
      </c>
      <c r="CC23" s="18">
        <f>IF(AK23="","",--(AK23='Codebook'!$F$30))</f>
        <v>1</v>
      </c>
      <c r="CD23" s="18">
        <f>IF(AL23="","",--(AL23='Codebook'!$F$31))</f>
        <v>1</v>
      </c>
      <c r="CE23" s="18">
        <f>IF(AM23="","",--(AM23='Codebook'!$F$32))</f>
        <v>1</v>
      </c>
      <c r="CF23" s="18">
        <f>IF(AN23="","",--(AN23='Codebook'!$F$33))</f>
        <v>1</v>
      </c>
      <c r="CG23" s="18">
        <f>IF(AO23="","",--(AO23='Codebook'!$F$34))</f>
        <v>1</v>
      </c>
      <c r="CH23" s="18">
        <f>IF(AP23="","",--(AP23='Codebook'!$F$35))</f>
        <v>1</v>
      </c>
      <c r="CI23" s="18">
        <f>IF(AQ23="","",--(AQ23='Codebook'!$F$36))</f>
        <v>1</v>
      </c>
      <c r="CJ23" s="18">
        <f>IF(AR23="","",--(AR23='Codebook'!$F$37))</f>
        <v>1</v>
      </c>
      <c r="CK23" s="18">
        <f>IF(AS23="","",--(AS23='Codebook'!$F$38))</f>
        <v>1</v>
      </c>
      <c r="CL23" s="18">
        <f>IF(AT23="","",--(AT23='Codebook'!$F$39))</f>
        <v>0</v>
      </c>
      <c r="CM23" s="18">
        <f>IF(AU23="","",--(AU23='Codebook'!$F$40))</f>
        <v>0</v>
      </c>
      <c r="CN23" s="18">
        <f>IF(AV23="","",--(AV23='Codebook'!$F$41))</f>
        <v>1</v>
      </c>
      <c r="CO23" s="18">
        <f>IF(AW23="","",--(AW23='Codebook'!$F$42))</f>
        <v>1</v>
      </c>
      <c r="CP23" s="18">
        <f>IF(AX23="","",--(AX23='Codebook'!$F$43))</f>
        <v>1</v>
      </c>
      <c r="CQ23" s="18">
        <f>IF(AY23="","",--(AY23='Codebook'!$F$44))</f>
        <v>1</v>
      </c>
      <c r="CR23" s="18">
        <f>IF(AZ23="","",--(AZ23='Codebook'!$F$45))</f>
        <v>1</v>
      </c>
    </row>
    <row r="24" spans="2:96" ht="24" customHeight="1">
      <c r="B24" s="18">
        <v>19</v>
      </c>
      <c r="C24" s="23">
        <v>46259.77194402778</v>
      </c>
      <c r="D24" s="18">
        <v>21</v>
      </c>
      <c r="E24" s="21" t="s">
        <v>206</v>
      </c>
      <c r="F24" s="21" t="s">
        <v>195</v>
      </c>
      <c r="G24" s="17" t="s">
        <v>196</v>
      </c>
      <c r="H24" s="21" t="s">
        <v>207</v>
      </c>
      <c r="I24" s="18">
        <f>SUM(BL24:BU24)</f>
        <v>7</v>
      </c>
      <c r="J24" s="18">
        <f>IF(COUNT(BV24:CD24)=9,SUM(BV24:CD24),"")</f>
        <v>5</v>
      </c>
      <c r="K24" s="18">
        <f>SUM(BL24:CD24)</f>
        <v>12</v>
      </c>
      <c r="L24" s="18">
        <f>--(K24&gt;='Codebook'!$C$8)</f>
        <v>1</v>
      </c>
      <c r="M24" s="18">
        <f>--(COUNT(BL24:CD24)=19)</f>
        <v>1</v>
      </c>
      <c r="N24" s="18">
        <f>SUM(CE24:CL24)</f>
        <v>6</v>
      </c>
      <c r="O24" s="18">
        <f>SUM(CM24:CR24)</f>
        <v>2</v>
      </c>
      <c r="P24" s="18">
        <f>N24+O24</f>
        <v>8</v>
      </c>
      <c r="Q24" s="21" t="s">
        <v>197</v>
      </c>
      <c r="R24" s="17" t="s">
        <v>157</v>
      </c>
      <c r="S24" s="18">
        <f>--OR(Overview!$B$6="All",E24=Overview!$B$6)*--OR(Overview!$F$6="All",F24=Overview!$F$6)*--OR(Overview!$J$6="All",G24=Overview!$J$6)*--OR(Overview!$N$6="All",H24=Overview!$N$6)</f>
        <v>1</v>
      </c>
      <c r="T24" s="21" t="s">
        <v>22</v>
      </c>
      <c r="U24" s="21" t="s">
        <v>198</v>
      </c>
      <c r="V24" s="21" t="s">
        <v>26</v>
      </c>
      <c r="W24" s="21" t="s">
        <v>22</v>
      </c>
      <c r="X24" s="21" t="s">
        <v>22</v>
      </c>
      <c r="Y24" s="21" t="s">
        <v>26</v>
      </c>
      <c r="Z24" s="21" t="s">
        <v>22</v>
      </c>
      <c r="AA24" s="21" t="s">
        <v>198</v>
      </c>
      <c r="AB24" s="21" t="s">
        <v>198</v>
      </c>
      <c r="AC24" s="21" t="s">
        <v>22</v>
      </c>
      <c r="AD24" s="21" t="s">
        <v>22</v>
      </c>
      <c r="AE24" s="21" t="s">
        <v>22</v>
      </c>
      <c r="AF24" s="21" t="s">
        <v>26</v>
      </c>
      <c r="AG24" s="21" t="s">
        <v>198</v>
      </c>
      <c r="AH24" s="21" t="s">
        <v>198</v>
      </c>
      <c r="AI24" s="21" t="s">
        <v>198</v>
      </c>
      <c r="AJ24" s="21" t="s">
        <v>198</v>
      </c>
      <c r="AK24" s="21" t="s">
        <v>22</v>
      </c>
      <c r="AL24" s="21" t="s">
        <v>26</v>
      </c>
      <c r="AM24" s="21" t="s">
        <v>83</v>
      </c>
      <c r="AN24" s="21" t="s">
        <v>83</v>
      </c>
      <c r="AO24" s="21" t="s">
        <v>198</v>
      </c>
      <c r="AP24" s="21" t="s">
        <v>83</v>
      </c>
      <c r="AQ24" s="21" t="s">
        <v>83</v>
      </c>
      <c r="AR24" s="21" t="s">
        <v>83</v>
      </c>
      <c r="AS24" s="21" t="s">
        <v>198</v>
      </c>
      <c r="AT24" s="21" t="s">
        <v>83</v>
      </c>
      <c r="AU24" s="21" t="s">
        <v>198</v>
      </c>
      <c r="AV24" s="21" t="s">
        <v>109</v>
      </c>
      <c r="AW24" s="21" t="s">
        <v>198</v>
      </c>
      <c r="AX24" s="21" t="s">
        <v>198</v>
      </c>
      <c r="AY24" s="21" t="s">
        <v>109</v>
      </c>
      <c r="AZ24" s="21" t="s">
        <v>198</v>
      </c>
      <c r="BA24" s="17" t="s">
        <v>232</v>
      </c>
      <c r="BB24" s="17" t="s">
        <v>233</v>
      </c>
      <c r="BC24" s="18">
        <f>--ISNUMBER(SEARCH("Radio or television",BA24))</f>
        <v>1</v>
      </c>
      <c r="BD24" s="18">
        <f>--ISNUMBER(SEARCH("Newspapers or print media",BA24))</f>
        <v>0</v>
      </c>
      <c r="BE24" s="18">
        <f>--ISNUMBER(SEARCH("Social media (e.g. Facebook, WhatsApp, YouTube, X/Twitter)",BA24))</f>
        <v>1</v>
      </c>
      <c r="BF24" s="18">
        <f>--ISNUMBER(SEARCH("Family members",BA24))</f>
        <v>0</v>
      </c>
      <c r="BG24" s="18">
        <f>--ISNUMBER(SEARCH("Friends or fellow students",BA24))</f>
        <v>1</v>
      </c>
      <c r="BH24" s="18">
        <f>--ISNUMBER(SEARCH("School coursework or lectures",BA24))</f>
        <v>1</v>
      </c>
      <c r="BI24" s="18">
        <f>--ISNUMBER(SEARCH("NHIMA outreach activities or NHIMA offices",BA24))</f>
        <v>0</v>
      </c>
      <c r="BJ24" s="18">
        <f>--ISNUMBER(SEARCH("Health facility staff",BA24))</f>
        <v>0</v>
      </c>
      <c r="BK24" s="18">
        <f>--ISNUMBER(SEARCH("not received information",BA24))</f>
        <v>0</v>
      </c>
      <c r="BL24" s="18">
        <f>IF(T24="","",--(T24='Codebook'!$F$13))</f>
        <v>1</v>
      </c>
      <c r="BM24" s="18">
        <f>IF(U24="","",--(U24='Codebook'!$F$14))</f>
        <v>0</v>
      </c>
      <c r="BN24" s="18">
        <f>IF(V24="","",--(V24='Codebook'!$F$15))</f>
        <v>1</v>
      </c>
      <c r="BO24" s="18">
        <f>IF(W24="","",--(W24='Codebook'!$F$16))</f>
        <v>1</v>
      </c>
      <c r="BP24" s="18">
        <f>IF(X24="","",--(X24='Codebook'!$F$17))</f>
        <v>1</v>
      </c>
      <c r="BQ24" s="18">
        <f>IF(Y24="","",--(Y24='Codebook'!$F$18))</f>
        <v>1</v>
      </c>
      <c r="BR24" s="18">
        <f>IF(Z24="","",--(Z24='Codebook'!$F$19))</f>
        <v>1</v>
      </c>
      <c r="BS24" s="18">
        <f>IF(AA24="","",--(AA24='Codebook'!$F$20))</f>
        <v>0</v>
      </c>
      <c r="BT24" s="18">
        <f>IF(AB24="","",--(AB24='Codebook'!$F$21))</f>
        <v>0</v>
      </c>
      <c r="BU24" s="18">
        <f>IF(AC24="","",--(AC24='Codebook'!$F$22))</f>
        <v>1</v>
      </c>
      <c r="BV24" s="18">
        <f>IF(AD24="","",--(AD24='Codebook'!$F$23))</f>
        <v>1</v>
      </c>
      <c r="BW24" s="18">
        <f>IF(AE24="","",--(AE24='Codebook'!$F$24))</f>
        <v>1</v>
      </c>
      <c r="BX24" s="18">
        <f>IF(AF24="","",--(AF24='Codebook'!$F$25))</f>
        <v>1</v>
      </c>
      <c r="BY24" s="18">
        <f>IF(AG24="","",--(AG24='Codebook'!$F$26))</f>
        <v>0</v>
      </c>
      <c r="BZ24" s="18">
        <f>IF(AH24="","",--(AH24='Codebook'!$F$27))</f>
        <v>0</v>
      </c>
      <c r="CA24" s="18">
        <f>IF(AI24="","",--(AI24='Codebook'!$F$28))</f>
        <v>0</v>
      </c>
      <c r="CB24" s="18">
        <f>IF(AJ24="","",--(AJ24='Codebook'!$F$29))</f>
        <v>0</v>
      </c>
      <c r="CC24" s="18">
        <f>IF(AK24="","",--(AK24='Codebook'!$F$30))</f>
        <v>1</v>
      </c>
      <c r="CD24" s="18">
        <f>IF(AL24="","",--(AL24='Codebook'!$F$31))</f>
        <v>1</v>
      </c>
      <c r="CE24" s="18">
        <f>IF(AM24="","",--(AM24='Codebook'!$F$32))</f>
        <v>1</v>
      </c>
      <c r="CF24" s="18">
        <f>IF(AN24="","",--(AN24='Codebook'!$F$33))</f>
        <v>1</v>
      </c>
      <c r="CG24" s="18">
        <f>IF(AO24="","",--(AO24='Codebook'!$F$34))</f>
        <v>0</v>
      </c>
      <c r="CH24" s="18">
        <f>IF(AP24="","",--(AP24='Codebook'!$F$35))</f>
        <v>1</v>
      </c>
      <c r="CI24" s="18">
        <f>IF(AQ24="","",--(AQ24='Codebook'!$F$36))</f>
        <v>1</v>
      </c>
      <c r="CJ24" s="18">
        <f>IF(AR24="","",--(AR24='Codebook'!$F$37))</f>
        <v>1</v>
      </c>
      <c r="CK24" s="18">
        <f>IF(AS24="","",--(AS24='Codebook'!$F$38))</f>
        <v>0</v>
      </c>
      <c r="CL24" s="18">
        <f>IF(AT24="","",--(AT24='Codebook'!$F$39))</f>
        <v>1</v>
      </c>
      <c r="CM24" s="18">
        <f>IF(AU24="","",--(AU24='Codebook'!$F$40))</f>
        <v>0</v>
      </c>
      <c r="CN24" s="18">
        <f>IF(AV24="","",--(AV24='Codebook'!$F$41))</f>
        <v>1</v>
      </c>
      <c r="CO24" s="18">
        <f>IF(AW24="","",--(AW24='Codebook'!$F$42))</f>
        <v>0</v>
      </c>
      <c r="CP24" s="18">
        <f>IF(AX24="","",--(AX24='Codebook'!$F$43))</f>
        <v>0</v>
      </c>
      <c r="CQ24" s="18">
        <f>IF(AY24="","",--(AY24='Codebook'!$F$44))</f>
        <v>1</v>
      </c>
      <c r="CR24" s="18">
        <f>IF(AZ24="","",--(AZ24='Codebook'!$F$45))</f>
        <v>0</v>
      </c>
    </row>
    <row r="25" spans="2:96" ht="24" customHeight="1">
      <c r="B25" s="18">
        <v>20</v>
      </c>
      <c r="C25" s="23">
        <v>46259.79111099537</v>
      </c>
      <c r="D25" s="18">
        <v>24</v>
      </c>
      <c r="E25" s="21" t="s">
        <v>194</v>
      </c>
      <c r="F25" s="21" t="s">
        <v>195</v>
      </c>
      <c r="G25" s="17" t="s">
        <v>215</v>
      </c>
      <c r="H25" s="21" t="s">
        <v>197</v>
      </c>
      <c r="I25" s="18">
        <f>SUM(BL25:BU25)</f>
        <v>6</v>
      </c>
      <c r="J25" s="18">
        <f>IF(COUNT(BV25:CD25)=9,SUM(BV25:CD25),"")</f>
        <v>4</v>
      </c>
      <c r="K25" s="18">
        <f>SUM(BL25:CD25)</f>
        <v>10</v>
      </c>
      <c r="L25" s="18">
        <f>--(K25&gt;='Codebook'!$C$8)</f>
        <v>0</v>
      </c>
      <c r="M25" s="18">
        <f>--(COUNT(BL25:CD25)=19)</f>
        <v>1</v>
      </c>
      <c r="N25" s="18">
        <f>SUM(CE25:CL25)</f>
        <v>8</v>
      </c>
      <c r="O25" s="18">
        <f>SUM(CM25:CR25)</f>
        <v>6</v>
      </c>
      <c r="P25" s="18">
        <f>N25+O25</f>
        <v>14</v>
      </c>
      <c r="Q25" s="21" t="s">
        <v>197</v>
      </c>
      <c r="R25" s="17" t="s">
        <v>155</v>
      </c>
      <c r="S25" s="18">
        <f>--OR(Overview!$B$6="All",E25=Overview!$B$6)*--OR(Overview!$F$6="All",F25=Overview!$F$6)*--OR(Overview!$J$6="All",G25=Overview!$J$6)*--OR(Overview!$N$6="All",H25=Overview!$N$6)</f>
        <v>1</v>
      </c>
      <c r="T25" s="21" t="s">
        <v>22</v>
      </c>
      <c r="U25" s="21" t="s">
        <v>22</v>
      </c>
      <c r="V25" s="21" t="s">
        <v>22</v>
      </c>
      <c r="W25" s="21" t="s">
        <v>22</v>
      </c>
      <c r="X25" s="21" t="s">
        <v>22</v>
      </c>
      <c r="Y25" s="21" t="s">
        <v>22</v>
      </c>
      <c r="Z25" s="21" t="s">
        <v>22</v>
      </c>
      <c r="AA25" s="21" t="s">
        <v>22</v>
      </c>
      <c r="AB25" s="21" t="s">
        <v>22</v>
      </c>
      <c r="AC25" s="21" t="s">
        <v>22</v>
      </c>
      <c r="AD25" s="21" t="s">
        <v>22</v>
      </c>
      <c r="AE25" s="21" t="s">
        <v>22</v>
      </c>
      <c r="AF25" s="21" t="s">
        <v>22</v>
      </c>
      <c r="AG25" s="21" t="s">
        <v>22</v>
      </c>
      <c r="AH25" s="21" t="s">
        <v>26</v>
      </c>
      <c r="AI25" s="21" t="s">
        <v>22</v>
      </c>
      <c r="AJ25" s="21" t="s">
        <v>22</v>
      </c>
      <c r="AK25" s="21" t="s">
        <v>22</v>
      </c>
      <c r="AL25" s="21" t="s">
        <v>22</v>
      </c>
      <c r="AM25" s="21" t="s">
        <v>83</v>
      </c>
      <c r="AN25" s="21" t="s">
        <v>83</v>
      </c>
      <c r="AO25" s="21" t="s">
        <v>83</v>
      </c>
      <c r="AP25" s="21" t="s">
        <v>83</v>
      </c>
      <c r="AQ25" s="21" t="s">
        <v>83</v>
      </c>
      <c r="AR25" s="21" t="s">
        <v>83</v>
      </c>
      <c r="AS25" s="21" t="s">
        <v>83</v>
      </c>
      <c r="AT25" s="21" t="s">
        <v>83</v>
      </c>
      <c r="AU25" s="21" t="s">
        <v>109</v>
      </c>
      <c r="AV25" s="21" t="s">
        <v>109</v>
      </c>
      <c r="AW25" s="21" t="s">
        <v>109</v>
      </c>
      <c r="AX25" s="21" t="s">
        <v>109</v>
      </c>
      <c r="AY25" s="21" t="s">
        <v>109</v>
      </c>
      <c r="AZ25" s="21" t="s">
        <v>109</v>
      </c>
      <c r="BA25" s="17" t="s">
        <v>234</v>
      </c>
      <c r="BB25" s="17" t="s">
        <v>155</v>
      </c>
      <c r="BC25" s="18">
        <f>--ISNUMBER(SEARCH("Radio or television",BA25))</f>
        <v>1</v>
      </c>
      <c r="BD25" s="18">
        <f>--ISNUMBER(SEARCH("Newspapers or print media",BA25))</f>
        <v>1</v>
      </c>
      <c r="BE25" s="18">
        <f>--ISNUMBER(SEARCH("Social media (e.g. Facebook, WhatsApp, YouTube, X/Twitter)",BA25))</f>
        <v>1</v>
      </c>
      <c r="BF25" s="18">
        <f>--ISNUMBER(SEARCH("Family members",BA25))</f>
        <v>1</v>
      </c>
      <c r="BG25" s="18">
        <f>--ISNUMBER(SEARCH("Friends or fellow students",BA25))</f>
        <v>1</v>
      </c>
      <c r="BH25" s="18">
        <f>--ISNUMBER(SEARCH("School coursework or lectures",BA25))</f>
        <v>1</v>
      </c>
      <c r="BI25" s="18">
        <f>--ISNUMBER(SEARCH("NHIMA outreach activities or NHIMA offices",BA25))</f>
        <v>1</v>
      </c>
      <c r="BJ25" s="18">
        <f>--ISNUMBER(SEARCH("Health facility staff",BA25))</f>
        <v>0</v>
      </c>
      <c r="BK25" s="18">
        <f>--ISNUMBER(SEARCH("not received information",BA25))</f>
        <v>0</v>
      </c>
      <c r="BL25" s="18">
        <f>IF(T25="","",--(T25='Codebook'!$F$13))</f>
        <v>1</v>
      </c>
      <c r="BM25" s="18">
        <f>IF(U25="","",--(U25='Codebook'!$F$14))</f>
        <v>0</v>
      </c>
      <c r="BN25" s="18">
        <f>IF(V25="","",--(V25='Codebook'!$F$15))</f>
        <v>0</v>
      </c>
      <c r="BO25" s="18">
        <f>IF(W25="","",--(W25='Codebook'!$F$16))</f>
        <v>1</v>
      </c>
      <c r="BP25" s="18">
        <f>IF(X25="","",--(X25='Codebook'!$F$17))</f>
        <v>1</v>
      </c>
      <c r="BQ25" s="18">
        <f>IF(Y25="","",--(Y25='Codebook'!$F$18))</f>
        <v>0</v>
      </c>
      <c r="BR25" s="18">
        <f>IF(Z25="","",--(Z25='Codebook'!$F$19))</f>
        <v>1</v>
      </c>
      <c r="BS25" s="18">
        <f>IF(AA25="","",--(AA25='Codebook'!$F$20))</f>
        <v>1</v>
      </c>
      <c r="BT25" s="18">
        <f>IF(AB25="","",--(AB25='Codebook'!$F$21))</f>
        <v>0</v>
      </c>
      <c r="BU25" s="18">
        <f>IF(AC25="","",--(AC25='Codebook'!$F$22))</f>
        <v>1</v>
      </c>
      <c r="BV25" s="18">
        <f>IF(AD25="","",--(AD25='Codebook'!$F$23))</f>
        <v>1</v>
      </c>
      <c r="BW25" s="18">
        <f>IF(AE25="","",--(AE25='Codebook'!$F$24))</f>
        <v>1</v>
      </c>
      <c r="BX25" s="18">
        <f>IF(AF25="","",--(AF25='Codebook'!$F$25))</f>
        <v>0</v>
      </c>
      <c r="BY25" s="18">
        <f>IF(AG25="","",--(AG25='Codebook'!$F$26))</f>
        <v>1</v>
      </c>
      <c r="BZ25" s="18">
        <f>IF(AH25="","",--(AH25='Codebook'!$F$27))</f>
        <v>0</v>
      </c>
      <c r="CA25" s="18">
        <f>IF(AI25="","",--(AI25='Codebook'!$F$28))</f>
        <v>0</v>
      </c>
      <c r="CB25" s="18">
        <f>IF(AJ25="","",--(AJ25='Codebook'!$F$29))</f>
        <v>0</v>
      </c>
      <c r="CC25" s="18">
        <f>IF(AK25="","",--(AK25='Codebook'!$F$30))</f>
        <v>1</v>
      </c>
      <c r="CD25" s="18">
        <f>IF(AL25="","",--(AL25='Codebook'!$F$31))</f>
        <v>0</v>
      </c>
      <c r="CE25" s="18">
        <f>IF(AM25="","",--(AM25='Codebook'!$F$32))</f>
        <v>1</v>
      </c>
      <c r="CF25" s="18">
        <f>IF(AN25="","",--(AN25='Codebook'!$F$33))</f>
        <v>1</v>
      </c>
      <c r="CG25" s="18">
        <f>IF(AO25="","",--(AO25='Codebook'!$F$34))</f>
        <v>1</v>
      </c>
      <c r="CH25" s="18">
        <f>IF(AP25="","",--(AP25='Codebook'!$F$35))</f>
        <v>1</v>
      </c>
      <c r="CI25" s="18">
        <f>IF(AQ25="","",--(AQ25='Codebook'!$F$36))</f>
        <v>1</v>
      </c>
      <c r="CJ25" s="18">
        <f>IF(AR25="","",--(AR25='Codebook'!$F$37))</f>
        <v>1</v>
      </c>
      <c r="CK25" s="18">
        <f>IF(AS25="","",--(AS25='Codebook'!$F$38))</f>
        <v>1</v>
      </c>
      <c r="CL25" s="18">
        <f>IF(AT25="","",--(AT25='Codebook'!$F$39))</f>
        <v>1</v>
      </c>
      <c r="CM25" s="18">
        <f>IF(AU25="","",--(AU25='Codebook'!$F$40))</f>
        <v>1</v>
      </c>
      <c r="CN25" s="18">
        <f>IF(AV25="","",--(AV25='Codebook'!$F$41))</f>
        <v>1</v>
      </c>
      <c r="CO25" s="18">
        <f>IF(AW25="","",--(AW25='Codebook'!$F$42))</f>
        <v>1</v>
      </c>
      <c r="CP25" s="18">
        <f>IF(AX25="","",--(AX25='Codebook'!$F$43))</f>
        <v>1</v>
      </c>
      <c r="CQ25" s="18">
        <f>IF(AY25="","",--(AY25='Codebook'!$F$44))</f>
        <v>1</v>
      </c>
      <c r="CR25" s="18">
        <f>IF(AZ25="","",--(AZ25='Codebook'!$F$45))</f>
        <v>1</v>
      </c>
    </row>
    <row r="26" spans="2:96" ht="24" customHeight="1">
      <c r="B26" s="18">
        <v>21</v>
      </c>
      <c r="C26" s="23">
        <v>46259.89989082176</v>
      </c>
      <c r="D26" s="18">
        <v>23</v>
      </c>
      <c r="E26" s="21" t="s">
        <v>194</v>
      </c>
      <c r="F26" s="21" t="s">
        <v>201</v>
      </c>
      <c r="G26" s="17" t="s">
        <v>196</v>
      </c>
      <c r="H26" s="21" t="s">
        <v>207</v>
      </c>
      <c r="I26" s="18">
        <f>SUM(BL26:BU26)</f>
        <v>0</v>
      </c>
      <c r="J26" s="18">
        <f>IF(COUNT(BV26:CD26)=9,SUM(BV26:CD26),"")</f>
        <v/>
      </c>
      <c r="K26" s="18">
        <f>SUM(BL26:CD26)</f>
        <v>0</v>
      </c>
      <c r="L26" s="18">
        <f>--(K26&gt;='Codebook'!$C$8)</f>
        <v>0</v>
      </c>
      <c r="M26" s="18">
        <f>--(COUNT(BL26:CD26)=19)</f>
        <v>0</v>
      </c>
      <c r="N26" s="18">
        <f>SUM(CE26:CL26)</f>
        <v>4</v>
      </c>
      <c r="O26" s="18">
        <f>SUM(CM26:CR26)</f>
        <v>2</v>
      </c>
      <c r="P26" s="18">
        <f>N26+O26</f>
        <v>6</v>
      </c>
      <c r="Q26" s="21" t="s">
        <v>198</v>
      </c>
      <c r="R26" s="17" t="s">
        <v>159</v>
      </c>
      <c r="S26" s="18">
        <f>--OR(Overview!$B$6="All",E26=Overview!$B$6)*--OR(Overview!$F$6="All",F26=Overview!$F$6)*--OR(Overview!$J$6="All",G26=Overview!$J$6)*--OR(Overview!$N$6="All",H26=Overview!$N$6)</f>
        <v>1</v>
      </c>
      <c r="T26" s="21" t="s">
        <v>26</v>
      </c>
      <c r="U26" s="21" t="s">
        <v>22</v>
      </c>
      <c r="V26" s="21" t="s">
        <v>198</v>
      </c>
      <c r="W26" s="21" t="s">
        <v>198</v>
      </c>
      <c r="X26" s="21" t="s">
        <v>198</v>
      </c>
      <c r="Y26" s="21" t="s">
        <v>198</v>
      </c>
      <c r="Z26" s="21" t="s">
        <v>198</v>
      </c>
      <c r="AA26" s="21" t="s">
        <v>198</v>
      </c>
      <c r="AB26" s="21" t="s">
        <v>198</v>
      </c>
      <c r="AC26" s="21" t="s">
        <v>198</v>
      </c>
      <c r="AD26" s="21"/>
      <c r="AE26" s="21"/>
      <c r="AF26" s="21"/>
      <c r="AG26" s="21"/>
      <c r="AH26" s="21"/>
      <c r="AI26" s="21"/>
      <c r="AJ26" s="21"/>
      <c r="AK26" s="21"/>
      <c r="AL26" s="21"/>
      <c r="AM26" s="21" t="s">
        <v>198</v>
      </c>
      <c r="AN26" s="21" t="s">
        <v>198</v>
      </c>
      <c r="AO26" s="21" t="s">
        <v>198</v>
      </c>
      <c r="AP26" s="21" t="s">
        <v>83</v>
      </c>
      <c r="AQ26" s="21" t="s">
        <v>198</v>
      </c>
      <c r="AR26" s="21" t="s">
        <v>83</v>
      </c>
      <c r="AS26" s="21" t="s">
        <v>83</v>
      </c>
      <c r="AT26" s="21" t="s">
        <v>83</v>
      </c>
      <c r="AU26" s="21" t="s">
        <v>83</v>
      </c>
      <c r="AV26" s="21" t="s">
        <v>83</v>
      </c>
      <c r="AW26" s="21" t="s">
        <v>83</v>
      </c>
      <c r="AX26" s="21" t="s">
        <v>198</v>
      </c>
      <c r="AY26" s="21" t="s">
        <v>109</v>
      </c>
      <c r="AZ26" s="21" t="s">
        <v>109</v>
      </c>
      <c r="BA26" s="17" t="s">
        <v>235</v>
      </c>
      <c r="BB26" s="17" t="s">
        <v>221</v>
      </c>
      <c r="BC26" s="18">
        <f>--ISNUMBER(SEARCH("Radio or television",BA26))</f>
        <v>0</v>
      </c>
      <c r="BD26" s="18">
        <f>--ISNUMBER(SEARCH("Newspapers or print media",BA26))</f>
        <v>0</v>
      </c>
      <c r="BE26" s="18">
        <f>--ISNUMBER(SEARCH("Social media (e.g. Facebook, WhatsApp, YouTube, X/Twitter)",BA26))</f>
        <v>0</v>
      </c>
      <c r="BF26" s="18">
        <f>--ISNUMBER(SEARCH("Family members",BA26))</f>
        <v>1</v>
      </c>
      <c r="BG26" s="18">
        <f>--ISNUMBER(SEARCH("Friends or fellow students",BA26))</f>
        <v>0</v>
      </c>
      <c r="BH26" s="18">
        <f>--ISNUMBER(SEARCH("School coursework or lectures",BA26))</f>
        <v>0</v>
      </c>
      <c r="BI26" s="18">
        <f>--ISNUMBER(SEARCH("NHIMA outreach activities or NHIMA offices",BA26))</f>
        <v>1</v>
      </c>
      <c r="BJ26" s="18">
        <f>--ISNUMBER(SEARCH("Health facility staff",BA26))</f>
        <v>0</v>
      </c>
      <c r="BK26" s="18">
        <f>--ISNUMBER(SEARCH("not received information",BA26))</f>
        <v>0</v>
      </c>
      <c r="BL26" s="18">
        <f>IF(T26="","",--(T26='Codebook'!$F$13))</f>
        <v>0</v>
      </c>
      <c r="BM26" s="18">
        <f>IF(U26="","",--(U26='Codebook'!$F$14))</f>
        <v>0</v>
      </c>
      <c r="BN26" s="18">
        <f>IF(V26="","",--(V26='Codebook'!$F$15))</f>
        <v>0</v>
      </c>
      <c r="BO26" s="18">
        <f>IF(W26="","",--(W26='Codebook'!$F$16))</f>
        <v>0</v>
      </c>
      <c r="BP26" s="18">
        <f>IF(X26="","",--(X26='Codebook'!$F$17))</f>
        <v>0</v>
      </c>
      <c r="BQ26" s="18">
        <f>IF(Y26="","",--(Y26='Codebook'!$F$18))</f>
        <v>0</v>
      </c>
      <c r="BR26" s="18">
        <f>IF(Z26="","",--(Z26='Codebook'!$F$19))</f>
        <v>0</v>
      </c>
      <c r="BS26" s="18">
        <f>IF(AA26="","",--(AA26='Codebook'!$F$20))</f>
        <v>0</v>
      </c>
      <c r="BT26" s="18">
        <f>IF(AB26="","",--(AB26='Codebook'!$F$21))</f>
        <v>0</v>
      </c>
      <c r="BU26" s="18">
        <f>IF(AC26="","",--(AC26='Codebook'!$F$22))</f>
        <v>0</v>
      </c>
      <c r="BV26" s="18">
        <f>IF(AD26="","",--(AD26='Codebook'!$F$23))</f>
        <v/>
      </c>
      <c r="BW26" s="18">
        <f>IF(AE26="","",--(AE26='Codebook'!$F$24))</f>
        <v/>
      </c>
      <c r="BX26" s="18">
        <f>IF(AF26="","",--(AF26='Codebook'!$F$25))</f>
        <v/>
      </c>
      <c r="BY26" s="18">
        <f>IF(AG26="","",--(AG26='Codebook'!$F$26))</f>
        <v/>
      </c>
      <c r="BZ26" s="18">
        <f>IF(AH26="","",--(AH26='Codebook'!$F$27))</f>
        <v/>
      </c>
      <c r="CA26" s="18">
        <f>IF(AI26="","",--(AI26='Codebook'!$F$28))</f>
        <v/>
      </c>
      <c r="CB26" s="18">
        <f>IF(AJ26="","",--(AJ26='Codebook'!$F$29))</f>
        <v/>
      </c>
      <c r="CC26" s="18">
        <f>IF(AK26="","",--(AK26='Codebook'!$F$30))</f>
        <v/>
      </c>
      <c r="CD26" s="18">
        <f>IF(AL26="","",--(AL26='Codebook'!$F$31))</f>
        <v/>
      </c>
      <c r="CE26" s="18">
        <f>IF(AM26="","",--(AM26='Codebook'!$F$32))</f>
        <v>0</v>
      </c>
      <c r="CF26" s="18">
        <f>IF(AN26="","",--(AN26='Codebook'!$F$33))</f>
        <v>0</v>
      </c>
      <c r="CG26" s="18">
        <f>IF(AO26="","",--(AO26='Codebook'!$F$34))</f>
        <v>0</v>
      </c>
      <c r="CH26" s="18">
        <f>IF(AP26="","",--(AP26='Codebook'!$F$35))</f>
        <v>1</v>
      </c>
      <c r="CI26" s="18">
        <f>IF(AQ26="","",--(AQ26='Codebook'!$F$36))</f>
        <v>0</v>
      </c>
      <c r="CJ26" s="18">
        <f>IF(AR26="","",--(AR26='Codebook'!$F$37))</f>
        <v>1</v>
      </c>
      <c r="CK26" s="18">
        <f>IF(AS26="","",--(AS26='Codebook'!$F$38))</f>
        <v>1</v>
      </c>
      <c r="CL26" s="18">
        <f>IF(AT26="","",--(AT26='Codebook'!$F$39))</f>
        <v>1</v>
      </c>
      <c r="CM26" s="18">
        <f>IF(AU26="","",--(AU26='Codebook'!$F$40))</f>
        <v>0</v>
      </c>
      <c r="CN26" s="18">
        <f>IF(AV26="","",--(AV26='Codebook'!$F$41))</f>
        <v>0</v>
      </c>
      <c r="CO26" s="18">
        <f>IF(AW26="","",--(AW26='Codebook'!$F$42))</f>
        <v>0</v>
      </c>
      <c r="CP26" s="18">
        <f>IF(AX26="","",--(AX26='Codebook'!$F$43))</f>
        <v>0</v>
      </c>
      <c r="CQ26" s="18">
        <f>IF(AY26="","",--(AY26='Codebook'!$F$44))</f>
        <v>1</v>
      </c>
      <c r="CR26" s="18">
        <f>IF(AZ26="","",--(AZ26='Codebook'!$F$45))</f>
        <v>1</v>
      </c>
    </row>
    <row r="27" spans="2:96" ht="24" customHeight="1">
      <c r="B27" s="18">
        <v>22</v>
      </c>
      <c r="C27" s="23">
        <v>46260.42206848379</v>
      </c>
      <c r="D27" s="18">
        <v>24</v>
      </c>
      <c r="E27" s="21" t="s">
        <v>206</v>
      </c>
      <c r="F27" s="21" t="s">
        <v>201</v>
      </c>
      <c r="G27" s="17" t="s">
        <v>202</v>
      </c>
      <c r="H27" s="21" t="s">
        <v>207</v>
      </c>
      <c r="I27" s="18">
        <f>SUM(BL27:BU27)</f>
        <v>5</v>
      </c>
      <c r="J27" s="18">
        <f>IF(COUNT(BV27:CD27)=9,SUM(BV27:CD27),"")</f>
        <v>4</v>
      </c>
      <c r="K27" s="18">
        <f>SUM(BL27:CD27)</f>
        <v>9</v>
      </c>
      <c r="L27" s="18">
        <f>--(K27&gt;='Codebook'!$C$8)</f>
        <v>0</v>
      </c>
      <c r="M27" s="18">
        <f>--(COUNT(BL27:CD27)=19)</f>
        <v>1</v>
      </c>
      <c r="N27" s="18">
        <f>SUM(CE27:CL27)</f>
        <v>8</v>
      </c>
      <c r="O27" s="18">
        <f>SUM(CM27:CR27)</f>
        <v>3</v>
      </c>
      <c r="P27" s="18">
        <f>N27+O27</f>
        <v>11</v>
      </c>
      <c r="Q27" s="21" t="s">
        <v>198</v>
      </c>
      <c r="R27" s="17" t="s">
        <v>154</v>
      </c>
      <c r="S27" s="18">
        <f>--OR(Overview!$B$6="All",E27=Overview!$B$6)*--OR(Overview!$F$6="All",F27=Overview!$F$6)*--OR(Overview!$J$6="All",G27=Overview!$J$6)*--OR(Overview!$N$6="All",H27=Overview!$N$6)</f>
        <v>1</v>
      </c>
      <c r="T27" s="21" t="s">
        <v>26</v>
      </c>
      <c r="U27" s="21" t="s">
        <v>22</v>
      </c>
      <c r="V27" s="21" t="s">
        <v>22</v>
      </c>
      <c r="W27" s="21" t="s">
        <v>22</v>
      </c>
      <c r="X27" s="21" t="s">
        <v>22</v>
      </c>
      <c r="Y27" s="21" t="s">
        <v>26</v>
      </c>
      <c r="Z27" s="21" t="s">
        <v>22</v>
      </c>
      <c r="AA27" s="21" t="s">
        <v>26</v>
      </c>
      <c r="AB27" s="21" t="s">
        <v>22</v>
      </c>
      <c r="AC27" s="21" t="s">
        <v>22</v>
      </c>
      <c r="AD27" s="21" t="s">
        <v>22</v>
      </c>
      <c r="AE27" s="21" t="s">
        <v>22</v>
      </c>
      <c r="AF27" s="21" t="s">
        <v>22</v>
      </c>
      <c r="AG27" s="21" t="s">
        <v>22</v>
      </c>
      <c r="AH27" s="21" t="s">
        <v>22</v>
      </c>
      <c r="AI27" s="21" t="s">
        <v>22</v>
      </c>
      <c r="AJ27" s="21" t="s">
        <v>22</v>
      </c>
      <c r="AK27" s="21" t="s">
        <v>26</v>
      </c>
      <c r="AL27" s="21" t="s">
        <v>22</v>
      </c>
      <c r="AM27" s="21" t="s">
        <v>83</v>
      </c>
      <c r="AN27" s="21" t="s">
        <v>83</v>
      </c>
      <c r="AO27" s="21" t="s">
        <v>83</v>
      </c>
      <c r="AP27" s="21" t="s">
        <v>83</v>
      </c>
      <c r="AQ27" s="21" t="s">
        <v>83</v>
      </c>
      <c r="AR27" s="21" t="s">
        <v>83</v>
      </c>
      <c r="AS27" s="21" t="s">
        <v>83</v>
      </c>
      <c r="AT27" s="21" t="s">
        <v>83</v>
      </c>
      <c r="AU27" s="21" t="s">
        <v>109</v>
      </c>
      <c r="AV27" s="21" t="s">
        <v>83</v>
      </c>
      <c r="AW27" s="21" t="s">
        <v>109</v>
      </c>
      <c r="AX27" s="21" t="s">
        <v>83</v>
      </c>
      <c r="AY27" s="21" t="s">
        <v>83</v>
      </c>
      <c r="AZ27" s="21" t="s">
        <v>109</v>
      </c>
      <c r="BA27" s="17" t="s">
        <v>236</v>
      </c>
      <c r="BB27" s="17" t="s">
        <v>154</v>
      </c>
      <c r="BC27" s="18">
        <f>--ISNUMBER(SEARCH("Radio or television",BA27))</f>
        <v>1</v>
      </c>
      <c r="BD27" s="18">
        <f>--ISNUMBER(SEARCH("Newspapers or print media",BA27))</f>
        <v>1</v>
      </c>
      <c r="BE27" s="18">
        <f>--ISNUMBER(SEARCH("Social media (e.g. Facebook, WhatsApp, YouTube, X/Twitter)",BA27))</f>
        <v>1</v>
      </c>
      <c r="BF27" s="18">
        <f>--ISNUMBER(SEARCH("Family members",BA27))</f>
        <v>1</v>
      </c>
      <c r="BG27" s="18">
        <f>--ISNUMBER(SEARCH("Friends or fellow students",BA27))</f>
        <v>1</v>
      </c>
      <c r="BH27" s="18">
        <f>--ISNUMBER(SEARCH("School coursework or lectures",BA27))</f>
        <v>0</v>
      </c>
      <c r="BI27" s="18">
        <f>--ISNUMBER(SEARCH("NHIMA outreach activities or NHIMA offices",BA27))</f>
        <v>0</v>
      </c>
      <c r="BJ27" s="18">
        <f>--ISNUMBER(SEARCH("Health facility staff",BA27))</f>
        <v>0</v>
      </c>
      <c r="BK27" s="18">
        <f>--ISNUMBER(SEARCH("not received information",BA27))</f>
        <v>0</v>
      </c>
      <c r="BL27" s="18">
        <f>IF(T27="","",--(T27='Codebook'!$F$13))</f>
        <v>0</v>
      </c>
      <c r="BM27" s="18">
        <f>IF(U27="","",--(U27='Codebook'!$F$14))</f>
        <v>0</v>
      </c>
      <c r="BN27" s="18">
        <f>IF(V27="","",--(V27='Codebook'!$F$15))</f>
        <v>0</v>
      </c>
      <c r="BO27" s="18">
        <f>IF(W27="","",--(W27='Codebook'!$F$16))</f>
        <v>1</v>
      </c>
      <c r="BP27" s="18">
        <f>IF(X27="","",--(X27='Codebook'!$F$17))</f>
        <v>1</v>
      </c>
      <c r="BQ27" s="18">
        <f>IF(Y27="","",--(Y27='Codebook'!$F$18))</f>
        <v>1</v>
      </c>
      <c r="BR27" s="18">
        <f>IF(Z27="","",--(Z27='Codebook'!$F$19))</f>
        <v>1</v>
      </c>
      <c r="BS27" s="18">
        <f>IF(AA27="","",--(AA27='Codebook'!$F$20))</f>
        <v>0</v>
      </c>
      <c r="BT27" s="18">
        <f>IF(AB27="","",--(AB27='Codebook'!$F$21))</f>
        <v>0</v>
      </c>
      <c r="BU27" s="18">
        <f>IF(AC27="","",--(AC27='Codebook'!$F$22))</f>
        <v>1</v>
      </c>
      <c r="BV27" s="18">
        <f>IF(AD27="","",--(AD27='Codebook'!$F$23))</f>
        <v>1</v>
      </c>
      <c r="BW27" s="18">
        <f>IF(AE27="","",--(AE27='Codebook'!$F$24))</f>
        <v>1</v>
      </c>
      <c r="BX27" s="18">
        <f>IF(AF27="","",--(AF27='Codebook'!$F$25))</f>
        <v>0</v>
      </c>
      <c r="BY27" s="18">
        <f>IF(AG27="","",--(AG27='Codebook'!$F$26))</f>
        <v>1</v>
      </c>
      <c r="BZ27" s="18">
        <f>IF(AH27="","",--(AH27='Codebook'!$F$27))</f>
        <v>1</v>
      </c>
      <c r="CA27" s="18">
        <f>IF(AI27="","",--(AI27='Codebook'!$F$28))</f>
        <v>0</v>
      </c>
      <c r="CB27" s="18">
        <f>IF(AJ27="","",--(AJ27='Codebook'!$F$29))</f>
        <v>0</v>
      </c>
      <c r="CC27" s="18">
        <f>IF(AK27="","",--(AK27='Codebook'!$F$30))</f>
        <v>0</v>
      </c>
      <c r="CD27" s="18">
        <f>IF(AL27="","",--(AL27='Codebook'!$F$31))</f>
        <v>0</v>
      </c>
      <c r="CE27" s="18">
        <f>IF(AM27="","",--(AM27='Codebook'!$F$32))</f>
        <v>1</v>
      </c>
      <c r="CF27" s="18">
        <f>IF(AN27="","",--(AN27='Codebook'!$F$33))</f>
        <v>1</v>
      </c>
      <c r="CG27" s="18">
        <f>IF(AO27="","",--(AO27='Codebook'!$F$34))</f>
        <v>1</v>
      </c>
      <c r="CH27" s="18">
        <f>IF(AP27="","",--(AP27='Codebook'!$F$35))</f>
        <v>1</v>
      </c>
      <c r="CI27" s="18">
        <f>IF(AQ27="","",--(AQ27='Codebook'!$F$36))</f>
        <v>1</v>
      </c>
      <c r="CJ27" s="18">
        <f>IF(AR27="","",--(AR27='Codebook'!$F$37))</f>
        <v>1</v>
      </c>
      <c r="CK27" s="18">
        <f>IF(AS27="","",--(AS27='Codebook'!$F$38))</f>
        <v>1</v>
      </c>
      <c r="CL27" s="18">
        <f>IF(AT27="","",--(AT27='Codebook'!$F$39))</f>
        <v>1</v>
      </c>
      <c r="CM27" s="18">
        <f>IF(AU27="","",--(AU27='Codebook'!$F$40))</f>
        <v>1</v>
      </c>
      <c r="CN27" s="18">
        <f>IF(AV27="","",--(AV27='Codebook'!$F$41))</f>
        <v>0</v>
      </c>
      <c r="CO27" s="18">
        <f>IF(AW27="","",--(AW27='Codebook'!$F$42))</f>
        <v>1</v>
      </c>
      <c r="CP27" s="18">
        <f>IF(AX27="","",--(AX27='Codebook'!$F$43))</f>
        <v>0</v>
      </c>
      <c r="CQ27" s="18">
        <f>IF(AY27="","",--(AY27='Codebook'!$F$44))</f>
        <v>0</v>
      </c>
      <c r="CR27" s="18">
        <f>IF(AZ27="","",--(AZ27='Codebook'!$F$45))</f>
        <v>1</v>
      </c>
    </row>
    <row r="28" spans="2:96" ht="24" customHeight="1">
      <c r="B28" s="18">
        <v>23</v>
      </c>
      <c r="C28" s="23">
        <v>46274.8384040625</v>
      </c>
      <c r="D28" s="18">
        <v>26</v>
      </c>
      <c r="E28" s="21" t="s">
        <v>194</v>
      </c>
      <c r="F28" s="21" t="s">
        <v>201</v>
      </c>
      <c r="G28" s="17" t="s">
        <v>202</v>
      </c>
      <c r="H28" s="21" t="s">
        <v>207</v>
      </c>
      <c r="I28" s="18">
        <f>SUM(BL28:BU28)</f>
        <v>5</v>
      </c>
      <c r="J28" s="18">
        <f>IF(COUNT(BV28:CD28)=9,SUM(BV28:CD28),"")</f>
        <v>4</v>
      </c>
      <c r="K28" s="18">
        <f>SUM(BL28:CD28)</f>
        <v>9</v>
      </c>
      <c r="L28" s="18">
        <f>--(K28&gt;='Codebook'!$C$8)</f>
        <v>0</v>
      </c>
      <c r="M28" s="18">
        <f>--(COUNT(BL28:CD28)=19)</f>
        <v>1</v>
      </c>
      <c r="N28" s="18">
        <f>SUM(CE28:CL28)</f>
        <v>3</v>
      </c>
      <c r="O28" s="18">
        <f>SUM(CM28:CR28)</f>
        <v>5</v>
      </c>
      <c r="P28" s="18">
        <f>N28+O28</f>
        <v>8</v>
      </c>
      <c r="Q28" s="21" t="s">
        <v>197</v>
      </c>
      <c r="R28" s="17" t="s">
        <v>157</v>
      </c>
      <c r="S28" s="18">
        <f>--OR(Overview!$B$6="All",E28=Overview!$B$6)*--OR(Overview!$F$6="All",F28=Overview!$F$6)*--OR(Overview!$J$6="All",G28=Overview!$J$6)*--OR(Overview!$N$6="All",H28=Overview!$N$6)</f>
        <v>1</v>
      </c>
      <c r="T28" s="21" t="s">
        <v>22</v>
      </c>
      <c r="U28" s="21" t="s">
        <v>198</v>
      </c>
      <c r="V28" s="21" t="s">
        <v>22</v>
      </c>
      <c r="W28" s="21" t="s">
        <v>22</v>
      </c>
      <c r="X28" s="21" t="s">
        <v>198</v>
      </c>
      <c r="Y28" s="21" t="s">
        <v>26</v>
      </c>
      <c r="Z28" s="21" t="s">
        <v>22</v>
      </c>
      <c r="AA28" s="21" t="s">
        <v>198</v>
      </c>
      <c r="AB28" s="21" t="s">
        <v>198</v>
      </c>
      <c r="AC28" s="21" t="s">
        <v>22</v>
      </c>
      <c r="AD28" s="21" t="s">
        <v>22</v>
      </c>
      <c r="AE28" s="21" t="s">
        <v>198</v>
      </c>
      <c r="AF28" s="21" t="s">
        <v>26</v>
      </c>
      <c r="AG28" s="21" t="s">
        <v>198</v>
      </c>
      <c r="AH28" s="21" t="s">
        <v>198</v>
      </c>
      <c r="AI28" s="21" t="s">
        <v>198</v>
      </c>
      <c r="AJ28" s="21" t="s">
        <v>22</v>
      </c>
      <c r="AK28" s="21" t="s">
        <v>22</v>
      </c>
      <c r="AL28" s="21" t="s">
        <v>26</v>
      </c>
      <c r="AM28" s="21" t="s">
        <v>83</v>
      </c>
      <c r="AN28" s="21" t="s">
        <v>83</v>
      </c>
      <c r="AO28" s="21" t="s">
        <v>198</v>
      </c>
      <c r="AP28" s="21" t="s">
        <v>83</v>
      </c>
      <c r="AQ28" s="21" t="s">
        <v>198</v>
      </c>
      <c r="AR28" s="21" t="s">
        <v>198</v>
      </c>
      <c r="AS28" s="21" t="s">
        <v>198</v>
      </c>
      <c r="AT28" s="21" t="s">
        <v>198</v>
      </c>
      <c r="AU28" s="21" t="s">
        <v>109</v>
      </c>
      <c r="AV28" s="21" t="s">
        <v>109</v>
      </c>
      <c r="AW28" s="21" t="s">
        <v>109</v>
      </c>
      <c r="AX28" s="21" t="s">
        <v>109</v>
      </c>
      <c r="AY28" s="21" t="s">
        <v>198</v>
      </c>
      <c r="AZ28" s="21" t="s">
        <v>109</v>
      </c>
      <c r="BA28" s="17" t="s">
        <v>210</v>
      </c>
      <c r="BB28" s="17" t="s">
        <v>237</v>
      </c>
      <c r="BC28" s="18">
        <f>--ISNUMBER(SEARCH("Radio or television",BA28))</f>
        <v>0</v>
      </c>
      <c r="BD28" s="18">
        <f>--ISNUMBER(SEARCH("Newspapers or print media",BA28))</f>
        <v>0</v>
      </c>
      <c r="BE28" s="18">
        <f>--ISNUMBER(SEARCH("Social media (e.g. Facebook, WhatsApp, YouTube, X/Twitter)",BA28))</f>
        <v>0</v>
      </c>
      <c r="BF28" s="18">
        <f>--ISNUMBER(SEARCH("Family members",BA28))</f>
        <v>0</v>
      </c>
      <c r="BG28" s="18">
        <f>--ISNUMBER(SEARCH("Friends or fellow students",BA28))</f>
        <v>0</v>
      </c>
      <c r="BH28" s="18">
        <f>--ISNUMBER(SEARCH("School coursework or lectures",BA28))</f>
        <v>1</v>
      </c>
      <c r="BI28" s="18">
        <f>--ISNUMBER(SEARCH("NHIMA outreach activities or NHIMA offices",BA28))</f>
        <v>0</v>
      </c>
      <c r="BJ28" s="18">
        <f>--ISNUMBER(SEARCH("Health facility staff",BA28))</f>
        <v>0</v>
      </c>
      <c r="BK28" s="18">
        <f>--ISNUMBER(SEARCH("not received information",BA28))</f>
        <v>0</v>
      </c>
      <c r="BL28" s="18">
        <f>IF(T28="","",--(T28='Codebook'!$F$13))</f>
        <v>1</v>
      </c>
      <c r="BM28" s="18">
        <f>IF(U28="","",--(U28='Codebook'!$F$14))</f>
        <v>0</v>
      </c>
      <c r="BN28" s="18">
        <f>IF(V28="","",--(V28='Codebook'!$F$15))</f>
        <v>0</v>
      </c>
      <c r="BO28" s="18">
        <f>IF(W28="","",--(W28='Codebook'!$F$16))</f>
        <v>1</v>
      </c>
      <c r="BP28" s="18">
        <f>IF(X28="","",--(X28='Codebook'!$F$17))</f>
        <v>0</v>
      </c>
      <c r="BQ28" s="18">
        <f>IF(Y28="","",--(Y28='Codebook'!$F$18))</f>
        <v>1</v>
      </c>
      <c r="BR28" s="18">
        <f>IF(Z28="","",--(Z28='Codebook'!$F$19))</f>
        <v>1</v>
      </c>
      <c r="BS28" s="18">
        <f>IF(AA28="","",--(AA28='Codebook'!$F$20))</f>
        <v>0</v>
      </c>
      <c r="BT28" s="18">
        <f>IF(AB28="","",--(AB28='Codebook'!$F$21))</f>
        <v>0</v>
      </c>
      <c r="BU28" s="18">
        <f>IF(AC28="","",--(AC28='Codebook'!$F$22))</f>
        <v>1</v>
      </c>
      <c r="BV28" s="18">
        <f>IF(AD28="","",--(AD28='Codebook'!$F$23))</f>
        <v>1</v>
      </c>
      <c r="BW28" s="18">
        <f>IF(AE28="","",--(AE28='Codebook'!$F$24))</f>
        <v>0</v>
      </c>
      <c r="BX28" s="18">
        <f>IF(AF28="","",--(AF28='Codebook'!$F$25))</f>
        <v>1</v>
      </c>
      <c r="BY28" s="18">
        <f>IF(AG28="","",--(AG28='Codebook'!$F$26))</f>
        <v>0</v>
      </c>
      <c r="BZ28" s="18">
        <f>IF(AH28="","",--(AH28='Codebook'!$F$27))</f>
        <v>0</v>
      </c>
      <c r="CA28" s="18">
        <f>IF(AI28="","",--(AI28='Codebook'!$F$28))</f>
        <v>0</v>
      </c>
      <c r="CB28" s="18">
        <f>IF(AJ28="","",--(AJ28='Codebook'!$F$29))</f>
        <v>0</v>
      </c>
      <c r="CC28" s="18">
        <f>IF(AK28="","",--(AK28='Codebook'!$F$30))</f>
        <v>1</v>
      </c>
      <c r="CD28" s="18">
        <f>IF(AL28="","",--(AL28='Codebook'!$F$31))</f>
        <v>1</v>
      </c>
      <c r="CE28" s="18">
        <f>IF(AM28="","",--(AM28='Codebook'!$F$32))</f>
        <v>1</v>
      </c>
      <c r="CF28" s="18">
        <f>IF(AN28="","",--(AN28='Codebook'!$F$33))</f>
        <v>1</v>
      </c>
      <c r="CG28" s="18">
        <f>IF(AO28="","",--(AO28='Codebook'!$F$34))</f>
        <v>0</v>
      </c>
      <c r="CH28" s="18">
        <f>IF(AP28="","",--(AP28='Codebook'!$F$35))</f>
        <v>1</v>
      </c>
      <c r="CI28" s="18">
        <f>IF(AQ28="","",--(AQ28='Codebook'!$F$36))</f>
        <v>0</v>
      </c>
      <c r="CJ28" s="18">
        <f>IF(AR28="","",--(AR28='Codebook'!$F$37))</f>
        <v>0</v>
      </c>
      <c r="CK28" s="18">
        <f>IF(AS28="","",--(AS28='Codebook'!$F$38))</f>
        <v>0</v>
      </c>
      <c r="CL28" s="18">
        <f>IF(AT28="","",--(AT28='Codebook'!$F$39))</f>
        <v>0</v>
      </c>
      <c r="CM28" s="18">
        <f>IF(AU28="","",--(AU28='Codebook'!$F$40))</f>
        <v>1</v>
      </c>
      <c r="CN28" s="18">
        <f>IF(AV28="","",--(AV28='Codebook'!$F$41))</f>
        <v>1</v>
      </c>
      <c r="CO28" s="18">
        <f>IF(AW28="","",--(AW28='Codebook'!$F$42))</f>
        <v>1</v>
      </c>
      <c r="CP28" s="18">
        <f>IF(AX28="","",--(AX28='Codebook'!$F$43))</f>
        <v>1</v>
      </c>
      <c r="CQ28" s="18">
        <f>IF(AY28="","",--(AY28='Codebook'!$F$44))</f>
        <v>0</v>
      </c>
      <c r="CR28" s="18">
        <f>IF(AZ28="","",--(AZ28='Codebook'!$F$45))</f>
        <v>1</v>
      </c>
    </row>
    <row r="29" spans="2:96" ht="24" customHeight="1">
      <c r="B29" s="18">
        <v>24</v>
      </c>
      <c r="C29" s="23">
        <v>46275.91472704861</v>
      </c>
      <c r="D29" s="18">
        <v>22</v>
      </c>
      <c r="E29" s="21" t="s">
        <v>194</v>
      </c>
      <c r="F29" s="21" t="s">
        <v>201</v>
      </c>
      <c r="G29" s="17" t="s">
        <v>202</v>
      </c>
      <c r="H29" s="21" t="s">
        <v>197</v>
      </c>
      <c r="I29" s="18">
        <f>SUM(BL29:BU29)</f>
        <v>5</v>
      </c>
      <c r="J29" s="18">
        <f>IF(COUNT(BV29:CD29)=9,SUM(BV29:CD29),"")</f>
        <v>5</v>
      </c>
      <c r="K29" s="18">
        <f>SUM(BL29:CD29)</f>
        <v>10</v>
      </c>
      <c r="L29" s="18">
        <f>--(K29&gt;='Codebook'!$C$8)</f>
        <v>0</v>
      </c>
      <c r="M29" s="18">
        <f>--(COUNT(BL29:CD29)=19)</f>
        <v>1</v>
      </c>
      <c r="N29" s="18">
        <f>SUM(CE29:CL29)</f>
        <v>4</v>
      </c>
      <c r="O29" s="18">
        <f>SUM(CM29:CR29)</f>
        <v>3</v>
      </c>
      <c r="P29" s="18">
        <f>N29+O29</f>
        <v>7</v>
      </c>
      <c r="Q29" s="21" t="s">
        <v>197</v>
      </c>
      <c r="R29" s="17" t="s">
        <v>158</v>
      </c>
      <c r="S29" s="18">
        <f>--OR(Overview!$B$6="All",E29=Overview!$B$6)*--OR(Overview!$F$6="All",F29=Overview!$F$6)*--OR(Overview!$J$6="All",G29=Overview!$J$6)*--OR(Overview!$N$6="All",H29=Overview!$N$6)</f>
        <v>1</v>
      </c>
      <c r="T29" s="21" t="s">
        <v>22</v>
      </c>
      <c r="U29" s="21" t="s">
        <v>22</v>
      </c>
      <c r="V29" s="21" t="s">
        <v>26</v>
      </c>
      <c r="W29" s="21" t="s">
        <v>26</v>
      </c>
      <c r="X29" s="21" t="s">
        <v>26</v>
      </c>
      <c r="Y29" s="21" t="s">
        <v>26</v>
      </c>
      <c r="Z29" s="21" t="s">
        <v>26</v>
      </c>
      <c r="AA29" s="21" t="s">
        <v>198</v>
      </c>
      <c r="AB29" s="21" t="s">
        <v>26</v>
      </c>
      <c r="AC29" s="21" t="s">
        <v>22</v>
      </c>
      <c r="AD29" s="21" t="s">
        <v>26</v>
      </c>
      <c r="AE29" s="21" t="s">
        <v>22</v>
      </c>
      <c r="AF29" s="21" t="s">
        <v>26</v>
      </c>
      <c r="AG29" s="21" t="s">
        <v>22</v>
      </c>
      <c r="AH29" s="21" t="s">
        <v>26</v>
      </c>
      <c r="AI29" s="21" t="s">
        <v>26</v>
      </c>
      <c r="AJ29" s="21" t="s">
        <v>22</v>
      </c>
      <c r="AK29" s="21" t="s">
        <v>22</v>
      </c>
      <c r="AL29" s="21" t="s">
        <v>22</v>
      </c>
      <c r="AM29" s="21" t="s">
        <v>109</v>
      </c>
      <c r="AN29" s="21" t="s">
        <v>198</v>
      </c>
      <c r="AO29" s="21" t="s">
        <v>83</v>
      </c>
      <c r="AP29" s="21" t="s">
        <v>109</v>
      </c>
      <c r="AQ29" s="21" t="s">
        <v>83</v>
      </c>
      <c r="AR29" s="21" t="s">
        <v>83</v>
      </c>
      <c r="AS29" s="21" t="s">
        <v>109</v>
      </c>
      <c r="AT29" s="21" t="s">
        <v>83</v>
      </c>
      <c r="AU29" s="21" t="s">
        <v>109</v>
      </c>
      <c r="AV29" s="21" t="s">
        <v>109</v>
      </c>
      <c r="AW29" s="21" t="s">
        <v>83</v>
      </c>
      <c r="AX29" s="21" t="s">
        <v>109</v>
      </c>
      <c r="AY29" s="21" t="s">
        <v>198</v>
      </c>
      <c r="AZ29" s="21" t="s">
        <v>83</v>
      </c>
      <c r="BA29" s="17" t="s">
        <v>238</v>
      </c>
      <c r="BB29" s="17" t="s">
        <v>9</v>
      </c>
      <c r="BC29" s="18">
        <f>--ISNUMBER(SEARCH("Radio or television",BA29))</f>
        <v>1</v>
      </c>
      <c r="BD29" s="18">
        <f>--ISNUMBER(SEARCH("Newspapers or print media",BA29))</f>
        <v>0</v>
      </c>
      <c r="BE29" s="18">
        <f>--ISNUMBER(SEARCH("Social media (e.g. Facebook, WhatsApp, YouTube, X/Twitter)",BA29))</f>
        <v>1</v>
      </c>
      <c r="BF29" s="18">
        <f>--ISNUMBER(SEARCH("Family members",BA29))</f>
        <v>1</v>
      </c>
      <c r="BG29" s="18">
        <f>--ISNUMBER(SEARCH("Friends or fellow students",BA29))</f>
        <v>1</v>
      </c>
      <c r="BH29" s="18">
        <f>--ISNUMBER(SEARCH("School coursework or lectures",BA29))</f>
        <v>0</v>
      </c>
      <c r="BI29" s="18">
        <f>--ISNUMBER(SEARCH("NHIMA outreach activities or NHIMA offices",BA29))</f>
        <v>1</v>
      </c>
      <c r="BJ29" s="18">
        <f>--ISNUMBER(SEARCH("Health facility staff",BA29))</f>
        <v>1</v>
      </c>
      <c r="BK29" s="18">
        <f>--ISNUMBER(SEARCH("not received information",BA29))</f>
        <v>0</v>
      </c>
      <c r="BL29" s="18">
        <f>IF(T29="","",--(T29='Codebook'!$F$13))</f>
        <v>1</v>
      </c>
      <c r="BM29" s="18">
        <f>IF(U29="","",--(U29='Codebook'!$F$14))</f>
        <v>0</v>
      </c>
      <c r="BN29" s="18">
        <f>IF(V29="","",--(V29='Codebook'!$F$15))</f>
        <v>1</v>
      </c>
      <c r="BO29" s="18">
        <f>IF(W29="","",--(W29='Codebook'!$F$16))</f>
        <v>0</v>
      </c>
      <c r="BP29" s="18">
        <f>IF(X29="","",--(X29='Codebook'!$F$17))</f>
        <v>0</v>
      </c>
      <c r="BQ29" s="18">
        <f>IF(Y29="","",--(Y29='Codebook'!$F$18))</f>
        <v>1</v>
      </c>
      <c r="BR29" s="18">
        <f>IF(Z29="","",--(Z29='Codebook'!$F$19))</f>
        <v>0</v>
      </c>
      <c r="BS29" s="18">
        <f>IF(AA29="","",--(AA29='Codebook'!$F$20))</f>
        <v>0</v>
      </c>
      <c r="BT29" s="18">
        <f>IF(AB29="","",--(AB29='Codebook'!$F$21))</f>
        <v>1</v>
      </c>
      <c r="BU29" s="18">
        <f>IF(AC29="","",--(AC29='Codebook'!$F$22))</f>
        <v>1</v>
      </c>
      <c r="BV29" s="18">
        <f>IF(AD29="","",--(AD29='Codebook'!$F$23))</f>
        <v>0</v>
      </c>
      <c r="BW29" s="18">
        <f>IF(AE29="","",--(AE29='Codebook'!$F$24))</f>
        <v>1</v>
      </c>
      <c r="BX29" s="18">
        <f>IF(AF29="","",--(AF29='Codebook'!$F$25))</f>
        <v>1</v>
      </c>
      <c r="BY29" s="18">
        <f>IF(AG29="","",--(AG29='Codebook'!$F$26))</f>
        <v>1</v>
      </c>
      <c r="BZ29" s="18">
        <f>IF(AH29="","",--(AH29='Codebook'!$F$27))</f>
        <v>0</v>
      </c>
      <c r="CA29" s="18">
        <f>IF(AI29="","",--(AI29='Codebook'!$F$28))</f>
        <v>1</v>
      </c>
      <c r="CB29" s="18">
        <f>IF(AJ29="","",--(AJ29='Codebook'!$F$29))</f>
        <v>0</v>
      </c>
      <c r="CC29" s="18">
        <f>IF(AK29="","",--(AK29='Codebook'!$F$30))</f>
        <v>1</v>
      </c>
      <c r="CD29" s="18">
        <f>IF(AL29="","",--(AL29='Codebook'!$F$31))</f>
        <v>0</v>
      </c>
      <c r="CE29" s="18">
        <f>IF(AM29="","",--(AM29='Codebook'!$F$32))</f>
        <v>0</v>
      </c>
      <c r="CF29" s="18">
        <f>IF(AN29="","",--(AN29='Codebook'!$F$33))</f>
        <v>0</v>
      </c>
      <c r="CG29" s="18">
        <f>IF(AO29="","",--(AO29='Codebook'!$F$34))</f>
        <v>1</v>
      </c>
      <c r="CH29" s="18">
        <f>IF(AP29="","",--(AP29='Codebook'!$F$35))</f>
        <v>0</v>
      </c>
      <c r="CI29" s="18">
        <f>IF(AQ29="","",--(AQ29='Codebook'!$F$36))</f>
        <v>1</v>
      </c>
      <c r="CJ29" s="18">
        <f>IF(AR29="","",--(AR29='Codebook'!$F$37))</f>
        <v>1</v>
      </c>
      <c r="CK29" s="18">
        <f>IF(AS29="","",--(AS29='Codebook'!$F$38))</f>
        <v>0</v>
      </c>
      <c r="CL29" s="18">
        <f>IF(AT29="","",--(AT29='Codebook'!$F$39))</f>
        <v>1</v>
      </c>
      <c r="CM29" s="18">
        <f>IF(AU29="","",--(AU29='Codebook'!$F$40))</f>
        <v>1</v>
      </c>
      <c r="CN29" s="18">
        <f>IF(AV29="","",--(AV29='Codebook'!$F$41))</f>
        <v>1</v>
      </c>
      <c r="CO29" s="18">
        <f>IF(AW29="","",--(AW29='Codebook'!$F$42))</f>
        <v>0</v>
      </c>
      <c r="CP29" s="18">
        <f>IF(AX29="","",--(AX29='Codebook'!$F$43))</f>
        <v>1</v>
      </c>
      <c r="CQ29" s="18">
        <f>IF(AY29="","",--(AY29='Codebook'!$F$44))</f>
        <v>0</v>
      </c>
      <c r="CR29" s="18">
        <f>IF(AZ29="","",--(AZ29='Codebook'!$F$45))</f>
        <v>0</v>
      </c>
    </row>
    <row r="30" spans="2:96" ht="24" customHeight="1">
      <c r="B30" s="18">
        <v>25</v>
      </c>
      <c r="C30" s="23">
        <v>46275.93466344907</v>
      </c>
      <c r="D30" s="18">
        <v>25</v>
      </c>
      <c r="E30" s="21" t="s">
        <v>206</v>
      </c>
      <c r="F30" s="21" t="s">
        <v>212</v>
      </c>
      <c r="G30" s="17" t="s">
        <v>224</v>
      </c>
      <c r="H30" s="21" t="s">
        <v>207</v>
      </c>
      <c r="I30" s="18">
        <f>SUM(BL30:BU30)</f>
        <v>7</v>
      </c>
      <c r="J30" s="18">
        <f>IF(COUNT(BV30:CD30)=9,SUM(BV30:CD30),"")</f>
        <v>5</v>
      </c>
      <c r="K30" s="18">
        <f>SUM(BL30:CD30)</f>
        <v>12</v>
      </c>
      <c r="L30" s="18">
        <f>--(K30&gt;='Codebook'!$C$8)</f>
        <v>1</v>
      </c>
      <c r="M30" s="18">
        <f>--(COUNT(BL30:CD30)=19)</f>
        <v>1</v>
      </c>
      <c r="N30" s="18">
        <f>SUM(CE30:CL30)</f>
        <v>8</v>
      </c>
      <c r="O30" s="18">
        <f>SUM(CM30:CR30)</f>
        <v>3</v>
      </c>
      <c r="P30" s="18">
        <f>N30+O30</f>
        <v>11</v>
      </c>
      <c r="Q30" s="21" t="s">
        <v>198</v>
      </c>
      <c r="R30" s="17" t="s">
        <v>152</v>
      </c>
      <c r="S30" s="18">
        <f>--OR(Overview!$B$6="All",E30=Overview!$B$6)*--OR(Overview!$F$6="All",F30=Overview!$F$6)*--OR(Overview!$J$6="All",G30=Overview!$J$6)*--OR(Overview!$N$6="All",H30=Overview!$N$6)</f>
        <v>1</v>
      </c>
      <c r="T30" s="21" t="s">
        <v>22</v>
      </c>
      <c r="U30" s="21" t="s">
        <v>22</v>
      </c>
      <c r="V30" s="21" t="s">
        <v>22</v>
      </c>
      <c r="W30" s="21" t="s">
        <v>22</v>
      </c>
      <c r="X30" s="21" t="s">
        <v>22</v>
      </c>
      <c r="Y30" s="21" t="s">
        <v>22</v>
      </c>
      <c r="Z30" s="21" t="s">
        <v>22</v>
      </c>
      <c r="AA30" s="21" t="s">
        <v>22</v>
      </c>
      <c r="AB30" s="21" t="s">
        <v>26</v>
      </c>
      <c r="AC30" s="21" t="s">
        <v>22</v>
      </c>
      <c r="AD30" s="21" t="s">
        <v>22</v>
      </c>
      <c r="AE30" s="21" t="s">
        <v>22</v>
      </c>
      <c r="AF30" s="21" t="s">
        <v>22</v>
      </c>
      <c r="AG30" s="21" t="s">
        <v>22</v>
      </c>
      <c r="AH30" s="21" t="s">
        <v>22</v>
      </c>
      <c r="AI30" s="21" t="s">
        <v>22</v>
      </c>
      <c r="AJ30" s="21" t="s">
        <v>22</v>
      </c>
      <c r="AK30" s="21" t="s">
        <v>22</v>
      </c>
      <c r="AL30" s="21" t="s">
        <v>22</v>
      </c>
      <c r="AM30" s="21" t="s">
        <v>83</v>
      </c>
      <c r="AN30" s="21" t="s">
        <v>83</v>
      </c>
      <c r="AO30" s="21" t="s">
        <v>83</v>
      </c>
      <c r="AP30" s="21" t="s">
        <v>83</v>
      </c>
      <c r="AQ30" s="21" t="s">
        <v>83</v>
      </c>
      <c r="AR30" s="21" t="s">
        <v>83</v>
      </c>
      <c r="AS30" s="21" t="s">
        <v>83</v>
      </c>
      <c r="AT30" s="21" t="s">
        <v>83</v>
      </c>
      <c r="AU30" s="21" t="s">
        <v>109</v>
      </c>
      <c r="AV30" s="21" t="s">
        <v>83</v>
      </c>
      <c r="AW30" s="21" t="s">
        <v>83</v>
      </c>
      <c r="AX30" s="21" t="s">
        <v>109</v>
      </c>
      <c r="AY30" s="21" t="s">
        <v>109</v>
      </c>
      <c r="AZ30" s="21" t="s">
        <v>83</v>
      </c>
      <c r="BA30" s="17" t="s">
        <v>239</v>
      </c>
      <c r="BB30" s="17" t="s">
        <v>240</v>
      </c>
      <c r="BC30" s="18">
        <f>--ISNUMBER(SEARCH("Radio or television",BA30))</f>
        <v>1</v>
      </c>
      <c r="BD30" s="18">
        <f>--ISNUMBER(SEARCH("Newspapers or print media",BA30))</f>
        <v>0</v>
      </c>
      <c r="BE30" s="18">
        <f>--ISNUMBER(SEARCH("Social media (e.g. Facebook, WhatsApp, YouTube, X/Twitter)",BA30))</f>
        <v>0</v>
      </c>
      <c r="BF30" s="18">
        <f>--ISNUMBER(SEARCH("Family members",BA30))</f>
        <v>0</v>
      </c>
      <c r="BG30" s="18">
        <f>--ISNUMBER(SEARCH("Friends or fellow students",BA30))</f>
        <v>0</v>
      </c>
      <c r="BH30" s="18">
        <f>--ISNUMBER(SEARCH("School coursework or lectures",BA30))</f>
        <v>0</v>
      </c>
      <c r="BI30" s="18">
        <f>--ISNUMBER(SEARCH("NHIMA outreach activities or NHIMA offices",BA30))</f>
        <v>0</v>
      </c>
      <c r="BJ30" s="18">
        <f>--ISNUMBER(SEARCH("Health facility staff",BA30))</f>
        <v>1</v>
      </c>
      <c r="BK30" s="18">
        <f>--ISNUMBER(SEARCH("not received information",BA30))</f>
        <v>0</v>
      </c>
      <c r="BL30" s="18">
        <f>IF(T30="","",--(T30='Codebook'!$F$13))</f>
        <v>1</v>
      </c>
      <c r="BM30" s="18">
        <f>IF(U30="","",--(U30='Codebook'!$F$14))</f>
        <v>0</v>
      </c>
      <c r="BN30" s="18">
        <f>IF(V30="","",--(V30='Codebook'!$F$15))</f>
        <v>0</v>
      </c>
      <c r="BO30" s="18">
        <f>IF(W30="","",--(W30='Codebook'!$F$16))</f>
        <v>1</v>
      </c>
      <c r="BP30" s="18">
        <f>IF(X30="","",--(X30='Codebook'!$F$17))</f>
        <v>1</v>
      </c>
      <c r="BQ30" s="18">
        <f>IF(Y30="","",--(Y30='Codebook'!$F$18))</f>
        <v>0</v>
      </c>
      <c r="BR30" s="18">
        <f>IF(Z30="","",--(Z30='Codebook'!$F$19))</f>
        <v>1</v>
      </c>
      <c r="BS30" s="18">
        <f>IF(AA30="","",--(AA30='Codebook'!$F$20))</f>
        <v>1</v>
      </c>
      <c r="BT30" s="18">
        <f>IF(AB30="","",--(AB30='Codebook'!$F$21))</f>
        <v>1</v>
      </c>
      <c r="BU30" s="18">
        <f>IF(AC30="","",--(AC30='Codebook'!$F$22))</f>
        <v>1</v>
      </c>
      <c r="BV30" s="18">
        <f>IF(AD30="","",--(AD30='Codebook'!$F$23))</f>
        <v>1</v>
      </c>
      <c r="BW30" s="18">
        <f>IF(AE30="","",--(AE30='Codebook'!$F$24))</f>
        <v>1</v>
      </c>
      <c r="BX30" s="18">
        <f>IF(AF30="","",--(AF30='Codebook'!$F$25))</f>
        <v>0</v>
      </c>
      <c r="BY30" s="18">
        <f>IF(AG30="","",--(AG30='Codebook'!$F$26))</f>
        <v>1</v>
      </c>
      <c r="BZ30" s="18">
        <f>IF(AH30="","",--(AH30='Codebook'!$F$27))</f>
        <v>1</v>
      </c>
      <c r="CA30" s="18">
        <f>IF(AI30="","",--(AI30='Codebook'!$F$28))</f>
        <v>0</v>
      </c>
      <c r="CB30" s="18">
        <f>IF(AJ30="","",--(AJ30='Codebook'!$F$29))</f>
        <v>0</v>
      </c>
      <c r="CC30" s="18">
        <f>IF(AK30="","",--(AK30='Codebook'!$F$30))</f>
        <v>1</v>
      </c>
      <c r="CD30" s="18">
        <f>IF(AL30="","",--(AL30='Codebook'!$F$31))</f>
        <v>0</v>
      </c>
      <c r="CE30" s="18">
        <f>IF(AM30="","",--(AM30='Codebook'!$F$32))</f>
        <v>1</v>
      </c>
      <c r="CF30" s="18">
        <f>IF(AN30="","",--(AN30='Codebook'!$F$33))</f>
        <v>1</v>
      </c>
      <c r="CG30" s="18">
        <f>IF(AO30="","",--(AO30='Codebook'!$F$34))</f>
        <v>1</v>
      </c>
      <c r="CH30" s="18">
        <f>IF(AP30="","",--(AP30='Codebook'!$F$35))</f>
        <v>1</v>
      </c>
      <c r="CI30" s="18">
        <f>IF(AQ30="","",--(AQ30='Codebook'!$F$36))</f>
        <v>1</v>
      </c>
      <c r="CJ30" s="18">
        <f>IF(AR30="","",--(AR30='Codebook'!$F$37))</f>
        <v>1</v>
      </c>
      <c r="CK30" s="18">
        <f>IF(AS30="","",--(AS30='Codebook'!$F$38))</f>
        <v>1</v>
      </c>
      <c r="CL30" s="18">
        <f>IF(AT30="","",--(AT30='Codebook'!$F$39))</f>
        <v>1</v>
      </c>
      <c r="CM30" s="18">
        <f>IF(AU30="","",--(AU30='Codebook'!$F$40))</f>
        <v>1</v>
      </c>
      <c r="CN30" s="18">
        <f>IF(AV30="","",--(AV30='Codebook'!$F$41))</f>
        <v>0</v>
      </c>
      <c r="CO30" s="18">
        <f>IF(AW30="","",--(AW30='Codebook'!$F$42))</f>
        <v>0</v>
      </c>
      <c r="CP30" s="18">
        <f>IF(AX30="","",--(AX30='Codebook'!$F$43))</f>
        <v>1</v>
      </c>
      <c r="CQ30" s="18">
        <f>IF(AY30="","",--(AY30='Codebook'!$F$44))</f>
        <v>1</v>
      </c>
      <c r="CR30" s="18">
        <f>IF(AZ30="","",--(AZ30='Codebook'!$F$45))</f>
        <v>0</v>
      </c>
    </row>
    <row r="31" spans="2:96" ht="24" customHeight="1">
      <c r="B31" s="18">
        <v>26</v>
      </c>
      <c r="C31" s="23">
        <v>46275.93693810186</v>
      </c>
      <c r="D31" s="18">
        <v>23</v>
      </c>
      <c r="E31" s="21" t="s">
        <v>206</v>
      </c>
      <c r="F31" s="21" t="s">
        <v>195</v>
      </c>
      <c r="G31" s="17" t="s">
        <v>202</v>
      </c>
      <c r="H31" s="21" t="s">
        <v>207</v>
      </c>
      <c r="I31" s="18">
        <f>SUM(BL31:BU31)</f>
        <v>6</v>
      </c>
      <c r="J31" s="18">
        <f>IF(COUNT(BV31:CD31)=9,SUM(BV31:CD31),"")</f>
        <v>5</v>
      </c>
      <c r="K31" s="18">
        <f>SUM(BL31:CD31)</f>
        <v>11</v>
      </c>
      <c r="L31" s="18">
        <f>--(K31&gt;='Codebook'!$C$8)</f>
        <v>0</v>
      </c>
      <c r="M31" s="18">
        <f>--(COUNT(BL31:CD31)=19)</f>
        <v>1</v>
      </c>
      <c r="N31" s="18">
        <f>SUM(CE31:CL31)</f>
        <v>8</v>
      </c>
      <c r="O31" s="18">
        <f>SUM(CM31:CR31)</f>
        <v>6</v>
      </c>
      <c r="P31" s="18">
        <f>N31+O31</f>
        <v>14</v>
      </c>
      <c r="Q31" s="21" t="s">
        <v>198</v>
      </c>
      <c r="R31" s="17" t="s">
        <v>216</v>
      </c>
      <c r="S31" s="18">
        <f>--OR(Overview!$B$6="All",E31=Overview!$B$6)*--OR(Overview!$F$6="All",F31=Overview!$F$6)*--OR(Overview!$J$6="All",G31=Overview!$J$6)*--OR(Overview!$N$6="All",H31=Overview!$N$6)</f>
        <v>1</v>
      </c>
      <c r="T31" s="21" t="s">
        <v>22</v>
      </c>
      <c r="U31" s="21" t="s">
        <v>22</v>
      </c>
      <c r="V31" s="21" t="s">
        <v>22</v>
      </c>
      <c r="W31" s="21" t="s">
        <v>22</v>
      </c>
      <c r="X31" s="21" t="s">
        <v>22</v>
      </c>
      <c r="Y31" s="21" t="s">
        <v>22</v>
      </c>
      <c r="Z31" s="21" t="s">
        <v>22</v>
      </c>
      <c r="AA31" s="21" t="s">
        <v>22</v>
      </c>
      <c r="AB31" s="21" t="s">
        <v>22</v>
      </c>
      <c r="AC31" s="21" t="s">
        <v>22</v>
      </c>
      <c r="AD31" s="21" t="s">
        <v>22</v>
      </c>
      <c r="AE31" s="21" t="s">
        <v>22</v>
      </c>
      <c r="AF31" s="21" t="s">
        <v>22</v>
      </c>
      <c r="AG31" s="21" t="s">
        <v>22</v>
      </c>
      <c r="AH31" s="21" t="s">
        <v>22</v>
      </c>
      <c r="AI31" s="21" t="s">
        <v>22</v>
      </c>
      <c r="AJ31" s="21" t="s">
        <v>22</v>
      </c>
      <c r="AK31" s="21" t="s">
        <v>22</v>
      </c>
      <c r="AL31" s="21" t="s">
        <v>22</v>
      </c>
      <c r="AM31" s="21" t="s">
        <v>83</v>
      </c>
      <c r="AN31" s="21" t="s">
        <v>83</v>
      </c>
      <c r="AO31" s="21" t="s">
        <v>83</v>
      </c>
      <c r="AP31" s="21" t="s">
        <v>83</v>
      </c>
      <c r="AQ31" s="21" t="s">
        <v>83</v>
      </c>
      <c r="AR31" s="21" t="s">
        <v>83</v>
      </c>
      <c r="AS31" s="21" t="s">
        <v>83</v>
      </c>
      <c r="AT31" s="21" t="s">
        <v>83</v>
      </c>
      <c r="AU31" s="21" t="s">
        <v>109</v>
      </c>
      <c r="AV31" s="21" t="s">
        <v>109</v>
      </c>
      <c r="AW31" s="21" t="s">
        <v>109</v>
      </c>
      <c r="AX31" s="21" t="s">
        <v>109</v>
      </c>
      <c r="AY31" s="21" t="s">
        <v>109</v>
      </c>
      <c r="AZ31" s="21" t="s">
        <v>109</v>
      </c>
      <c r="BA31" s="17" t="s">
        <v>241</v>
      </c>
      <c r="BB31" s="17" t="s">
        <v>242</v>
      </c>
      <c r="BC31" s="18">
        <f>--ISNUMBER(SEARCH("Radio or television",BA31))</f>
        <v>1</v>
      </c>
      <c r="BD31" s="18">
        <f>--ISNUMBER(SEARCH("Newspapers or print media",BA31))</f>
        <v>0</v>
      </c>
      <c r="BE31" s="18">
        <f>--ISNUMBER(SEARCH("Social media (e.g. Facebook, WhatsApp, YouTube, X/Twitter)",BA31))</f>
        <v>1</v>
      </c>
      <c r="BF31" s="18">
        <f>--ISNUMBER(SEARCH("Family members",BA31))</f>
        <v>0</v>
      </c>
      <c r="BG31" s="18">
        <f>--ISNUMBER(SEARCH("Friends or fellow students",BA31))</f>
        <v>1</v>
      </c>
      <c r="BH31" s="18">
        <f>--ISNUMBER(SEARCH("School coursework or lectures",BA31))</f>
        <v>1</v>
      </c>
      <c r="BI31" s="18">
        <f>--ISNUMBER(SEARCH("NHIMA outreach activities or NHIMA offices",BA31))</f>
        <v>0</v>
      </c>
      <c r="BJ31" s="18">
        <f>--ISNUMBER(SEARCH("Health facility staff",BA31))</f>
        <v>1</v>
      </c>
      <c r="BK31" s="18">
        <f>--ISNUMBER(SEARCH("not received information",BA31))</f>
        <v>0</v>
      </c>
      <c r="BL31" s="18">
        <f>IF(T31="","",--(T31='Codebook'!$F$13))</f>
        <v>1</v>
      </c>
      <c r="BM31" s="18">
        <f>IF(U31="","",--(U31='Codebook'!$F$14))</f>
        <v>0</v>
      </c>
      <c r="BN31" s="18">
        <f>IF(V31="","",--(V31='Codebook'!$F$15))</f>
        <v>0</v>
      </c>
      <c r="BO31" s="18">
        <f>IF(W31="","",--(W31='Codebook'!$F$16))</f>
        <v>1</v>
      </c>
      <c r="BP31" s="18">
        <f>IF(X31="","",--(X31='Codebook'!$F$17))</f>
        <v>1</v>
      </c>
      <c r="BQ31" s="18">
        <f>IF(Y31="","",--(Y31='Codebook'!$F$18))</f>
        <v>0</v>
      </c>
      <c r="BR31" s="18">
        <f>IF(Z31="","",--(Z31='Codebook'!$F$19))</f>
        <v>1</v>
      </c>
      <c r="BS31" s="18">
        <f>IF(AA31="","",--(AA31='Codebook'!$F$20))</f>
        <v>1</v>
      </c>
      <c r="BT31" s="18">
        <f>IF(AB31="","",--(AB31='Codebook'!$F$21))</f>
        <v>0</v>
      </c>
      <c r="BU31" s="18">
        <f>IF(AC31="","",--(AC31='Codebook'!$F$22))</f>
        <v>1</v>
      </c>
      <c r="BV31" s="18">
        <f>IF(AD31="","",--(AD31='Codebook'!$F$23))</f>
        <v>1</v>
      </c>
      <c r="BW31" s="18">
        <f>IF(AE31="","",--(AE31='Codebook'!$F$24))</f>
        <v>1</v>
      </c>
      <c r="BX31" s="18">
        <f>IF(AF31="","",--(AF31='Codebook'!$F$25))</f>
        <v>0</v>
      </c>
      <c r="BY31" s="18">
        <f>IF(AG31="","",--(AG31='Codebook'!$F$26))</f>
        <v>1</v>
      </c>
      <c r="BZ31" s="18">
        <f>IF(AH31="","",--(AH31='Codebook'!$F$27))</f>
        <v>1</v>
      </c>
      <c r="CA31" s="18">
        <f>IF(AI31="","",--(AI31='Codebook'!$F$28))</f>
        <v>0</v>
      </c>
      <c r="CB31" s="18">
        <f>IF(AJ31="","",--(AJ31='Codebook'!$F$29))</f>
        <v>0</v>
      </c>
      <c r="CC31" s="18">
        <f>IF(AK31="","",--(AK31='Codebook'!$F$30))</f>
        <v>1</v>
      </c>
      <c r="CD31" s="18">
        <f>IF(AL31="","",--(AL31='Codebook'!$F$31))</f>
        <v>0</v>
      </c>
      <c r="CE31" s="18">
        <f>IF(AM31="","",--(AM31='Codebook'!$F$32))</f>
        <v>1</v>
      </c>
      <c r="CF31" s="18">
        <f>IF(AN31="","",--(AN31='Codebook'!$F$33))</f>
        <v>1</v>
      </c>
      <c r="CG31" s="18">
        <f>IF(AO31="","",--(AO31='Codebook'!$F$34))</f>
        <v>1</v>
      </c>
      <c r="CH31" s="18">
        <f>IF(AP31="","",--(AP31='Codebook'!$F$35))</f>
        <v>1</v>
      </c>
      <c r="CI31" s="18">
        <f>IF(AQ31="","",--(AQ31='Codebook'!$F$36))</f>
        <v>1</v>
      </c>
      <c r="CJ31" s="18">
        <f>IF(AR31="","",--(AR31='Codebook'!$F$37))</f>
        <v>1</v>
      </c>
      <c r="CK31" s="18">
        <f>IF(AS31="","",--(AS31='Codebook'!$F$38))</f>
        <v>1</v>
      </c>
      <c r="CL31" s="18">
        <f>IF(AT31="","",--(AT31='Codebook'!$F$39))</f>
        <v>1</v>
      </c>
      <c r="CM31" s="18">
        <f>IF(AU31="","",--(AU31='Codebook'!$F$40))</f>
        <v>1</v>
      </c>
      <c r="CN31" s="18">
        <f>IF(AV31="","",--(AV31='Codebook'!$F$41))</f>
        <v>1</v>
      </c>
      <c r="CO31" s="18">
        <f>IF(AW31="","",--(AW31='Codebook'!$F$42))</f>
        <v>1</v>
      </c>
      <c r="CP31" s="18">
        <f>IF(AX31="","",--(AX31='Codebook'!$F$43))</f>
        <v>1</v>
      </c>
      <c r="CQ31" s="18">
        <f>IF(AY31="","",--(AY31='Codebook'!$F$44))</f>
        <v>1</v>
      </c>
      <c r="CR31" s="18">
        <f>IF(AZ31="","",--(AZ31='Codebook'!$F$45))</f>
        <v>1</v>
      </c>
    </row>
    <row r="32" spans="2:96" ht="24" customHeight="1">
      <c r="B32" s="18">
        <v>27</v>
      </c>
      <c r="C32" s="23">
        <v>46276.36929585648</v>
      </c>
      <c r="D32" s="18">
        <v>24</v>
      </c>
      <c r="E32" s="21" t="s">
        <v>194</v>
      </c>
      <c r="F32" s="21" t="s">
        <v>212</v>
      </c>
      <c r="G32" s="17" t="s">
        <v>224</v>
      </c>
      <c r="H32" s="21" t="s">
        <v>207</v>
      </c>
      <c r="I32" s="18">
        <f>SUM(BL32:BU32)</f>
        <v>7</v>
      </c>
      <c r="J32" s="18">
        <f>IF(COUNT(BV32:CD32)=9,SUM(BV32:CD32),"")</f>
        <v>4</v>
      </c>
      <c r="K32" s="18">
        <f>SUM(BL32:CD32)</f>
        <v>11</v>
      </c>
      <c r="L32" s="18">
        <f>--(K32&gt;='Codebook'!$C$8)</f>
        <v>0</v>
      </c>
      <c r="M32" s="18">
        <f>--(COUNT(BL32:CD32)=19)</f>
        <v>1</v>
      </c>
      <c r="N32" s="18">
        <f>SUM(CE32:CL32)</f>
        <v>8</v>
      </c>
      <c r="O32" s="18">
        <f>SUM(CM32:CR32)</f>
        <v>0</v>
      </c>
      <c r="P32" s="18">
        <f>N32+O32</f>
        <v>8</v>
      </c>
      <c r="Q32" s="21" t="s">
        <v>198</v>
      </c>
      <c r="R32" s="17" t="s">
        <v>154</v>
      </c>
      <c r="S32" s="18">
        <f>--OR(Overview!$B$6="All",E32=Overview!$B$6)*--OR(Overview!$F$6="All",F32=Overview!$F$6)*--OR(Overview!$J$6="All",G32=Overview!$J$6)*--OR(Overview!$N$6="All",H32=Overview!$N$6)</f>
        <v>1</v>
      </c>
      <c r="T32" s="21" t="s">
        <v>22</v>
      </c>
      <c r="U32" s="21" t="s">
        <v>22</v>
      </c>
      <c r="V32" s="21" t="s">
        <v>22</v>
      </c>
      <c r="W32" s="21" t="s">
        <v>22</v>
      </c>
      <c r="X32" s="21" t="s">
        <v>22</v>
      </c>
      <c r="Y32" s="21" t="s">
        <v>22</v>
      </c>
      <c r="Z32" s="21" t="s">
        <v>22</v>
      </c>
      <c r="AA32" s="21" t="s">
        <v>22</v>
      </c>
      <c r="AB32" s="21" t="s">
        <v>26</v>
      </c>
      <c r="AC32" s="21" t="s">
        <v>22</v>
      </c>
      <c r="AD32" s="21" t="s">
        <v>22</v>
      </c>
      <c r="AE32" s="21" t="s">
        <v>22</v>
      </c>
      <c r="AF32" s="21" t="s">
        <v>198</v>
      </c>
      <c r="AG32" s="21" t="s">
        <v>198</v>
      </c>
      <c r="AH32" s="21" t="s">
        <v>22</v>
      </c>
      <c r="AI32" s="21" t="s">
        <v>198</v>
      </c>
      <c r="AJ32" s="21" t="s">
        <v>22</v>
      </c>
      <c r="AK32" s="21" t="s">
        <v>22</v>
      </c>
      <c r="AL32" s="21" t="s">
        <v>22</v>
      </c>
      <c r="AM32" s="21" t="s">
        <v>83</v>
      </c>
      <c r="AN32" s="21" t="s">
        <v>83</v>
      </c>
      <c r="AO32" s="21" t="s">
        <v>83</v>
      </c>
      <c r="AP32" s="21" t="s">
        <v>83</v>
      </c>
      <c r="AQ32" s="21" t="s">
        <v>83</v>
      </c>
      <c r="AR32" s="21" t="s">
        <v>83</v>
      </c>
      <c r="AS32" s="21" t="s">
        <v>83</v>
      </c>
      <c r="AT32" s="21" t="s">
        <v>83</v>
      </c>
      <c r="AU32" s="21" t="s">
        <v>83</v>
      </c>
      <c r="AV32" s="21" t="s">
        <v>83</v>
      </c>
      <c r="AW32" s="21" t="s">
        <v>83</v>
      </c>
      <c r="AX32" s="21" t="s">
        <v>83</v>
      </c>
      <c r="AY32" s="21" t="s">
        <v>83</v>
      </c>
      <c r="AZ32" s="21" t="s">
        <v>83</v>
      </c>
      <c r="BA32" s="17" t="s">
        <v>243</v>
      </c>
      <c r="BB32" s="17" t="s">
        <v>154</v>
      </c>
      <c r="BC32" s="18">
        <f>--ISNUMBER(SEARCH("Radio or television",BA32))</f>
        <v>1</v>
      </c>
      <c r="BD32" s="18">
        <f>--ISNUMBER(SEARCH("Newspapers or print media",BA32))</f>
        <v>0</v>
      </c>
      <c r="BE32" s="18">
        <f>--ISNUMBER(SEARCH("Social media (e.g. Facebook, WhatsApp, YouTube, X/Twitter)",BA32))</f>
        <v>1</v>
      </c>
      <c r="BF32" s="18">
        <f>--ISNUMBER(SEARCH("Family members",BA32))</f>
        <v>0</v>
      </c>
      <c r="BG32" s="18">
        <f>--ISNUMBER(SEARCH("Friends or fellow students",BA32))</f>
        <v>1</v>
      </c>
      <c r="BH32" s="18">
        <f>--ISNUMBER(SEARCH("School coursework or lectures",BA32))</f>
        <v>0</v>
      </c>
      <c r="BI32" s="18">
        <f>--ISNUMBER(SEARCH("NHIMA outreach activities or NHIMA offices",BA32))</f>
        <v>0</v>
      </c>
      <c r="BJ32" s="18">
        <f>--ISNUMBER(SEARCH("Health facility staff",BA32))</f>
        <v>1</v>
      </c>
      <c r="BK32" s="18">
        <f>--ISNUMBER(SEARCH("not received information",BA32))</f>
        <v>0</v>
      </c>
      <c r="BL32" s="18">
        <f>IF(T32="","",--(T32='Codebook'!$F$13))</f>
        <v>1</v>
      </c>
      <c r="BM32" s="18">
        <f>IF(U32="","",--(U32='Codebook'!$F$14))</f>
        <v>0</v>
      </c>
      <c r="BN32" s="18">
        <f>IF(V32="","",--(V32='Codebook'!$F$15))</f>
        <v>0</v>
      </c>
      <c r="BO32" s="18">
        <f>IF(W32="","",--(W32='Codebook'!$F$16))</f>
        <v>1</v>
      </c>
      <c r="BP32" s="18">
        <f>IF(X32="","",--(X32='Codebook'!$F$17))</f>
        <v>1</v>
      </c>
      <c r="BQ32" s="18">
        <f>IF(Y32="","",--(Y32='Codebook'!$F$18))</f>
        <v>0</v>
      </c>
      <c r="BR32" s="18">
        <f>IF(Z32="","",--(Z32='Codebook'!$F$19))</f>
        <v>1</v>
      </c>
      <c r="BS32" s="18">
        <f>IF(AA32="","",--(AA32='Codebook'!$F$20))</f>
        <v>1</v>
      </c>
      <c r="BT32" s="18">
        <f>IF(AB32="","",--(AB32='Codebook'!$F$21))</f>
        <v>1</v>
      </c>
      <c r="BU32" s="18">
        <f>IF(AC32="","",--(AC32='Codebook'!$F$22))</f>
        <v>1</v>
      </c>
      <c r="BV32" s="18">
        <f>IF(AD32="","",--(AD32='Codebook'!$F$23))</f>
        <v>1</v>
      </c>
      <c r="BW32" s="18">
        <f>IF(AE32="","",--(AE32='Codebook'!$F$24))</f>
        <v>1</v>
      </c>
      <c r="BX32" s="18">
        <f>IF(AF32="","",--(AF32='Codebook'!$F$25))</f>
        <v>0</v>
      </c>
      <c r="BY32" s="18">
        <f>IF(AG32="","",--(AG32='Codebook'!$F$26))</f>
        <v>0</v>
      </c>
      <c r="BZ32" s="18">
        <f>IF(AH32="","",--(AH32='Codebook'!$F$27))</f>
        <v>1</v>
      </c>
      <c r="CA32" s="18">
        <f>IF(AI32="","",--(AI32='Codebook'!$F$28))</f>
        <v>0</v>
      </c>
      <c r="CB32" s="18">
        <f>IF(AJ32="","",--(AJ32='Codebook'!$F$29))</f>
        <v>0</v>
      </c>
      <c r="CC32" s="18">
        <f>IF(AK32="","",--(AK32='Codebook'!$F$30))</f>
        <v>1</v>
      </c>
      <c r="CD32" s="18">
        <f>IF(AL32="","",--(AL32='Codebook'!$F$31))</f>
        <v>0</v>
      </c>
      <c r="CE32" s="18">
        <f>IF(AM32="","",--(AM32='Codebook'!$F$32))</f>
        <v>1</v>
      </c>
      <c r="CF32" s="18">
        <f>IF(AN32="","",--(AN32='Codebook'!$F$33))</f>
        <v>1</v>
      </c>
      <c r="CG32" s="18">
        <f>IF(AO32="","",--(AO32='Codebook'!$F$34))</f>
        <v>1</v>
      </c>
      <c r="CH32" s="18">
        <f>IF(AP32="","",--(AP32='Codebook'!$F$35))</f>
        <v>1</v>
      </c>
      <c r="CI32" s="18">
        <f>IF(AQ32="","",--(AQ32='Codebook'!$F$36))</f>
        <v>1</v>
      </c>
      <c r="CJ32" s="18">
        <f>IF(AR32="","",--(AR32='Codebook'!$F$37))</f>
        <v>1</v>
      </c>
      <c r="CK32" s="18">
        <f>IF(AS32="","",--(AS32='Codebook'!$F$38))</f>
        <v>1</v>
      </c>
      <c r="CL32" s="18">
        <f>IF(AT32="","",--(AT32='Codebook'!$F$39))</f>
        <v>1</v>
      </c>
      <c r="CM32" s="18">
        <f>IF(AU32="","",--(AU32='Codebook'!$F$40))</f>
        <v>0</v>
      </c>
      <c r="CN32" s="18">
        <f>IF(AV32="","",--(AV32='Codebook'!$F$41))</f>
        <v>0</v>
      </c>
      <c r="CO32" s="18">
        <f>IF(AW32="","",--(AW32='Codebook'!$F$42))</f>
        <v>0</v>
      </c>
      <c r="CP32" s="18">
        <f>IF(AX32="","",--(AX32='Codebook'!$F$43))</f>
        <v>0</v>
      </c>
      <c r="CQ32" s="18">
        <f>IF(AY32="","",--(AY32='Codebook'!$F$44))</f>
        <v>0</v>
      </c>
      <c r="CR32" s="18">
        <f>IF(AZ32="","",--(AZ32='Codebook'!$F$45))</f>
        <v>0</v>
      </c>
    </row>
    <row r="33" spans="2:96" ht="24" customHeight="1">
      <c r="B33" s="18">
        <v>28</v>
      </c>
      <c r="C33" s="23">
        <v>46276.37104828704</v>
      </c>
      <c r="D33" s="18">
        <v>24</v>
      </c>
      <c r="E33" s="21" t="s">
        <v>206</v>
      </c>
      <c r="F33" s="21" t="s">
        <v>195</v>
      </c>
      <c r="G33" s="17" t="s">
        <v>202</v>
      </c>
      <c r="H33" s="21" t="s">
        <v>207</v>
      </c>
      <c r="I33" s="18">
        <f>SUM(BL33:BU33)</f>
        <v>6</v>
      </c>
      <c r="J33" s="18">
        <f>IF(COUNT(BV33:CD33)=9,SUM(BV33:CD33),"")</f>
        <v>6</v>
      </c>
      <c r="K33" s="18">
        <f>SUM(BL33:CD33)</f>
        <v>12</v>
      </c>
      <c r="L33" s="18">
        <f>--(K33&gt;='Codebook'!$C$8)</f>
        <v>1</v>
      </c>
      <c r="M33" s="18">
        <f>--(COUNT(BL33:CD33)=19)</f>
        <v>1</v>
      </c>
      <c r="N33" s="18">
        <f>SUM(CE33:CL33)</f>
        <v>5</v>
      </c>
      <c r="O33" s="18">
        <f>SUM(CM33:CR33)</f>
        <v>6</v>
      </c>
      <c r="P33" s="18">
        <f>N33+O33</f>
        <v>11</v>
      </c>
      <c r="Q33" s="21" t="s">
        <v>197</v>
      </c>
      <c r="R33" s="17" t="s">
        <v>216</v>
      </c>
      <c r="S33" s="18">
        <f>--OR(Overview!$B$6="All",E33=Overview!$B$6)*--OR(Overview!$F$6="All",F33=Overview!$F$6)*--OR(Overview!$J$6="All",G33=Overview!$J$6)*--OR(Overview!$N$6="All",H33=Overview!$N$6)</f>
        <v>1</v>
      </c>
      <c r="T33" s="21" t="s">
        <v>22</v>
      </c>
      <c r="U33" s="21" t="s">
        <v>22</v>
      </c>
      <c r="V33" s="21" t="s">
        <v>22</v>
      </c>
      <c r="W33" s="21" t="s">
        <v>22</v>
      </c>
      <c r="X33" s="21" t="s">
        <v>22</v>
      </c>
      <c r="Y33" s="21" t="s">
        <v>22</v>
      </c>
      <c r="Z33" s="21" t="s">
        <v>22</v>
      </c>
      <c r="AA33" s="21" t="s">
        <v>22</v>
      </c>
      <c r="AB33" s="21" t="s">
        <v>22</v>
      </c>
      <c r="AC33" s="21" t="s">
        <v>22</v>
      </c>
      <c r="AD33" s="21" t="s">
        <v>22</v>
      </c>
      <c r="AE33" s="21" t="s">
        <v>22</v>
      </c>
      <c r="AF33" s="21" t="s">
        <v>26</v>
      </c>
      <c r="AG33" s="21" t="s">
        <v>26</v>
      </c>
      <c r="AH33" s="21" t="s">
        <v>22</v>
      </c>
      <c r="AI33" s="21" t="s">
        <v>22</v>
      </c>
      <c r="AJ33" s="21" t="s">
        <v>22</v>
      </c>
      <c r="AK33" s="21" t="s">
        <v>22</v>
      </c>
      <c r="AL33" s="21" t="s">
        <v>26</v>
      </c>
      <c r="AM33" s="21" t="s">
        <v>109</v>
      </c>
      <c r="AN33" s="21" t="s">
        <v>109</v>
      </c>
      <c r="AO33" s="21" t="s">
        <v>83</v>
      </c>
      <c r="AP33" s="21" t="s">
        <v>83</v>
      </c>
      <c r="AQ33" s="21" t="s">
        <v>109</v>
      </c>
      <c r="AR33" s="21" t="s">
        <v>83</v>
      </c>
      <c r="AS33" s="21" t="s">
        <v>83</v>
      </c>
      <c r="AT33" s="21" t="s">
        <v>83</v>
      </c>
      <c r="AU33" s="21" t="s">
        <v>109</v>
      </c>
      <c r="AV33" s="21" t="s">
        <v>109</v>
      </c>
      <c r="AW33" s="21" t="s">
        <v>109</v>
      </c>
      <c r="AX33" s="21" t="s">
        <v>109</v>
      </c>
      <c r="AY33" s="21" t="s">
        <v>109</v>
      </c>
      <c r="AZ33" s="21" t="s">
        <v>109</v>
      </c>
      <c r="BA33" s="17" t="s">
        <v>199</v>
      </c>
      <c r="BB33" s="17" t="s">
        <v>244</v>
      </c>
      <c r="BC33" s="18">
        <f>--ISNUMBER(SEARCH("Radio or television",BA33))</f>
        <v>1</v>
      </c>
      <c r="BD33" s="18">
        <f>--ISNUMBER(SEARCH("Newspapers or print media",BA33))</f>
        <v>0</v>
      </c>
      <c r="BE33" s="18">
        <f>--ISNUMBER(SEARCH("Social media (e.g. Facebook, WhatsApp, YouTube, X/Twitter)",BA33))</f>
        <v>1</v>
      </c>
      <c r="BF33" s="18">
        <f>--ISNUMBER(SEARCH("Family members",BA33))</f>
        <v>0</v>
      </c>
      <c r="BG33" s="18">
        <f>--ISNUMBER(SEARCH("Friends or fellow students",BA33))</f>
        <v>0</v>
      </c>
      <c r="BH33" s="18">
        <f>--ISNUMBER(SEARCH("School coursework or lectures",BA33))</f>
        <v>1</v>
      </c>
      <c r="BI33" s="18">
        <f>--ISNUMBER(SEARCH("NHIMA outreach activities or NHIMA offices",BA33))</f>
        <v>0</v>
      </c>
      <c r="BJ33" s="18">
        <f>--ISNUMBER(SEARCH("Health facility staff",BA33))</f>
        <v>1</v>
      </c>
      <c r="BK33" s="18">
        <f>--ISNUMBER(SEARCH("not received information",BA33))</f>
        <v>0</v>
      </c>
      <c r="BL33" s="18">
        <f>IF(T33="","",--(T33='Codebook'!$F$13))</f>
        <v>1</v>
      </c>
      <c r="BM33" s="18">
        <f>IF(U33="","",--(U33='Codebook'!$F$14))</f>
        <v>0</v>
      </c>
      <c r="BN33" s="18">
        <f>IF(V33="","",--(V33='Codebook'!$F$15))</f>
        <v>0</v>
      </c>
      <c r="BO33" s="18">
        <f>IF(W33="","",--(W33='Codebook'!$F$16))</f>
        <v>1</v>
      </c>
      <c r="BP33" s="18">
        <f>IF(X33="","",--(X33='Codebook'!$F$17))</f>
        <v>1</v>
      </c>
      <c r="BQ33" s="18">
        <f>IF(Y33="","",--(Y33='Codebook'!$F$18))</f>
        <v>0</v>
      </c>
      <c r="BR33" s="18">
        <f>IF(Z33="","",--(Z33='Codebook'!$F$19))</f>
        <v>1</v>
      </c>
      <c r="BS33" s="18">
        <f>IF(AA33="","",--(AA33='Codebook'!$F$20))</f>
        <v>1</v>
      </c>
      <c r="BT33" s="18">
        <f>IF(AB33="","",--(AB33='Codebook'!$F$21))</f>
        <v>0</v>
      </c>
      <c r="BU33" s="18">
        <f>IF(AC33="","",--(AC33='Codebook'!$F$22))</f>
        <v>1</v>
      </c>
      <c r="BV33" s="18">
        <f>IF(AD33="","",--(AD33='Codebook'!$F$23))</f>
        <v>1</v>
      </c>
      <c r="BW33" s="18">
        <f>IF(AE33="","",--(AE33='Codebook'!$F$24))</f>
        <v>1</v>
      </c>
      <c r="BX33" s="18">
        <f>IF(AF33="","",--(AF33='Codebook'!$F$25))</f>
        <v>1</v>
      </c>
      <c r="BY33" s="18">
        <f>IF(AG33="","",--(AG33='Codebook'!$F$26))</f>
        <v>0</v>
      </c>
      <c r="BZ33" s="18">
        <f>IF(AH33="","",--(AH33='Codebook'!$F$27))</f>
        <v>1</v>
      </c>
      <c r="CA33" s="18">
        <f>IF(AI33="","",--(AI33='Codebook'!$F$28))</f>
        <v>0</v>
      </c>
      <c r="CB33" s="18">
        <f>IF(AJ33="","",--(AJ33='Codebook'!$F$29))</f>
        <v>0</v>
      </c>
      <c r="CC33" s="18">
        <f>IF(AK33="","",--(AK33='Codebook'!$F$30))</f>
        <v>1</v>
      </c>
      <c r="CD33" s="18">
        <f>IF(AL33="","",--(AL33='Codebook'!$F$31))</f>
        <v>1</v>
      </c>
      <c r="CE33" s="18">
        <f>IF(AM33="","",--(AM33='Codebook'!$F$32))</f>
        <v>0</v>
      </c>
      <c r="CF33" s="18">
        <f>IF(AN33="","",--(AN33='Codebook'!$F$33))</f>
        <v>0</v>
      </c>
      <c r="CG33" s="18">
        <f>IF(AO33="","",--(AO33='Codebook'!$F$34))</f>
        <v>1</v>
      </c>
      <c r="CH33" s="18">
        <f>IF(AP33="","",--(AP33='Codebook'!$F$35))</f>
        <v>1</v>
      </c>
      <c r="CI33" s="18">
        <f>IF(AQ33="","",--(AQ33='Codebook'!$F$36))</f>
        <v>0</v>
      </c>
      <c r="CJ33" s="18">
        <f>IF(AR33="","",--(AR33='Codebook'!$F$37))</f>
        <v>1</v>
      </c>
      <c r="CK33" s="18">
        <f>IF(AS33="","",--(AS33='Codebook'!$F$38))</f>
        <v>1</v>
      </c>
      <c r="CL33" s="18">
        <f>IF(AT33="","",--(AT33='Codebook'!$F$39))</f>
        <v>1</v>
      </c>
      <c r="CM33" s="18">
        <f>IF(AU33="","",--(AU33='Codebook'!$F$40))</f>
        <v>1</v>
      </c>
      <c r="CN33" s="18">
        <f>IF(AV33="","",--(AV33='Codebook'!$F$41))</f>
        <v>1</v>
      </c>
      <c r="CO33" s="18">
        <f>IF(AW33="","",--(AW33='Codebook'!$F$42))</f>
        <v>1</v>
      </c>
      <c r="CP33" s="18">
        <f>IF(AX33="","",--(AX33='Codebook'!$F$43))</f>
        <v>1</v>
      </c>
      <c r="CQ33" s="18">
        <f>IF(AY33="","",--(AY33='Codebook'!$F$44))</f>
        <v>1</v>
      </c>
      <c r="CR33" s="18">
        <f>IF(AZ33="","",--(AZ33='Codebook'!$F$45))</f>
        <v>1</v>
      </c>
    </row>
    <row r="34" spans="2:96" ht="24" customHeight="1">
      <c r="B34" s="18">
        <v>29</v>
      </c>
      <c r="C34" s="23">
        <v>46276.37336291667</v>
      </c>
      <c r="D34" s="18">
        <v>24</v>
      </c>
      <c r="E34" s="21" t="s">
        <v>194</v>
      </c>
      <c r="F34" s="21" t="s">
        <v>201</v>
      </c>
      <c r="G34" s="17" t="s">
        <v>196</v>
      </c>
      <c r="H34" s="21" t="s">
        <v>207</v>
      </c>
      <c r="I34" s="18">
        <f>SUM(BL34:BU34)</f>
        <v>5</v>
      </c>
      <c r="J34" s="18">
        <f>IF(COUNT(BV34:CD34)=9,SUM(BV34:CD34),"")</f>
        <v>3</v>
      </c>
      <c r="K34" s="18">
        <f>SUM(BL34:CD34)</f>
        <v>8</v>
      </c>
      <c r="L34" s="18">
        <f>--(K34&gt;='Codebook'!$C$8)</f>
        <v>0</v>
      </c>
      <c r="M34" s="18">
        <f>--(COUNT(BL34:CD34)=19)</f>
        <v>1</v>
      </c>
      <c r="N34" s="18">
        <f>SUM(CE34:CL34)</f>
        <v>8</v>
      </c>
      <c r="O34" s="18">
        <f>SUM(CM34:CR34)</f>
        <v>3</v>
      </c>
      <c r="P34" s="18">
        <f>N34+O34</f>
        <v>11</v>
      </c>
      <c r="Q34" s="21" t="s">
        <v>198</v>
      </c>
      <c r="R34" s="17" t="s">
        <v>155</v>
      </c>
      <c r="S34" s="18">
        <f>--OR(Overview!$B$6="All",E34=Overview!$B$6)*--OR(Overview!$F$6="All",F34=Overview!$F$6)*--OR(Overview!$J$6="All",G34=Overview!$J$6)*--OR(Overview!$N$6="All",H34=Overview!$N$6)</f>
        <v>1</v>
      </c>
      <c r="T34" s="21" t="s">
        <v>22</v>
      </c>
      <c r="U34" s="21" t="s">
        <v>22</v>
      </c>
      <c r="V34" s="21" t="s">
        <v>22</v>
      </c>
      <c r="W34" s="21" t="s">
        <v>22</v>
      </c>
      <c r="X34" s="21" t="s">
        <v>22</v>
      </c>
      <c r="Y34" s="21" t="s">
        <v>22</v>
      </c>
      <c r="Z34" s="21" t="s">
        <v>22</v>
      </c>
      <c r="AA34" s="21" t="s">
        <v>198</v>
      </c>
      <c r="AB34" s="21" t="s">
        <v>198</v>
      </c>
      <c r="AC34" s="21" t="s">
        <v>22</v>
      </c>
      <c r="AD34" s="21" t="s">
        <v>198</v>
      </c>
      <c r="AE34" s="21" t="s">
        <v>198</v>
      </c>
      <c r="AF34" s="21" t="s">
        <v>198</v>
      </c>
      <c r="AG34" s="21" t="s">
        <v>198</v>
      </c>
      <c r="AH34" s="21" t="s">
        <v>22</v>
      </c>
      <c r="AI34" s="21" t="s">
        <v>198</v>
      </c>
      <c r="AJ34" s="21" t="s">
        <v>22</v>
      </c>
      <c r="AK34" s="21" t="s">
        <v>22</v>
      </c>
      <c r="AL34" s="21" t="s">
        <v>26</v>
      </c>
      <c r="AM34" s="21" t="s">
        <v>83</v>
      </c>
      <c r="AN34" s="21" t="s">
        <v>83</v>
      </c>
      <c r="AO34" s="21" t="s">
        <v>83</v>
      </c>
      <c r="AP34" s="21" t="s">
        <v>83</v>
      </c>
      <c r="AQ34" s="21" t="s">
        <v>83</v>
      </c>
      <c r="AR34" s="21" t="s">
        <v>83</v>
      </c>
      <c r="AS34" s="21" t="s">
        <v>83</v>
      </c>
      <c r="AT34" s="21" t="s">
        <v>83</v>
      </c>
      <c r="AU34" s="21" t="s">
        <v>109</v>
      </c>
      <c r="AV34" s="21" t="s">
        <v>83</v>
      </c>
      <c r="AW34" s="21" t="s">
        <v>83</v>
      </c>
      <c r="AX34" s="21" t="s">
        <v>109</v>
      </c>
      <c r="AY34" s="21" t="s">
        <v>198</v>
      </c>
      <c r="AZ34" s="21" t="s">
        <v>109</v>
      </c>
      <c r="BA34" s="17" t="s">
        <v>245</v>
      </c>
      <c r="BB34" s="17" t="s">
        <v>155</v>
      </c>
      <c r="BC34" s="18">
        <f>--ISNUMBER(SEARCH("Radio or television",BA34))</f>
        <v>1</v>
      </c>
      <c r="BD34" s="18">
        <f>--ISNUMBER(SEARCH("Newspapers or print media",BA34))</f>
        <v>0</v>
      </c>
      <c r="BE34" s="18">
        <f>--ISNUMBER(SEARCH("Social media (e.g. Facebook, WhatsApp, YouTube, X/Twitter)",BA34))</f>
        <v>1</v>
      </c>
      <c r="BF34" s="18">
        <f>--ISNUMBER(SEARCH("Family members",BA34))</f>
        <v>1</v>
      </c>
      <c r="BG34" s="18">
        <f>--ISNUMBER(SEARCH("Friends or fellow students",BA34))</f>
        <v>1</v>
      </c>
      <c r="BH34" s="18">
        <f>--ISNUMBER(SEARCH("School coursework or lectures",BA34))</f>
        <v>0</v>
      </c>
      <c r="BI34" s="18">
        <f>--ISNUMBER(SEARCH("NHIMA outreach activities or NHIMA offices",BA34))</f>
        <v>0</v>
      </c>
      <c r="BJ34" s="18">
        <f>--ISNUMBER(SEARCH("Health facility staff",BA34))</f>
        <v>1</v>
      </c>
      <c r="BK34" s="18">
        <f>--ISNUMBER(SEARCH("not received information",BA34))</f>
        <v>0</v>
      </c>
      <c r="BL34" s="18">
        <f>IF(T34="","",--(T34='Codebook'!$F$13))</f>
        <v>1</v>
      </c>
      <c r="BM34" s="18">
        <f>IF(U34="","",--(U34='Codebook'!$F$14))</f>
        <v>0</v>
      </c>
      <c r="BN34" s="18">
        <f>IF(V34="","",--(V34='Codebook'!$F$15))</f>
        <v>0</v>
      </c>
      <c r="BO34" s="18">
        <f>IF(W34="","",--(W34='Codebook'!$F$16))</f>
        <v>1</v>
      </c>
      <c r="BP34" s="18">
        <f>IF(X34="","",--(X34='Codebook'!$F$17))</f>
        <v>1</v>
      </c>
      <c r="BQ34" s="18">
        <f>IF(Y34="","",--(Y34='Codebook'!$F$18))</f>
        <v>0</v>
      </c>
      <c r="BR34" s="18">
        <f>IF(Z34="","",--(Z34='Codebook'!$F$19))</f>
        <v>1</v>
      </c>
      <c r="BS34" s="18">
        <f>IF(AA34="","",--(AA34='Codebook'!$F$20))</f>
        <v>0</v>
      </c>
      <c r="BT34" s="18">
        <f>IF(AB34="","",--(AB34='Codebook'!$F$21))</f>
        <v>0</v>
      </c>
      <c r="BU34" s="18">
        <f>IF(AC34="","",--(AC34='Codebook'!$F$22))</f>
        <v>1</v>
      </c>
      <c r="BV34" s="18">
        <f>IF(AD34="","",--(AD34='Codebook'!$F$23))</f>
        <v>0</v>
      </c>
      <c r="BW34" s="18">
        <f>IF(AE34="","",--(AE34='Codebook'!$F$24))</f>
        <v>0</v>
      </c>
      <c r="BX34" s="18">
        <f>IF(AF34="","",--(AF34='Codebook'!$F$25))</f>
        <v>0</v>
      </c>
      <c r="BY34" s="18">
        <f>IF(AG34="","",--(AG34='Codebook'!$F$26))</f>
        <v>0</v>
      </c>
      <c r="BZ34" s="18">
        <f>IF(AH34="","",--(AH34='Codebook'!$F$27))</f>
        <v>1</v>
      </c>
      <c r="CA34" s="18">
        <f>IF(AI34="","",--(AI34='Codebook'!$F$28))</f>
        <v>0</v>
      </c>
      <c r="CB34" s="18">
        <f>IF(AJ34="","",--(AJ34='Codebook'!$F$29))</f>
        <v>0</v>
      </c>
      <c r="CC34" s="18">
        <f>IF(AK34="","",--(AK34='Codebook'!$F$30))</f>
        <v>1</v>
      </c>
      <c r="CD34" s="18">
        <f>IF(AL34="","",--(AL34='Codebook'!$F$31))</f>
        <v>1</v>
      </c>
      <c r="CE34" s="18">
        <f>IF(AM34="","",--(AM34='Codebook'!$F$32))</f>
        <v>1</v>
      </c>
      <c r="CF34" s="18">
        <f>IF(AN34="","",--(AN34='Codebook'!$F$33))</f>
        <v>1</v>
      </c>
      <c r="CG34" s="18">
        <f>IF(AO34="","",--(AO34='Codebook'!$F$34))</f>
        <v>1</v>
      </c>
      <c r="CH34" s="18">
        <f>IF(AP34="","",--(AP34='Codebook'!$F$35))</f>
        <v>1</v>
      </c>
      <c r="CI34" s="18">
        <f>IF(AQ34="","",--(AQ34='Codebook'!$F$36))</f>
        <v>1</v>
      </c>
      <c r="CJ34" s="18">
        <f>IF(AR34="","",--(AR34='Codebook'!$F$37))</f>
        <v>1</v>
      </c>
      <c r="CK34" s="18">
        <f>IF(AS34="","",--(AS34='Codebook'!$F$38))</f>
        <v>1</v>
      </c>
      <c r="CL34" s="18">
        <f>IF(AT34="","",--(AT34='Codebook'!$F$39))</f>
        <v>1</v>
      </c>
      <c r="CM34" s="18">
        <f>IF(AU34="","",--(AU34='Codebook'!$F$40))</f>
        <v>1</v>
      </c>
      <c r="CN34" s="18">
        <f>IF(AV34="","",--(AV34='Codebook'!$F$41))</f>
        <v>0</v>
      </c>
      <c r="CO34" s="18">
        <f>IF(AW34="","",--(AW34='Codebook'!$F$42))</f>
        <v>0</v>
      </c>
      <c r="CP34" s="18">
        <f>IF(AX34="","",--(AX34='Codebook'!$F$43))</f>
        <v>1</v>
      </c>
      <c r="CQ34" s="18">
        <f>IF(AY34="","",--(AY34='Codebook'!$F$44))</f>
        <v>0</v>
      </c>
      <c r="CR34" s="18">
        <f>IF(AZ34="","",--(AZ34='Codebook'!$F$45))</f>
        <v>1</v>
      </c>
    </row>
    <row r="35" spans="2:96" ht="24" customHeight="1">
      <c r="B35" s="18">
        <v>30</v>
      </c>
      <c r="C35" s="23">
        <v>46276.39952059028</v>
      </c>
      <c r="D35" s="18">
        <v>23</v>
      </c>
      <c r="E35" s="21" t="s">
        <v>206</v>
      </c>
      <c r="F35" s="21" t="s">
        <v>201</v>
      </c>
      <c r="G35" s="17" t="s">
        <v>215</v>
      </c>
      <c r="H35" s="21" t="s">
        <v>207</v>
      </c>
      <c r="I35" s="18">
        <f>SUM(BL35:BU35)</f>
        <v>6</v>
      </c>
      <c r="J35" s="18">
        <f>IF(COUNT(BV35:CD35)=9,SUM(BV35:CD35),"")</f>
        <v>4</v>
      </c>
      <c r="K35" s="18">
        <f>SUM(BL35:CD35)</f>
        <v>10</v>
      </c>
      <c r="L35" s="18">
        <f>--(K35&gt;='Codebook'!$C$8)</f>
        <v>0</v>
      </c>
      <c r="M35" s="18">
        <f>--(COUNT(BL35:CD35)=19)</f>
        <v>1</v>
      </c>
      <c r="N35" s="18">
        <f>SUM(CE35:CL35)</f>
        <v>5</v>
      </c>
      <c r="O35" s="18">
        <f>SUM(CM35:CR35)</f>
        <v>2</v>
      </c>
      <c r="P35" s="18">
        <f>N35+O35</f>
        <v>7</v>
      </c>
      <c r="Q35" s="21" t="s">
        <v>197</v>
      </c>
      <c r="R35" s="17" t="s">
        <v>152</v>
      </c>
      <c r="S35" s="18">
        <f>--OR(Overview!$B$6="All",E35=Overview!$B$6)*--OR(Overview!$F$6="All",F35=Overview!$F$6)*--OR(Overview!$J$6="All",G35=Overview!$J$6)*--OR(Overview!$N$6="All",H35=Overview!$N$6)</f>
        <v>1</v>
      </c>
      <c r="T35" s="21" t="s">
        <v>22</v>
      </c>
      <c r="U35" s="21" t="s">
        <v>22</v>
      </c>
      <c r="V35" s="21" t="s">
        <v>22</v>
      </c>
      <c r="W35" s="21" t="s">
        <v>22</v>
      </c>
      <c r="X35" s="21" t="s">
        <v>22</v>
      </c>
      <c r="Y35" s="21" t="s">
        <v>22</v>
      </c>
      <c r="Z35" s="21" t="s">
        <v>22</v>
      </c>
      <c r="AA35" s="21" t="s">
        <v>22</v>
      </c>
      <c r="AB35" s="21" t="s">
        <v>22</v>
      </c>
      <c r="AC35" s="21" t="s">
        <v>22</v>
      </c>
      <c r="AD35" s="21" t="s">
        <v>22</v>
      </c>
      <c r="AE35" s="21" t="s">
        <v>22</v>
      </c>
      <c r="AF35" s="21" t="s">
        <v>22</v>
      </c>
      <c r="AG35" s="21" t="s">
        <v>22</v>
      </c>
      <c r="AH35" s="21" t="s">
        <v>22</v>
      </c>
      <c r="AI35" s="21" t="s">
        <v>198</v>
      </c>
      <c r="AJ35" s="21" t="s">
        <v>22</v>
      </c>
      <c r="AK35" s="21" t="s">
        <v>198</v>
      </c>
      <c r="AL35" s="21" t="s">
        <v>22</v>
      </c>
      <c r="AM35" s="21" t="s">
        <v>83</v>
      </c>
      <c r="AN35" s="21" t="s">
        <v>83</v>
      </c>
      <c r="AO35" s="21" t="s">
        <v>83</v>
      </c>
      <c r="AP35" s="21" t="s">
        <v>109</v>
      </c>
      <c r="AQ35" s="21" t="s">
        <v>109</v>
      </c>
      <c r="AR35" s="21" t="s">
        <v>198</v>
      </c>
      <c r="AS35" s="21" t="s">
        <v>83</v>
      </c>
      <c r="AT35" s="21" t="s">
        <v>83</v>
      </c>
      <c r="AU35" s="21" t="s">
        <v>83</v>
      </c>
      <c r="AV35" s="21" t="s">
        <v>83</v>
      </c>
      <c r="AW35" s="21" t="s">
        <v>109</v>
      </c>
      <c r="AX35" s="21" t="s">
        <v>198</v>
      </c>
      <c r="AY35" s="21" t="s">
        <v>109</v>
      </c>
      <c r="AZ35" s="21" t="s">
        <v>83</v>
      </c>
      <c r="BA35" s="17" t="s">
        <v>246</v>
      </c>
      <c r="BB35" s="17" t="s">
        <v>240</v>
      </c>
      <c r="BC35" s="18">
        <f>--ISNUMBER(SEARCH("Radio or television",BA35))</f>
        <v>1</v>
      </c>
      <c r="BD35" s="18">
        <f>--ISNUMBER(SEARCH("Newspapers or print media",BA35))</f>
        <v>0</v>
      </c>
      <c r="BE35" s="18">
        <f>--ISNUMBER(SEARCH("Social media (e.g. Facebook, WhatsApp, YouTube, X/Twitter)",BA35))</f>
        <v>1</v>
      </c>
      <c r="BF35" s="18">
        <f>--ISNUMBER(SEARCH("Family members",BA35))</f>
        <v>0</v>
      </c>
      <c r="BG35" s="18">
        <f>--ISNUMBER(SEARCH("Friends or fellow students",BA35))</f>
        <v>0</v>
      </c>
      <c r="BH35" s="18">
        <f>--ISNUMBER(SEARCH("School coursework or lectures",BA35))</f>
        <v>0</v>
      </c>
      <c r="BI35" s="18">
        <f>--ISNUMBER(SEARCH("NHIMA outreach activities or NHIMA offices",BA35))</f>
        <v>0</v>
      </c>
      <c r="BJ35" s="18">
        <f>--ISNUMBER(SEARCH("Health facility staff",BA35))</f>
        <v>0</v>
      </c>
      <c r="BK35" s="18">
        <f>--ISNUMBER(SEARCH("not received information",BA35))</f>
        <v>0</v>
      </c>
      <c r="BL35" s="18">
        <f>IF(T35="","",--(T35='Codebook'!$F$13))</f>
        <v>1</v>
      </c>
      <c r="BM35" s="18">
        <f>IF(U35="","",--(U35='Codebook'!$F$14))</f>
        <v>0</v>
      </c>
      <c r="BN35" s="18">
        <f>IF(V35="","",--(V35='Codebook'!$F$15))</f>
        <v>0</v>
      </c>
      <c r="BO35" s="18">
        <f>IF(W35="","",--(W35='Codebook'!$F$16))</f>
        <v>1</v>
      </c>
      <c r="BP35" s="18">
        <f>IF(X35="","",--(X35='Codebook'!$F$17))</f>
        <v>1</v>
      </c>
      <c r="BQ35" s="18">
        <f>IF(Y35="","",--(Y35='Codebook'!$F$18))</f>
        <v>0</v>
      </c>
      <c r="BR35" s="18">
        <f>IF(Z35="","",--(Z35='Codebook'!$F$19))</f>
        <v>1</v>
      </c>
      <c r="BS35" s="18">
        <f>IF(AA35="","",--(AA35='Codebook'!$F$20))</f>
        <v>1</v>
      </c>
      <c r="BT35" s="18">
        <f>IF(AB35="","",--(AB35='Codebook'!$F$21))</f>
        <v>0</v>
      </c>
      <c r="BU35" s="18">
        <f>IF(AC35="","",--(AC35='Codebook'!$F$22))</f>
        <v>1</v>
      </c>
      <c r="BV35" s="18">
        <f>IF(AD35="","",--(AD35='Codebook'!$F$23))</f>
        <v>1</v>
      </c>
      <c r="BW35" s="18">
        <f>IF(AE35="","",--(AE35='Codebook'!$F$24))</f>
        <v>1</v>
      </c>
      <c r="BX35" s="18">
        <f>IF(AF35="","",--(AF35='Codebook'!$F$25))</f>
        <v>0</v>
      </c>
      <c r="BY35" s="18">
        <f>IF(AG35="","",--(AG35='Codebook'!$F$26))</f>
        <v>1</v>
      </c>
      <c r="BZ35" s="18">
        <f>IF(AH35="","",--(AH35='Codebook'!$F$27))</f>
        <v>1</v>
      </c>
      <c r="CA35" s="18">
        <f>IF(AI35="","",--(AI35='Codebook'!$F$28))</f>
        <v>0</v>
      </c>
      <c r="CB35" s="18">
        <f>IF(AJ35="","",--(AJ35='Codebook'!$F$29))</f>
        <v>0</v>
      </c>
      <c r="CC35" s="18">
        <f>IF(AK35="","",--(AK35='Codebook'!$F$30))</f>
        <v>0</v>
      </c>
      <c r="CD35" s="18">
        <f>IF(AL35="","",--(AL35='Codebook'!$F$31))</f>
        <v>0</v>
      </c>
      <c r="CE35" s="18">
        <f>IF(AM35="","",--(AM35='Codebook'!$F$32))</f>
        <v>1</v>
      </c>
      <c r="CF35" s="18">
        <f>IF(AN35="","",--(AN35='Codebook'!$F$33))</f>
        <v>1</v>
      </c>
      <c r="CG35" s="18">
        <f>IF(AO35="","",--(AO35='Codebook'!$F$34))</f>
        <v>1</v>
      </c>
      <c r="CH35" s="18">
        <f>IF(AP35="","",--(AP35='Codebook'!$F$35))</f>
        <v>0</v>
      </c>
      <c r="CI35" s="18">
        <f>IF(AQ35="","",--(AQ35='Codebook'!$F$36))</f>
        <v>0</v>
      </c>
      <c r="CJ35" s="18">
        <f>IF(AR35="","",--(AR35='Codebook'!$F$37))</f>
        <v>0</v>
      </c>
      <c r="CK35" s="18">
        <f>IF(AS35="","",--(AS35='Codebook'!$F$38))</f>
        <v>1</v>
      </c>
      <c r="CL35" s="18">
        <f>IF(AT35="","",--(AT35='Codebook'!$F$39))</f>
        <v>1</v>
      </c>
      <c r="CM35" s="18">
        <f>IF(AU35="","",--(AU35='Codebook'!$F$40))</f>
        <v>0</v>
      </c>
      <c r="CN35" s="18">
        <f>IF(AV35="","",--(AV35='Codebook'!$F$41))</f>
        <v>0</v>
      </c>
      <c r="CO35" s="18">
        <f>IF(AW35="","",--(AW35='Codebook'!$F$42))</f>
        <v>1</v>
      </c>
      <c r="CP35" s="18">
        <f>IF(AX35="","",--(AX35='Codebook'!$F$43))</f>
        <v>0</v>
      </c>
      <c r="CQ35" s="18">
        <f>IF(AY35="","",--(AY35='Codebook'!$F$44))</f>
        <v>1</v>
      </c>
      <c r="CR35" s="18">
        <f>IF(AZ35="","",--(AZ35='Codebook'!$F$45))</f>
        <v>0</v>
      </c>
    </row>
    <row r="36" spans="2:96" ht="24" customHeight="1">
      <c r="B36" s="18">
        <v>31</v>
      </c>
      <c r="C36" s="23">
        <v>46276.40093664352</v>
      </c>
      <c r="D36" s="18">
        <v>24</v>
      </c>
      <c r="E36" s="21" t="s">
        <v>194</v>
      </c>
      <c r="F36" s="21" t="s">
        <v>226</v>
      </c>
      <c r="G36" s="17" t="s">
        <v>247</v>
      </c>
      <c r="H36" s="21" t="s">
        <v>207</v>
      </c>
      <c r="I36" s="18">
        <f>SUM(BL36:BU36)</f>
        <v>6</v>
      </c>
      <c r="J36" s="18">
        <f>IF(COUNT(BV36:CD36)=9,SUM(BV36:CD36),"")</f>
        <v>6</v>
      </c>
      <c r="K36" s="18">
        <f>SUM(BL36:CD36)</f>
        <v>12</v>
      </c>
      <c r="L36" s="18">
        <f>--(K36&gt;='Codebook'!$C$8)</f>
        <v>1</v>
      </c>
      <c r="M36" s="18">
        <f>--(COUNT(BL36:CD36)=19)</f>
        <v>1</v>
      </c>
      <c r="N36" s="18">
        <f>SUM(CE36:CL36)</f>
        <v>8</v>
      </c>
      <c r="O36" s="18">
        <f>SUM(CM36:CR36)</f>
        <v>0</v>
      </c>
      <c r="P36" s="18">
        <f>N36+O36</f>
        <v>8</v>
      </c>
      <c r="Q36" s="21" t="s">
        <v>198</v>
      </c>
      <c r="R36" s="17" t="s">
        <v>157</v>
      </c>
      <c r="S36" s="18">
        <f>--OR(Overview!$B$6="All",E36=Overview!$B$6)*--OR(Overview!$F$6="All",F36=Overview!$F$6)*--OR(Overview!$J$6="All",G36=Overview!$J$6)*--OR(Overview!$N$6="All",H36=Overview!$N$6)</f>
        <v>1</v>
      </c>
      <c r="T36" s="21" t="s">
        <v>22</v>
      </c>
      <c r="U36" s="21" t="s">
        <v>22</v>
      </c>
      <c r="V36" s="21" t="s">
        <v>22</v>
      </c>
      <c r="W36" s="21" t="s">
        <v>22</v>
      </c>
      <c r="X36" s="21" t="s">
        <v>22</v>
      </c>
      <c r="Y36" s="21" t="s">
        <v>22</v>
      </c>
      <c r="Z36" s="21" t="s">
        <v>22</v>
      </c>
      <c r="AA36" s="21" t="s">
        <v>22</v>
      </c>
      <c r="AB36" s="21" t="s">
        <v>22</v>
      </c>
      <c r="AC36" s="21" t="s">
        <v>22</v>
      </c>
      <c r="AD36" s="21" t="s">
        <v>22</v>
      </c>
      <c r="AE36" s="21" t="s">
        <v>22</v>
      </c>
      <c r="AF36" s="21" t="s">
        <v>22</v>
      </c>
      <c r="AG36" s="21" t="s">
        <v>22</v>
      </c>
      <c r="AH36" s="21" t="s">
        <v>22</v>
      </c>
      <c r="AI36" s="21" t="s">
        <v>22</v>
      </c>
      <c r="AJ36" s="21" t="s">
        <v>22</v>
      </c>
      <c r="AK36" s="21" t="s">
        <v>22</v>
      </c>
      <c r="AL36" s="21" t="s">
        <v>26</v>
      </c>
      <c r="AM36" s="21" t="s">
        <v>83</v>
      </c>
      <c r="AN36" s="21" t="s">
        <v>83</v>
      </c>
      <c r="AO36" s="21" t="s">
        <v>83</v>
      </c>
      <c r="AP36" s="21" t="s">
        <v>83</v>
      </c>
      <c r="AQ36" s="21" t="s">
        <v>83</v>
      </c>
      <c r="AR36" s="21" t="s">
        <v>83</v>
      </c>
      <c r="AS36" s="21" t="s">
        <v>83</v>
      </c>
      <c r="AT36" s="21" t="s">
        <v>83</v>
      </c>
      <c r="AU36" s="21" t="s">
        <v>83</v>
      </c>
      <c r="AV36" s="21" t="s">
        <v>83</v>
      </c>
      <c r="AW36" s="21" t="s">
        <v>83</v>
      </c>
      <c r="AX36" s="21" t="s">
        <v>83</v>
      </c>
      <c r="AY36" s="21" t="s">
        <v>83</v>
      </c>
      <c r="AZ36" s="21" t="s">
        <v>83</v>
      </c>
      <c r="BA36" s="17" t="s">
        <v>248</v>
      </c>
      <c r="BB36" s="17" t="s">
        <v>249</v>
      </c>
      <c r="BC36" s="18">
        <f>--ISNUMBER(SEARCH("Radio or television",BA36))</f>
        <v>1</v>
      </c>
      <c r="BD36" s="18">
        <f>--ISNUMBER(SEARCH("Newspapers or print media",BA36))</f>
        <v>0</v>
      </c>
      <c r="BE36" s="18">
        <f>--ISNUMBER(SEARCH("Social media (e.g. Facebook, WhatsApp, YouTube, X/Twitter)",BA36))</f>
        <v>1</v>
      </c>
      <c r="BF36" s="18">
        <f>--ISNUMBER(SEARCH("Family members",BA36))</f>
        <v>0</v>
      </c>
      <c r="BG36" s="18">
        <f>--ISNUMBER(SEARCH("Friends or fellow students",BA36))</f>
        <v>0</v>
      </c>
      <c r="BH36" s="18">
        <f>--ISNUMBER(SEARCH("School coursework or lectures",BA36))</f>
        <v>1</v>
      </c>
      <c r="BI36" s="18">
        <f>--ISNUMBER(SEARCH("NHIMA outreach activities or NHIMA offices",BA36))</f>
        <v>0</v>
      </c>
      <c r="BJ36" s="18">
        <f>--ISNUMBER(SEARCH("Health facility staff",BA36))</f>
        <v>0</v>
      </c>
      <c r="BK36" s="18">
        <f>--ISNUMBER(SEARCH("not received information",BA36))</f>
        <v>0</v>
      </c>
      <c r="BL36" s="18">
        <f>IF(T36="","",--(T36='Codebook'!$F$13))</f>
        <v>1</v>
      </c>
      <c r="BM36" s="18">
        <f>IF(U36="","",--(U36='Codebook'!$F$14))</f>
        <v>0</v>
      </c>
      <c r="BN36" s="18">
        <f>IF(V36="","",--(V36='Codebook'!$F$15))</f>
        <v>0</v>
      </c>
      <c r="BO36" s="18">
        <f>IF(W36="","",--(W36='Codebook'!$F$16))</f>
        <v>1</v>
      </c>
      <c r="BP36" s="18">
        <f>IF(X36="","",--(X36='Codebook'!$F$17))</f>
        <v>1</v>
      </c>
      <c r="BQ36" s="18">
        <f>IF(Y36="","",--(Y36='Codebook'!$F$18))</f>
        <v>0</v>
      </c>
      <c r="BR36" s="18">
        <f>IF(Z36="","",--(Z36='Codebook'!$F$19))</f>
        <v>1</v>
      </c>
      <c r="BS36" s="18">
        <f>IF(AA36="","",--(AA36='Codebook'!$F$20))</f>
        <v>1</v>
      </c>
      <c r="BT36" s="18">
        <f>IF(AB36="","",--(AB36='Codebook'!$F$21))</f>
        <v>0</v>
      </c>
      <c r="BU36" s="18">
        <f>IF(AC36="","",--(AC36='Codebook'!$F$22))</f>
        <v>1</v>
      </c>
      <c r="BV36" s="18">
        <f>IF(AD36="","",--(AD36='Codebook'!$F$23))</f>
        <v>1</v>
      </c>
      <c r="BW36" s="18">
        <f>IF(AE36="","",--(AE36='Codebook'!$F$24))</f>
        <v>1</v>
      </c>
      <c r="BX36" s="18">
        <f>IF(AF36="","",--(AF36='Codebook'!$F$25))</f>
        <v>0</v>
      </c>
      <c r="BY36" s="18">
        <f>IF(AG36="","",--(AG36='Codebook'!$F$26))</f>
        <v>1</v>
      </c>
      <c r="BZ36" s="18">
        <f>IF(AH36="","",--(AH36='Codebook'!$F$27))</f>
        <v>1</v>
      </c>
      <c r="CA36" s="18">
        <f>IF(AI36="","",--(AI36='Codebook'!$F$28))</f>
        <v>0</v>
      </c>
      <c r="CB36" s="18">
        <f>IF(AJ36="","",--(AJ36='Codebook'!$F$29))</f>
        <v>0</v>
      </c>
      <c r="CC36" s="18">
        <f>IF(AK36="","",--(AK36='Codebook'!$F$30))</f>
        <v>1</v>
      </c>
      <c r="CD36" s="18">
        <f>IF(AL36="","",--(AL36='Codebook'!$F$31))</f>
        <v>1</v>
      </c>
      <c r="CE36" s="18">
        <f>IF(AM36="","",--(AM36='Codebook'!$F$32))</f>
        <v>1</v>
      </c>
      <c r="CF36" s="18">
        <f>IF(AN36="","",--(AN36='Codebook'!$F$33))</f>
        <v>1</v>
      </c>
      <c r="CG36" s="18">
        <f>IF(AO36="","",--(AO36='Codebook'!$F$34))</f>
        <v>1</v>
      </c>
      <c r="CH36" s="18">
        <f>IF(AP36="","",--(AP36='Codebook'!$F$35))</f>
        <v>1</v>
      </c>
      <c r="CI36" s="18">
        <f>IF(AQ36="","",--(AQ36='Codebook'!$F$36))</f>
        <v>1</v>
      </c>
      <c r="CJ36" s="18">
        <f>IF(AR36="","",--(AR36='Codebook'!$F$37))</f>
        <v>1</v>
      </c>
      <c r="CK36" s="18">
        <f>IF(AS36="","",--(AS36='Codebook'!$F$38))</f>
        <v>1</v>
      </c>
      <c r="CL36" s="18">
        <f>IF(AT36="","",--(AT36='Codebook'!$F$39))</f>
        <v>1</v>
      </c>
      <c r="CM36" s="18">
        <f>IF(AU36="","",--(AU36='Codebook'!$F$40))</f>
        <v>0</v>
      </c>
      <c r="CN36" s="18">
        <f>IF(AV36="","",--(AV36='Codebook'!$F$41))</f>
        <v>0</v>
      </c>
      <c r="CO36" s="18">
        <f>IF(AW36="","",--(AW36='Codebook'!$F$42))</f>
        <v>0</v>
      </c>
      <c r="CP36" s="18">
        <f>IF(AX36="","",--(AX36='Codebook'!$F$43))</f>
        <v>0</v>
      </c>
      <c r="CQ36" s="18">
        <f>IF(AY36="","",--(AY36='Codebook'!$F$44))</f>
        <v>0</v>
      </c>
      <c r="CR36" s="18">
        <f>IF(AZ36="","",--(AZ36='Codebook'!$F$45))</f>
        <v>0</v>
      </c>
    </row>
    <row r="37" spans="2:96" ht="24" customHeight="1">
      <c r="B37" s="18">
        <v>32</v>
      </c>
      <c r="C37" s="23">
        <v>46276.40218827546</v>
      </c>
      <c r="D37" s="18">
        <v>25</v>
      </c>
      <c r="E37" s="21" t="s">
        <v>206</v>
      </c>
      <c r="F37" s="21" t="s">
        <v>195</v>
      </c>
      <c r="G37" s="17" t="s">
        <v>224</v>
      </c>
      <c r="H37" s="21" t="s">
        <v>207</v>
      </c>
      <c r="I37" s="18">
        <f>SUM(BL37:BU37)</f>
        <v>6</v>
      </c>
      <c r="J37" s="18">
        <f>IF(COUNT(BV37:CD37)=9,SUM(BV37:CD37),"")</f>
        <v>4</v>
      </c>
      <c r="K37" s="18">
        <f>SUM(BL37:CD37)</f>
        <v>10</v>
      </c>
      <c r="L37" s="18">
        <f>--(K37&gt;='Codebook'!$C$8)</f>
        <v>0</v>
      </c>
      <c r="M37" s="18">
        <f>--(COUNT(BL37:CD37)=19)</f>
        <v>1</v>
      </c>
      <c r="N37" s="18">
        <f>SUM(CE37:CL37)</f>
        <v>3</v>
      </c>
      <c r="O37" s="18">
        <f>SUM(CM37:CR37)</f>
        <v>1</v>
      </c>
      <c r="P37" s="18">
        <f>N37+O37</f>
        <v>4</v>
      </c>
      <c r="Q37" s="21" t="s">
        <v>198</v>
      </c>
      <c r="R37" s="17" t="s">
        <v>152</v>
      </c>
      <c r="S37" s="18">
        <f>--OR(Overview!$B$6="All",E37=Overview!$B$6)*--OR(Overview!$F$6="All",F37=Overview!$F$6)*--OR(Overview!$J$6="All",G37=Overview!$J$6)*--OR(Overview!$N$6="All",H37=Overview!$N$6)</f>
        <v>1</v>
      </c>
      <c r="T37" s="21" t="s">
        <v>22</v>
      </c>
      <c r="U37" s="21" t="s">
        <v>22</v>
      </c>
      <c r="V37" s="21" t="s">
        <v>22</v>
      </c>
      <c r="W37" s="21" t="s">
        <v>22</v>
      </c>
      <c r="X37" s="21" t="s">
        <v>22</v>
      </c>
      <c r="Y37" s="21" t="s">
        <v>22</v>
      </c>
      <c r="Z37" s="21" t="s">
        <v>22</v>
      </c>
      <c r="AA37" s="21" t="s">
        <v>22</v>
      </c>
      <c r="AB37" s="21" t="s">
        <v>22</v>
      </c>
      <c r="AC37" s="21" t="s">
        <v>22</v>
      </c>
      <c r="AD37" s="21" t="s">
        <v>22</v>
      </c>
      <c r="AE37" s="21" t="s">
        <v>22</v>
      </c>
      <c r="AF37" s="21" t="s">
        <v>22</v>
      </c>
      <c r="AG37" s="21" t="s">
        <v>198</v>
      </c>
      <c r="AH37" s="21" t="s">
        <v>198</v>
      </c>
      <c r="AI37" s="21" t="s">
        <v>22</v>
      </c>
      <c r="AJ37" s="21" t="s">
        <v>198</v>
      </c>
      <c r="AK37" s="21" t="s">
        <v>22</v>
      </c>
      <c r="AL37" s="21" t="s">
        <v>26</v>
      </c>
      <c r="AM37" s="21" t="s">
        <v>83</v>
      </c>
      <c r="AN37" s="21" t="s">
        <v>83</v>
      </c>
      <c r="AO37" s="21" t="s">
        <v>109</v>
      </c>
      <c r="AP37" s="21" t="s">
        <v>198</v>
      </c>
      <c r="AQ37" s="21" t="s">
        <v>83</v>
      </c>
      <c r="AR37" s="21" t="s">
        <v>198</v>
      </c>
      <c r="AS37" s="21" t="s">
        <v>109</v>
      </c>
      <c r="AT37" s="21" t="s">
        <v>198</v>
      </c>
      <c r="AU37" s="21" t="s">
        <v>109</v>
      </c>
      <c r="AV37" s="21" t="s">
        <v>198</v>
      </c>
      <c r="AW37" s="21" t="s">
        <v>198</v>
      </c>
      <c r="AX37" s="21" t="s">
        <v>198</v>
      </c>
      <c r="AY37" s="21" t="s">
        <v>198</v>
      </c>
      <c r="AZ37" s="21" t="s">
        <v>198</v>
      </c>
      <c r="BA37" s="17" t="s">
        <v>223</v>
      </c>
      <c r="BB37" s="17" t="s">
        <v>240</v>
      </c>
      <c r="BC37" s="18">
        <f>--ISNUMBER(SEARCH("Radio or television",BA37))</f>
        <v>1</v>
      </c>
      <c r="BD37" s="18">
        <f>--ISNUMBER(SEARCH("Newspapers or print media",BA37))</f>
        <v>0</v>
      </c>
      <c r="BE37" s="18">
        <f>--ISNUMBER(SEARCH("Social media (e.g. Facebook, WhatsApp, YouTube, X/Twitter)",BA37))</f>
        <v>0</v>
      </c>
      <c r="BF37" s="18">
        <f>--ISNUMBER(SEARCH("Family members",BA37))</f>
        <v>0</v>
      </c>
      <c r="BG37" s="18">
        <f>--ISNUMBER(SEARCH("Friends or fellow students",BA37))</f>
        <v>0</v>
      </c>
      <c r="BH37" s="18">
        <f>--ISNUMBER(SEARCH("School coursework or lectures",BA37))</f>
        <v>0</v>
      </c>
      <c r="BI37" s="18">
        <f>--ISNUMBER(SEARCH("NHIMA outreach activities or NHIMA offices",BA37))</f>
        <v>0</v>
      </c>
      <c r="BJ37" s="18">
        <f>--ISNUMBER(SEARCH("Health facility staff",BA37))</f>
        <v>0</v>
      </c>
      <c r="BK37" s="18">
        <f>--ISNUMBER(SEARCH("not received information",BA37))</f>
        <v>0</v>
      </c>
      <c r="BL37" s="18">
        <f>IF(T37="","",--(T37='Codebook'!$F$13))</f>
        <v>1</v>
      </c>
      <c r="BM37" s="18">
        <f>IF(U37="","",--(U37='Codebook'!$F$14))</f>
        <v>0</v>
      </c>
      <c r="BN37" s="18">
        <f>IF(V37="","",--(V37='Codebook'!$F$15))</f>
        <v>0</v>
      </c>
      <c r="BO37" s="18">
        <f>IF(W37="","",--(W37='Codebook'!$F$16))</f>
        <v>1</v>
      </c>
      <c r="BP37" s="18">
        <f>IF(X37="","",--(X37='Codebook'!$F$17))</f>
        <v>1</v>
      </c>
      <c r="BQ37" s="18">
        <f>IF(Y37="","",--(Y37='Codebook'!$F$18))</f>
        <v>0</v>
      </c>
      <c r="BR37" s="18">
        <f>IF(Z37="","",--(Z37='Codebook'!$F$19))</f>
        <v>1</v>
      </c>
      <c r="BS37" s="18">
        <f>IF(AA37="","",--(AA37='Codebook'!$F$20))</f>
        <v>1</v>
      </c>
      <c r="BT37" s="18">
        <f>IF(AB37="","",--(AB37='Codebook'!$F$21))</f>
        <v>0</v>
      </c>
      <c r="BU37" s="18">
        <f>IF(AC37="","",--(AC37='Codebook'!$F$22))</f>
        <v>1</v>
      </c>
      <c r="BV37" s="18">
        <f>IF(AD37="","",--(AD37='Codebook'!$F$23))</f>
        <v>1</v>
      </c>
      <c r="BW37" s="18">
        <f>IF(AE37="","",--(AE37='Codebook'!$F$24))</f>
        <v>1</v>
      </c>
      <c r="BX37" s="18">
        <f>IF(AF37="","",--(AF37='Codebook'!$F$25))</f>
        <v>0</v>
      </c>
      <c r="BY37" s="18">
        <f>IF(AG37="","",--(AG37='Codebook'!$F$26))</f>
        <v>0</v>
      </c>
      <c r="BZ37" s="18">
        <f>IF(AH37="","",--(AH37='Codebook'!$F$27))</f>
        <v>0</v>
      </c>
      <c r="CA37" s="18">
        <f>IF(AI37="","",--(AI37='Codebook'!$F$28))</f>
        <v>0</v>
      </c>
      <c r="CB37" s="18">
        <f>IF(AJ37="","",--(AJ37='Codebook'!$F$29))</f>
        <v>0</v>
      </c>
      <c r="CC37" s="18">
        <f>IF(AK37="","",--(AK37='Codebook'!$F$30))</f>
        <v>1</v>
      </c>
      <c r="CD37" s="18">
        <f>IF(AL37="","",--(AL37='Codebook'!$F$31))</f>
        <v>1</v>
      </c>
      <c r="CE37" s="18">
        <f>IF(AM37="","",--(AM37='Codebook'!$F$32))</f>
        <v>1</v>
      </c>
      <c r="CF37" s="18">
        <f>IF(AN37="","",--(AN37='Codebook'!$F$33))</f>
        <v>1</v>
      </c>
      <c r="CG37" s="18">
        <f>IF(AO37="","",--(AO37='Codebook'!$F$34))</f>
        <v>0</v>
      </c>
      <c r="CH37" s="18">
        <f>IF(AP37="","",--(AP37='Codebook'!$F$35))</f>
        <v>0</v>
      </c>
      <c r="CI37" s="18">
        <f>IF(AQ37="","",--(AQ37='Codebook'!$F$36))</f>
        <v>1</v>
      </c>
      <c r="CJ37" s="18">
        <f>IF(AR37="","",--(AR37='Codebook'!$F$37))</f>
        <v>0</v>
      </c>
      <c r="CK37" s="18">
        <f>IF(AS37="","",--(AS37='Codebook'!$F$38))</f>
        <v>0</v>
      </c>
      <c r="CL37" s="18">
        <f>IF(AT37="","",--(AT37='Codebook'!$F$39))</f>
        <v>0</v>
      </c>
      <c r="CM37" s="18">
        <f>IF(AU37="","",--(AU37='Codebook'!$F$40))</f>
        <v>1</v>
      </c>
      <c r="CN37" s="18">
        <f>IF(AV37="","",--(AV37='Codebook'!$F$41))</f>
        <v>0</v>
      </c>
      <c r="CO37" s="18">
        <f>IF(AW37="","",--(AW37='Codebook'!$F$42))</f>
        <v>0</v>
      </c>
      <c r="CP37" s="18">
        <f>IF(AX37="","",--(AX37='Codebook'!$F$43))</f>
        <v>0</v>
      </c>
      <c r="CQ37" s="18">
        <f>IF(AY37="","",--(AY37='Codebook'!$F$44))</f>
        <v>0</v>
      </c>
      <c r="CR37" s="18">
        <f>IF(AZ37="","",--(AZ37='Codebook'!$F$45))</f>
        <v>0</v>
      </c>
    </row>
    <row r="38" spans="2:96" ht="24" customHeight="1">
      <c r="B38" s="18">
        <v>33</v>
      </c>
      <c r="C38" s="23">
        <v>46276.40406898148</v>
      </c>
      <c r="D38" s="18">
        <v>23</v>
      </c>
      <c r="E38" s="21" t="s">
        <v>194</v>
      </c>
      <c r="F38" s="21" t="s">
        <v>201</v>
      </c>
      <c r="G38" s="17" t="s">
        <v>202</v>
      </c>
      <c r="H38" s="21" t="s">
        <v>197</v>
      </c>
      <c r="I38" s="18">
        <f>SUM(BL38:BU38)</f>
        <v>8</v>
      </c>
      <c r="J38" s="18">
        <f>IF(COUNT(BV38:CD38)=9,SUM(BV38:CD38),"")</f>
        <v>6</v>
      </c>
      <c r="K38" s="18">
        <f>SUM(BL38:CD38)</f>
        <v>14</v>
      </c>
      <c r="L38" s="18">
        <f>--(K38&gt;='Codebook'!$C$8)</f>
        <v>1</v>
      </c>
      <c r="M38" s="18">
        <f>--(COUNT(BL38:CD38)=19)</f>
        <v>1</v>
      </c>
      <c r="N38" s="18">
        <f>SUM(CE38:CL38)</f>
        <v>7</v>
      </c>
      <c r="O38" s="18">
        <f>SUM(CM38:CR38)</f>
        <v>6</v>
      </c>
      <c r="P38" s="18">
        <f>N38+O38</f>
        <v>13</v>
      </c>
      <c r="Q38" s="21" t="s">
        <v>198</v>
      </c>
      <c r="R38" s="17" t="s">
        <v>157</v>
      </c>
      <c r="S38" s="18">
        <f>--OR(Overview!$B$6="All",E38=Overview!$B$6)*--OR(Overview!$F$6="All",F38=Overview!$F$6)*--OR(Overview!$J$6="All",G38=Overview!$J$6)*--OR(Overview!$N$6="All",H38=Overview!$N$6)</f>
        <v>1</v>
      </c>
      <c r="T38" s="21" t="s">
        <v>22</v>
      </c>
      <c r="U38" s="21" t="s">
        <v>22</v>
      </c>
      <c r="V38" s="21" t="s">
        <v>22</v>
      </c>
      <c r="W38" s="21" t="s">
        <v>22</v>
      </c>
      <c r="X38" s="21" t="s">
        <v>22</v>
      </c>
      <c r="Y38" s="21" t="s">
        <v>26</v>
      </c>
      <c r="Z38" s="21" t="s">
        <v>22</v>
      </c>
      <c r="AA38" s="21" t="s">
        <v>22</v>
      </c>
      <c r="AB38" s="21" t="s">
        <v>26</v>
      </c>
      <c r="AC38" s="21" t="s">
        <v>22</v>
      </c>
      <c r="AD38" s="21" t="s">
        <v>22</v>
      </c>
      <c r="AE38" s="21" t="s">
        <v>22</v>
      </c>
      <c r="AF38" s="21" t="s">
        <v>26</v>
      </c>
      <c r="AG38" s="21" t="s">
        <v>26</v>
      </c>
      <c r="AH38" s="21" t="s">
        <v>198</v>
      </c>
      <c r="AI38" s="21" t="s">
        <v>26</v>
      </c>
      <c r="AJ38" s="21" t="s">
        <v>22</v>
      </c>
      <c r="AK38" s="21" t="s">
        <v>22</v>
      </c>
      <c r="AL38" s="21" t="s">
        <v>26</v>
      </c>
      <c r="AM38" s="21" t="s">
        <v>83</v>
      </c>
      <c r="AN38" s="21" t="s">
        <v>83</v>
      </c>
      <c r="AO38" s="21" t="s">
        <v>83</v>
      </c>
      <c r="AP38" s="21" t="s">
        <v>83</v>
      </c>
      <c r="AQ38" s="21" t="s">
        <v>109</v>
      </c>
      <c r="AR38" s="21" t="s">
        <v>83</v>
      </c>
      <c r="AS38" s="21" t="s">
        <v>83</v>
      </c>
      <c r="AT38" s="21" t="s">
        <v>83</v>
      </c>
      <c r="AU38" s="21" t="s">
        <v>109</v>
      </c>
      <c r="AV38" s="21" t="s">
        <v>109</v>
      </c>
      <c r="AW38" s="21" t="s">
        <v>109</v>
      </c>
      <c r="AX38" s="21" t="s">
        <v>109</v>
      </c>
      <c r="AY38" s="21" t="s">
        <v>109</v>
      </c>
      <c r="AZ38" s="21" t="s">
        <v>109</v>
      </c>
      <c r="BA38" s="17" t="s">
        <v>210</v>
      </c>
      <c r="BB38" s="17" t="s">
        <v>249</v>
      </c>
      <c r="BC38" s="18">
        <f>--ISNUMBER(SEARCH("Radio or television",BA38))</f>
        <v>0</v>
      </c>
      <c r="BD38" s="18">
        <f>--ISNUMBER(SEARCH("Newspapers or print media",BA38))</f>
        <v>0</v>
      </c>
      <c r="BE38" s="18">
        <f>--ISNUMBER(SEARCH("Social media (e.g. Facebook, WhatsApp, YouTube, X/Twitter)",BA38))</f>
        <v>0</v>
      </c>
      <c r="BF38" s="18">
        <f>--ISNUMBER(SEARCH("Family members",BA38))</f>
        <v>0</v>
      </c>
      <c r="BG38" s="18">
        <f>--ISNUMBER(SEARCH("Friends or fellow students",BA38))</f>
        <v>0</v>
      </c>
      <c r="BH38" s="18">
        <f>--ISNUMBER(SEARCH("School coursework or lectures",BA38))</f>
        <v>1</v>
      </c>
      <c r="BI38" s="18">
        <f>--ISNUMBER(SEARCH("NHIMA outreach activities or NHIMA offices",BA38))</f>
        <v>0</v>
      </c>
      <c r="BJ38" s="18">
        <f>--ISNUMBER(SEARCH("Health facility staff",BA38))</f>
        <v>0</v>
      </c>
      <c r="BK38" s="18">
        <f>--ISNUMBER(SEARCH("not received information",BA38))</f>
        <v>0</v>
      </c>
      <c r="BL38" s="18">
        <f>IF(T38="","",--(T38='Codebook'!$F$13))</f>
        <v>1</v>
      </c>
      <c r="BM38" s="18">
        <f>IF(U38="","",--(U38='Codebook'!$F$14))</f>
        <v>0</v>
      </c>
      <c r="BN38" s="18">
        <f>IF(V38="","",--(V38='Codebook'!$F$15))</f>
        <v>0</v>
      </c>
      <c r="BO38" s="18">
        <f>IF(W38="","",--(W38='Codebook'!$F$16))</f>
        <v>1</v>
      </c>
      <c r="BP38" s="18">
        <f>IF(X38="","",--(X38='Codebook'!$F$17))</f>
        <v>1</v>
      </c>
      <c r="BQ38" s="18">
        <f>IF(Y38="","",--(Y38='Codebook'!$F$18))</f>
        <v>1</v>
      </c>
      <c r="BR38" s="18">
        <f>IF(Z38="","",--(Z38='Codebook'!$F$19))</f>
        <v>1</v>
      </c>
      <c r="BS38" s="18">
        <f>IF(AA38="","",--(AA38='Codebook'!$F$20))</f>
        <v>1</v>
      </c>
      <c r="BT38" s="18">
        <f>IF(AB38="","",--(AB38='Codebook'!$F$21))</f>
        <v>1</v>
      </c>
      <c r="BU38" s="18">
        <f>IF(AC38="","",--(AC38='Codebook'!$F$22))</f>
        <v>1</v>
      </c>
      <c r="BV38" s="18">
        <f>IF(AD38="","",--(AD38='Codebook'!$F$23))</f>
        <v>1</v>
      </c>
      <c r="BW38" s="18">
        <f>IF(AE38="","",--(AE38='Codebook'!$F$24))</f>
        <v>1</v>
      </c>
      <c r="BX38" s="18">
        <f>IF(AF38="","",--(AF38='Codebook'!$F$25))</f>
        <v>1</v>
      </c>
      <c r="BY38" s="18">
        <f>IF(AG38="","",--(AG38='Codebook'!$F$26))</f>
        <v>0</v>
      </c>
      <c r="BZ38" s="18">
        <f>IF(AH38="","",--(AH38='Codebook'!$F$27))</f>
        <v>0</v>
      </c>
      <c r="CA38" s="18">
        <f>IF(AI38="","",--(AI38='Codebook'!$F$28))</f>
        <v>1</v>
      </c>
      <c r="CB38" s="18">
        <f>IF(AJ38="","",--(AJ38='Codebook'!$F$29))</f>
        <v>0</v>
      </c>
      <c r="CC38" s="18">
        <f>IF(AK38="","",--(AK38='Codebook'!$F$30))</f>
        <v>1</v>
      </c>
      <c r="CD38" s="18">
        <f>IF(AL38="","",--(AL38='Codebook'!$F$31))</f>
        <v>1</v>
      </c>
      <c r="CE38" s="18">
        <f>IF(AM38="","",--(AM38='Codebook'!$F$32))</f>
        <v>1</v>
      </c>
      <c r="CF38" s="18">
        <f>IF(AN38="","",--(AN38='Codebook'!$F$33))</f>
        <v>1</v>
      </c>
      <c r="CG38" s="18">
        <f>IF(AO38="","",--(AO38='Codebook'!$F$34))</f>
        <v>1</v>
      </c>
      <c r="CH38" s="18">
        <f>IF(AP38="","",--(AP38='Codebook'!$F$35))</f>
        <v>1</v>
      </c>
      <c r="CI38" s="18">
        <f>IF(AQ38="","",--(AQ38='Codebook'!$F$36))</f>
        <v>0</v>
      </c>
      <c r="CJ38" s="18">
        <f>IF(AR38="","",--(AR38='Codebook'!$F$37))</f>
        <v>1</v>
      </c>
      <c r="CK38" s="18">
        <f>IF(AS38="","",--(AS38='Codebook'!$F$38))</f>
        <v>1</v>
      </c>
      <c r="CL38" s="18">
        <f>IF(AT38="","",--(AT38='Codebook'!$F$39))</f>
        <v>1</v>
      </c>
      <c r="CM38" s="18">
        <f>IF(AU38="","",--(AU38='Codebook'!$F$40))</f>
        <v>1</v>
      </c>
      <c r="CN38" s="18">
        <f>IF(AV38="","",--(AV38='Codebook'!$F$41))</f>
        <v>1</v>
      </c>
      <c r="CO38" s="18">
        <f>IF(AW38="","",--(AW38='Codebook'!$F$42))</f>
        <v>1</v>
      </c>
      <c r="CP38" s="18">
        <f>IF(AX38="","",--(AX38='Codebook'!$F$43))</f>
        <v>1</v>
      </c>
      <c r="CQ38" s="18">
        <f>IF(AY38="","",--(AY38='Codebook'!$F$44))</f>
        <v>1</v>
      </c>
      <c r="CR38" s="18">
        <f>IF(AZ38="","",--(AZ38='Codebook'!$F$45))</f>
        <v>1</v>
      </c>
    </row>
    <row r="39" spans="2:96" ht="24" customHeight="1">
      <c r="B39" s="18">
        <v>34</v>
      </c>
      <c r="C39" s="23">
        <v>46276.55054822917</v>
      </c>
      <c r="D39" s="18">
        <v>24</v>
      </c>
      <c r="E39" s="21" t="s">
        <v>194</v>
      </c>
      <c r="F39" s="21" t="s">
        <v>212</v>
      </c>
      <c r="G39" s="17" t="s">
        <v>224</v>
      </c>
      <c r="H39" s="21" t="s">
        <v>207</v>
      </c>
      <c r="I39" s="18">
        <f>SUM(BL39:BU39)</f>
        <v>6</v>
      </c>
      <c r="J39" s="18">
        <f>IF(COUNT(BV39:CD39)=9,SUM(BV39:CD39),"")</f>
        <v>5</v>
      </c>
      <c r="K39" s="18">
        <f>SUM(BL39:CD39)</f>
        <v>11</v>
      </c>
      <c r="L39" s="18">
        <f>--(K39&gt;='Codebook'!$C$8)</f>
        <v>0</v>
      </c>
      <c r="M39" s="18">
        <f>--(COUNT(BL39:CD39)=19)</f>
        <v>1</v>
      </c>
      <c r="N39" s="18">
        <f>SUM(CE39:CL39)</f>
        <v>8</v>
      </c>
      <c r="O39" s="18">
        <f>SUM(CM39:CR39)</f>
        <v>1</v>
      </c>
      <c r="P39" s="18">
        <f>N39+O39</f>
        <v>9</v>
      </c>
      <c r="Q39" s="21" t="s">
        <v>198</v>
      </c>
      <c r="R39" s="17" t="s">
        <v>152</v>
      </c>
      <c r="S39" s="18">
        <f>--OR(Overview!$B$6="All",E39=Overview!$B$6)*--OR(Overview!$F$6="All",F39=Overview!$F$6)*--OR(Overview!$J$6="All",G39=Overview!$J$6)*--OR(Overview!$N$6="All",H39=Overview!$N$6)</f>
        <v>1</v>
      </c>
      <c r="T39" s="21" t="s">
        <v>22</v>
      </c>
      <c r="U39" s="21" t="s">
        <v>22</v>
      </c>
      <c r="V39" s="21" t="s">
        <v>22</v>
      </c>
      <c r="W39" s="21" t="s">
        <v>22</v>
      </c>
      <c r="X39" s="21" t="s">
        <v>22</v>
      </c>
      <c r="Y39" s="21" t="s">
        <v>22</v>
      </c>
      <c r="Z39" s="21" t="s">
        <v>22</v>
      </c>
      <c r="AA39" s="21" t="s">
        <v>22</v>
      </c>
      <c r="AB39" s="21" t="s">
        <v>22</v>
      </c>
      <c r="AC39" s="21" t="s">
        <v>22</v>
      </c>
      <c r="AD39" s="21" t="s">
        <v>22</v>
      </c>
      <c r="AE39" s="21" t="s">
        <v>22</v>
      </c>
      <c r="AF39" s="21" t="s">
        <v>22</v>
      </c>
      <c r="AG39" s="21" t="s">
        <v>198</v>
      </c>
      <c r="AH39" s="21" t="s">
        <v>198</v>
      </c>
      <c r="AI39" s="21" t="s">
        <v>26</v>
      </c>
      <c r="AJ39" s="21" t="s">
        <v>22</v>
      </c>
      <c r="AK39" s="21" t="s">
        <v>22</v>
      </c>
      <c r="AL39" s="21" t="s">
        <v>26</v>
      </c>
      <c r="AM39" s="21" t="s">
        <v>83</v>
      </c>
      <c r="AN39" s="21" t="s">
        <v>83</v>
      </c>
      <c r="AO39" s="21" t="s">
        <v>83</v>
      </c>
      <c r="AP39" s="21" t="s">
        <v>83</v>
      </c>
      <c r="AQ39" s="21" t="s">
        <v>83</v>
      </c>
      <c r="AR39" s="21" t="s">
        <v>83</v>
      </c>
      <c r="AS39" s="21" t="s">
        <v>83</v>
      </c>
      <c r="AT39" s="21" t="s">
        <v>83</v>
      </c>
      <c r="AU39" s="21" t="s">
        <v>83</v>
      </c>
      <c r="AV39" s="21" t="s">
        <v>83</v>
      </c>
      <c r="AW39" s="21" t="s">
        <v>83</v>
      </c>
      <c r="AX39" s="21" t="s">
        <v>109</v>
      </c>
      <c r="AY39" s="21" t="s">
        <v>198</v>
      </c>
      <c r="AZ39" s="21" t="s">
        <v>83</v>
      </c>
      <c r="BA39" s="17" t="s">
        <v>223</v>
      </c>
      <c r="BB39" s="17" t="s">
        <v>240</v>
      </c>
      <c r="BC39" s="18">
        <f>--ISNUMBER(SEARCH("Radio or television",BA39))</f>
        <v>1</v>
      </c>
      <c r="BD39" s="18">
        <f>--ISNUMBER(SEARCH("Newspapers or print media",BA39))</f>
        <v>0</v>
      </c>
      <c r="BE39" s="18">
        <f>--ISNUMBER(SEARCH("Social media (e.g. Facebook, WhatsApp, YouTube, X/Twitter)",BA39))</f>
        <v>0</v>
      </c>
      <c r="BF39" s="18">
        <f>--ISNUMBER(SEARCH("Family members",BA39))</f>
        <v>0</v>
      </c>
      <c r="BG39" s="18">
        <f>--ISNUMBER(SEARCH("Friends or fellow students",BA39))</f>
        <v>0</v>
      </c>
      <c r="BH39" s="18">
        <f>--ISNUMBER(SEARCH("School coursework or lectures",BA39))</f>
        <v>0</v>
      </c>
      <c r="BI39" s="18">
        <f>--ISNUMBER(SEARCH("NHIMA outreach activities or NHIMA offices",BA39))</f>
        <v>0</v>
      </c>
      <c r="BJ39" s="18">
        <f>--ISNUMBER(SEARCH("Health facility staff",BA39))</f>
        <v>0</v>
      </c>
      <c r="BK39" s="18">
        <f>--ISNUMBER(SEARCH("not received information",BA39))</f>
        <v>0</v>
      </c>
      <c r="BL39" s="18">
        <f>IF(T39="","",--(T39='Codebook'!$F$13))</f>
        <v>1</v>
      </c>
      <c r="BM39" s="18">
        <f>IF(U39="","",--(U39='Codebook'!$F$14))</f>
        <v>0</v>
      </c>
      <c r="BN39" s="18">
        <f>IF(V39="","",--(V39='Codebook'!$F$15))</f>
        <v>0</v>
      </c>
      <c r="BO39" s="18">
        <f>IF(W39="","",--(W39='Codebook'!$F$16))</f>
        <v>1</v>
      </c>
      <c r="BP39" s="18">
        <f>IF(X39="","",--(X39='Codebook'!$F$17))</f>
        <v>1</v>
      </c>
      <c r="BQ39" s="18">
        <f>IF(Y39="","",--(Y39='Codebook'!$F$18))</f>
        <v>0</v>
      </c>
      <c r="BR39" s="18">
        <f>IF(Z39="","",--(Z39='Codebook'!$F$19))</f>
        <v>1</v>
      </c>
      <c r="BS39" s="18">
        <f>IF(AA39="","",--(AA39='Codebook'!$F$20))</f>
        <v>1</v>
      </c>
      <c r="BT39" s="18">
        <f>IF(AB39="","",--(AB39='Codebook'!$F$21))</f>
        <v>0</v>
      </c>
      <c r="BU39" s="18">
        <f>IF(AC39="","",--(AC39='Codebook'!$F$22))</f>
        <v>1</v>
      </c>
      <c r="BV39" s="18">
        <f>IF(AD39="","",--(AD39='Codebook'!$F$23))</f>
        <v>1</v>
      </c>
      <c r="BW39" s="18">
        <f>IF(AE39="","",--(AE39='Codebook'!$F$24))</f>
        <v>1</v>
      </c>
      <c r="BX39" s="18">
        <f>IF(AF39="","",--(AF39='Codebook'!$F$25))</f>
        <v>0</v>
      </c>
      <c r="BY39" s="18">
        <f>IF(AG39="","",--(AG39='Codebook'!$F$26))</f>
        <v>0</v>
      </c>
      <c r="BZ39" s="18">
        <f>IF(AH39="","",--(AH39='Codebook'!$F$27))</f>
        <v>0</v>
      </c>
      <c r="CA39" s="18">
        <f>IF(AI39="","",--(AI39='Codebook'!$F$28))</f>
        <v>1</v>
      </c>
      <c r="CB39" s="18">
        <f>IF(AJ39="","",--(AJ39='Codebook'!$F$29))</f>
        <v>0</v>
      </c>
      <c r="CC39" s="18">
        <f>IF(AK39="","",--(AK39='Codebook'!$F$30))</f>
        <v>1</v>
      </c>
      <c r="CD39" s="18">
        <f>IF(AL39="","",--(AL39='Codebook'!$F$31))</f>
        <v>1</v>
      </c>
      <c r="CE39" s="18">
        <f>IF(AM39="","",--(AM39='Codebook'!$F$32))</f>
        <v>1</v>
      </c>
      <c r="CF39" s="18">
        <f>IF(AN39="","",--(AN39='Codebook'!$F$33))</f>
        <v>1</v>
      </c>
      <c r="CG39" s="18">
        <f>IF(AO39="","",--(AO39='Codebook'!$F$34))</f>
        <v>1</v>
      </c>
      <c r="CH39" s="18">
        <f>IF(AP39="","",--(AP39='Codebook'!$F$35))</f>
        <v>1</v>
      </c>
      <c r="CI39" s="18">
        <f>IF(AQ39="","",--(AQ39='Codebook'!$F$36))</f>
        <v>1</v>
      </c>
      <c r="CJ39" s="18">
        <f>IF(AR39="","",--(AR39='Codebook'!$F$37))</f>
        <v>1</v>
      </c>
      <c r="CK39" s="18">
        <f>IF(AS39="","",--(AS39='Codebook'!$F$38))</f>
        <v>1</v>
      </c>
      <c r="CL39" s="18">
        <f>IF(AT39="","",--(AT39='Codebook'!$F$39))</f>
        <v>1</v>
      </c>
      <c r="CM39" s="18">
        <f>IF(AU39="","",--(AU39='Codebook'!$F$40))</f>
        <v>0</v>
      </c>
      <c r="CN39" s="18">
        <f>IF(AV39="","",--(AV39='Codebook'!$F$41))</f>
        <v>0</v>
      </c>
      <c r="CO39" s="18">
        <f>IF(AW39="","",--(AW39='Codebook'!$F$42))</f>
        <v>0</v>
      </c>
      <c r="CP39" s="18">
        <f>IF(AX39="","",--(AX39='Codebook'!$F$43))</f>
        <v>1</v>
      </c>
      <c r="CQ39" s="18">
        <f>IF(AY39="","",--(AY39='Codebook'!$F$44))</f>
        <v>0</v>
      </c>
      <c r="CR39" s="18">
        <f>IF(AZ39="","",--(AZ39='Codebook'!$F$45))</f>
        <v>0</v>
      </c>
    </row>
    <row r="40" spans="2:96" ht="24" customHeight="1">
      <c r="B40" s="18">
        <v>35</v>
      </c>
      <c r="C40" s="23">
        <v>46276.59369695602</v>
      </c>
      <c r="D40" s="18">
        <v>24</v>
      </c>
      <c r="E40" s="21" t="s">
        <v>194</v>
      </c>
      <c r="F40" s="21" t="s">
        <v>195</v>
      </c>
      <c r="G40" s="17" t="s">
        <v>215</v>
      </c>
      <c r="H40" s="21" t="s">
        <v>207</v>
      </c>
      <c r="I40" s="18">
        <f>SUM(BL40:BU40)</f>
        <v>9</v>
      </c>
      <c r="J40" s="18">
        <f>IF(COUNT(BV40:CD40)=9,SUM(BV40:CD40),"")</f>
        <v>5</v>
      </c>
      <c r="K40" s="18">
        <f>SUM(BL40:CD40)</f>
        <v>14</v>
      </c>
      <c r="L40" s="18">
        <f>--(K40&gt;='Codebook'!$C$8)</f>
        <v>1</v>
      </c>
      <c r="M40" s="18">
        <f>--(COUNT(BL40:CD40)=19)</f>
        <v>1</v>
      </c>
      <c r="N40" s="18">
        <f>SUM(CE40:CL40)</f>
        <v>7</v>
      </c>
      <c r="O40" s="18">
        <f>SUM(CM40:CR40)</f>
        <v>6</v>
      </c>
      <c r="P40" s="18">
        <f>N40+O40</f>
        <v>13</v>
      </c>
      <c r="Q40" s="21" t="s">
        <v>197</v>
      </c>
      <c r="R40" s="17" t="s">
        <v>155</v>
      </c>
      <c r="S40" s="18">
        <f>--OR(Overview!$B$6="All",E40=Overview!$B$6)*--OR(Overview!$F$6="All",F40=Overview!$F$6)*--OR(Overview!$J$6="All",G40=Overview!$J$6)*--OR(Overview!$N$6="All",H40=Overview!$N$6)</f>
        <v>1</v>
      </c>
      <c r="T40" s="21" t="s">
        <v>22</v>
      </c>
      <c r="U40" s="21" t="s">
        <v>198</v>
      </c>
      <c r="V40" s="21" t="s">
        <v>26</v>
      </c>
      <c r="W40" s="21" t="s">
        <v>22</v>
      </c>
      <c r="X40" s="21" t="s">
        <v>22</v>
      </c>
      <c r="Y40" s="21" t="s">
        <v>26</v>
      </c>
      <c r="Z40" s="21" t="s">
        <v>22</v>
      </c>
      <c r="AA40" s="21" t="s">
        <v>22</v>
      </c>
      <c r="AB40" s="21" t="s">
        <v>26</v>
      </c>
      <c r="AC40" s="21" t="s">
        <v>22</v>
      </c>
      <c r="AD40" s="21" t="s">
        <v>22</v>
      </c>
      <c r="AE40" s="21" t="s">
        <v>198</v>
      </c>
      <c r="AF40" s="21" t="s">
        <v>26</v>
      </c>
      <c r="AG40" s="21" t="s">
        <v>198</v>
      </c>
      <c r="AH40" s="21" t="s">
        <v>22</v>
      </c>
      <c r="AI40" s="21" t="s">
        <v>26</v>
      </c>
      <c r="AJ40" s="21" t="s">
        <v>22</v>
      </c>
      <c r="AK40" s="21" t="s">
        <v>198</v>
      </c>
      <c r="AL40" s="21" t="s">
        <v>26</v>
      </c>
      <c r="AM40" s="21" t="s">
        <v>83</v>
      </c>
      <c r="AN40" s="21" t="s">
        <v>83</v>
      </c>
      <c r="AO40" s="21" t="s">
        <v>83</v>
      </c>
      <c r="AP40" s="21" t="s">
        <v>83</v>
      </c>
      <c r="AQ40" s="21" t="s">
        <v>83</v>
      </c>
      <c r="AR40" s="21" t="s">
        <v>83</v>
      </c>
      <c r="AS40" s="21" t="s">
        <v>83</v>
      </c>
      <c r="AT40" s="21" t="s">
        <v>198</v>
      </c>
      <c r="AU40" s="21" t="s">
        <v>109</v>
      </c>
      <c r="AV40" s="21" t="s">
        <v>109</v>
      </c>
      <c r="AW40" s="21" t="s">
        <v>109</v>
      </c>
      <c r="AX40" s="21" t="s">
        <v>109</v>
      </c>
      <c r="AY40" s="21" t="s">
        <v>109</v>
      </c>
      <c r="AZ40" s="21" t="s">
        <v>109</v>
      </c>
      <c r="BA40" s="17" t="s">
        <v>208</v>
      </c>
      <c r="BB40" s="17" t="s">
        <v>219</v>
      </c>
      <c r="BC40" s="18">
        <f>--ISNUMBER(SEARCH("Radio or television",BA40))</f>
        <v>0</v>
      </c>
      <c r="BD40" s="18">
        <f>--ISNUMBER(SEARCH("Newspapers or print media",BA40))</f>
        <v>0</v>
      </c>
      <c r="BE40" s="18">
        <f>--ISNUMBER(SEARCH("Social media (e.g. Facebook, WhatsApp, YouTube, X/Twitter)",BA40))</f>
        <v>1</v>
      </c>
      <c r="BF40" s="18">
        <f>--ISNUMBER(SEARCH("Family members",BA40))</f>
        <v>1</v>
      </c>
      <c r="BG40" s="18">
        <f>--ISNUMBER(SEARCH("Friends or fellow students",BA40))</f>
        <v>1</v>
      </c>
      <c r="BH40" s="18">
        <f>--ISNUMBER(SEARCH("School coursework or lectures",BA40))</f>
        <v>1</v>
      </c>
      <c r="BI40" s="18">
        <f>--ISNUMBER(SEARCH("NHIMA outreach activities or NHIMA offices",BA40))</f>
        <v>0</v>
      </c>
      <c r="BJ40" s="18">
        <f>--ISNUMBER(SEARCH("Health facility staff",BA40))</f>
        <v>1</v>
      </c>
      <c r="BK40" s="18">
        <f>--ISNUMBER(SEARCH("not received information",BA40))</f>
        <v>0</v>
      </c>
      <c r="BL40" s="18">
        <f>IF(T40="","",--(T40='Codebook'!$F$13))</f>
        <v>1</v>
      </c>
      <c r="BM40" s="18">
        <f>IF(U40="","",--(U40='Codebook'!$F$14))</f>
        <v>0</v>
      </c>
      <c r="BN40" s="18">
        <f>IF(V40="","",--(V40='Codebook'!$F$15))</f>
        <v>1</v>
      </c>
      <c r="BO40" s="18">
        <f>IF(W40="","",--(W40='Codebook'!$F$16))</f>
        <v>1</v>
      </c>
      <c r="BP40" s="18">
        <f>IF(X40="","",--(X40='Codebook'!$F$17))</f>
        <v>1</v>
      </c>
      <c r="BQ40" s="18">
        <f>IF(Y40="","",--(Y40='Codebook'!$F$18))</f>
        <v>1</v>
      </c>
      <c r="BR40" s="18">
        <f>IF(Z40="","",--(Z40='Codebook'!$F$19))</f>
        <v>1</v>
      </c>
      <c r="BS40" s="18">
        <f>IF(AA40="","",--(AA40='Codebook'!$F$20))</f>
        <v>1</v>
      </c>
      <c r="BT40" s="18">
        <f>IF(AB40="","",--(AB40='Codebook'!$F$21))</f>
        <v>1</v>
      </c>
      <c r="BU40" s="18">
        <f>IF(AC40="","",--(AC40='Codebook'!$F$22))</f>
        <v>1</v>
      </c>
      <c r="BV40" s="18">
        <f>IF(AD40="","",--(AD40='Codebook'!$F$23))</f>
        <v>1</v>
      </c>
      <c r="BW40" s="18">
        <f>IF(AE40="","",--(AE40='Codebook'!$F$24))</f>
        <v>0</v>
      </c>
      <c r="BX40" s="18">
        <f>IF(AF40="","",--(AF40='Codebook'!$F$25))</f>
        <v>1</v>
      </c>
      <c r="BY40" s="18">
        <f>IF(AG40="","",--(AG40='Codebook'!$F$26))</f>
        <v>0</v>
      </c>
      <c r="BZ40" s="18">
        <f>IF(AH40="","",--(AH40='Codebook'!$F$27))</f>
        <v>1</v>
      </c>
      <c r="CA40" s="18">
        <f>IF(AI40="","",--(AI40='Codebook'!$F$28))</f>
        <v>1</v>
      </c>
      <c r="CB40" s="18">
        <f>IF(AJ40="","",--(AJ40='Codebook'!$F$29))</f>
        <v>0</v>
      </c>
      <c r="CC40" s="18">
        <f>IF(AK40="","",--(AK40='Codebook'!$F$30))</f>
        <v>0</v>
      </c>
      <c r="CD40" s="18">
        <f>IF(AL40="","",--(AL40='Codebook'!$F$31))</f>
        <v>1</v>
      </c>
      <c r="CE40" s="18">
        <f>IF(AM40="","",--(AM40='Codebook'!$F$32))</f>
        <v>1</v>
      </c>
      <c r="CF40" s="18">
        <f>IF(AN40="","",--(AN40='Codebook'!$F$33))</f>
        <v>1</v>
      </c>
      <c r="CG40" s="18">
        <f>IF(AO40="","",--(AO40='Codebook'!$F$34))</f>
        <v>1</v>
      </c>
      <c r="CH40" s="18">
        <f>IF(AP40="","",--(AP40='Codebook'!$F$35))</f>
        <v>1</v>
      </c>
      <c r="CI40" s="18">
        <f>IF(AQ40="","",--(AQ40='Codebook'!$F$36))</f>
        <v>1</v>
      </c>
      <c r="CJ40" s="18">
        <f>IF(AR40="","",--(AR40='Codebook'!$F$37))</f>
        <v>1</v>
      </c>
      <c r="CK40" s="18">
        <f>IF(AS40="","",--(AS40='Codebook'!$F$38))</f>
        <v>1</v>
      </c>
      <c r="CL40" s="18">
        <f>IF(AT40="","",--(AT40='Codebook'!$F$39))</f>
        <v>0</v>
      </c>
      <c r="CM40" s="18">
        <f>IF(AU40="","",--(AU40='Codebook'!$F$40))</f>
        <v>1</v>
      </c>
      <c r="CN40" s="18">
        <f>IF(AV40="","",--(AV40='Codebook'!$F$41))</f>
        <v>1</v>
      </c>
      <c r="CO40" s="18">
        <f>IF(AW40="","",--(AW40='Codebook'!$F$42))</f>
        <v>1</v>
      </c>
      <c r="CP40" s="18">
        <f>IF(AX40="","",--(AX40='Codebook'!$F$43))</f>
        <v>1</v>
      </c>
      <c r="CQ40" s="18">
        <f>IF(AY40="","",--(AY40='Codebook'!$F$44))</f>
        <v>1</v>
      </c>
      <c r="CR40" s="18">
        <f>IF(AZ40="","",--(AZ40='Codebook'!$F$45))</f>
        <v>1</v>
      </c>
    </row>
    <row r="41" spans="2:96" ht="24" customHeight="1">
      <c r="B41" s="18">
        <v>36</v>
      </c>
      <c r="C41" s="23">
        <v>46276.61398449074</v>
      </c>
      <c r="D41" s="18">
        <v>23</v>
      </c>
      <c r="E41" s="21" t="s">
        <v>206</v>
      </c>
      <c r="F41" s="21" t="s">
        <v>195</v>
      </c>
      <c r="G41" s="17" t="s">
        <v>196</v>
      </c>
      <c r="H41" s="21" t="s">
        <v>207</v>
      </c>
      <c r="I41" s="18">
        <f>SUM(BL41:BU41)</f>
        <v>1</v>
      </c>
      <c r="J41" s="18">
        <f>IF(COUNT(BV41:CD41)=9,SUM(BV41:CD41),"")</f>
        <v>4</v>
      </c>
      <c r="K41" s="18">
        <f>SUM(BL41:CD41)</f>
        <v>5</v>
      </c>
      <c r="L41" s="18">
        <f>--(K41&gt;='Codebook'!$C$8)</f>
        <v>0</v>
      </c>
      <c r="M41" s="18">
        <f>--(COUNT(BL41:CD41)=19)</f>
        <v>1</v>
      </c>
      <c r="N41" s="18">
        <f>SUM(CE41:CL41)</f>
        <v>0</v>
      </c>
      <c r="O41" s="18">
        <f>SUM(CM41:CR41)</f>
        <v>0</v>
      </c>
      <c r="P41" s="18">
        <f>N41+O41</f>
        <v>0</v>
      </c>
      <c r="Q41" s="21" t="s">
        <v>197</v>
      </c>
      <c r="R41" s="17" t="s">
        <v>222</v>
      </c>
      <c r="S41" s="18">
        <f>--OR(Overview!$B$6="All",E41=Overview!$B$6)*--OR(Overview!$F$6="All",F41=Overview!$F$6)*--OR(Overview!$J$6="All",G41=Overview!$J$6)*--OR(Overview!$N$6="All",H41=Overview!$N$6)</f>
        <v>1</v>
      </c>
      <c r="T41" s="21" t="s">
        <v>22</v>
      </c>
      <c r="U41" s="21" t="s">
        <v>198</v>
      </c>
      <c r="V41" s="21" t="s">
        <v>198</v>
      </c>
      <c r="W41" s="21" t="s">
        <v>198</v>
      </c>
      <c r="X41" s="21" t="s">
        <v>198</v>
      </c>
      <c r="Y41" s="21" t="s">
        <v>198</v>
      </c>
      <c r="Z41" s="21" t="s">
        <v>198</v>
      </c>
      <c r="AA41" s="21" t="s">
        <v>198</v>
      </c>
      <c r="AB41" s="21" t="s">
        <v>198</v>
      </c>
      <c r="AC41" s="21" t="s">
        <v>198</v>
      </c>
      <c r="AD41" s="21" t="s">
        <v>22</v>
      </c>
      <c r="AE41" s="21" t="s">
        <v>22</v>
      </c>
      <c r="AF41" s="21" t="s">
        <v>22</v>
      </c>
      <c r="AG41" s="21" t="s">
        <v>22</v>
      </c>
      <c r="AH41" s="21" t="s">
        <v>22</v>
      </c>
      <c r="AI41" s="21" t="s">
        <v>22</v>
      </c>
      <c r="AJ41" s="21" t="s">
        <v>22</v>
      </c>
      <c r="AK41" s="21" t="s">
        <v>198</v>
      </c>
      <c r="AL41" s="21" t="s">
        <v>198</v>
      </c>
      <c r="AM41" s="21" t="s">
        <v>198</v>
      </c>
      <c r="AN41" s="21" t="s">
        <v>198</v>
      </c>
      <c r="AO41" s="21" t="s">
        <v>198</v>
      </c>
      <c r="AP41" s="21" t="s">
        <v>198</v>
      </c>
      <c r="AQ41" s="21" t="s">
        <v>198</v>
      </c>
      <c r="AR41" s="21" t="s">
        <v>198</v>
      </c>
      <c r="AS41" s="21" t="s">
        <v>198</v>
      </c>
      <c r="AT41" s="21" t="s">
        <v>198</v>
      </c>
      <c r="AU41" s="21" t="s">
        <v>198</v>
      </c>
      <c r="AV41" s="21" t="s">
        <v>198</v>
      </c>
      <c r="AW41" s="21" t="s">
        <v>198</v>
      </c>
      <c r="AX41" s="21" t="s">
        <v>198</v>
      </c>
      <c r="AY41" s="21" t="s">
        <v>198</v>
      </c>
      <c r="AZ41" s="21" t="s">
        <v>198</v>
      </c>
      <c r="BA41" s="17" t="s">
        <v>250</v>
      </c>
      <c r="BB41" s="21"/>
      <c r="BC41" s="18">
        <f>--ISNUMBER(SEARCH("Radio or television",BA41))</f>
        <v>0</v>
      </c>
      <c r="BD41" s="18">
        <f>--ISNUMBER(SEARCH("Newspapers or print media",BA41))</f>
        <v>0</v>
      </c>
      <c r="BE41" s="18">
        <f>--ISNUMBER(SEARCH("Social media (e.g. Facebook, WhatsApp, YouTube, X/Twitter)",BA41))</f>
        <v>1</v>
      </c>
      <c r="BF41" s="18">
        <f>--ISNUMBER(SEARCH("Family members",BA41))</f>
        <v>0</v>
      </c>
      <c r="BG41" s="18">
        <f>--ISNUMBER(SEARCH("Friends or fellow students",BA41))</f>
        <v>0</v>
      </c>
      <c r="BH41" s="18">
        <f>--ISNUMBER(SEARCH("School coursework or lectures",BA41))</f>
        <v>0</v>
      </c>
      <c r="BI41" s="18">
        <f>--ISNUMBER(SEARCH("NHIMA outreach activities or NHIMA offices",BA41))</f>
        <v>0</v>
      </c>
      <c r="BJ41" s="18">
        <f>--ISNUMBER(SEARCH("Health facility staff",BA41))</f>
        <v>0</v>
      </c>
      <c r="BK41" s="18">
        <f>--ISNUMBER(SEARCH("not received information",BA41))</f>
        <v>0</v>
      </c>
      <c r="BL41" s="18">
        <f>IF(T41="","",--(T41='Codebook'!$F$13))</f>
        <v>1</v>
      </c>
      <c r="BM41" s="18">
        <f>IF(U41="","",--(U41='Codebook'!$F$14))</f>
        <v>0</v>
      </c>
      <c r="BN41" s="18">
        <f>IF(V41="","",--(V41='Codebook'!$F$15))</f>
        <v>0</v>
      </c>
      <c r="BO41" s="18">
        <f>IF(W41="","",--(W41='Codebook'!$F$16))</f>
        <v>0</v>
      </c>
      <c r="BP41" s="18">
        <f>IF(X41="","",--(X41='Codebook'!$F$17))</f>
        <v>0</v>
      </c>
      <c r="BQ41" s="18">
        <f>IF(Y41="","",--(Y41='Codebook'!$F$18))</f>
        <v>0</v>
      </c>
      <c r="BR41" s="18">
        <f>IF(Z41="","",--(Z41='Codebook'!$F$19))</f>
        <v>0</v>
      </c>
      <c r="BS41" s="18">
        <f>IF(AA41="","",--(AA41='Codebook'!$F$20))</f>
        <v>0</v>
      </c>
      <c r="BT41" s="18">
        <f>IF(AB41="","",--(AB41='Codebook'!$F$21))</f>
        <v>0</v>
      </c>
      <c r="BU41" s="18">
        <f>IF(AC41="","",--(AC41='Codebook'!$F$22))</f>
        <v>0</v>
      </c>
      <c r="BV41" s="18">
        <f>IF(AD41="","",--(AD41='Codebook'!$F$23))</f>
        <v>1</v>
      </c>
      <c r="BW41" s="18">
        <f>IF(AE41="","",--(AE41='Codebook'!$F$24))</f>
        <v>1</v>
      </c>
      <c r="BX41" s="18">
        <f>IF(AF41="","",--(AF41='Codebook'!$F$25))</f>
        <v>0</v>
      </c>
      <c r="BY41" s="18">
        <f>IF(AG41="","",--(AG41='Codebook'!$F$26))</f>
        <v>1</v>
      </c>
      <c r="BZ41" s="18">
        <f>IF(AH41="","",--(AH41='Codebook'!$F$27))</f>
        <v>1</v>
      </c>
      <c r="CA41" s="18">
        <f>IF(AI41="","",--(AI41='Codebook'!$F$28))</f>
        <v>0</v>
      </c>
      <c r="CB41" s="18">
        <f>IF(AJ41="","",--(AJ41='Codebook'!$F$29))</f>
        <v>0</v>
      </c>
      <c r="CC41" s="18">
        <f>IF(AK41="","",--(AK41='Codebook'!$F$30))</f>
        <v>0</v>
      </c>
      <c r="CD41" s="18">
        <f>IF(AL41="","",--(AL41='Codebook'!$F$31))</f>
        <v>0</v>
      </c>
      <c r="CE41" s="18">
        <f>IF(AM41="","",--(AM41='Codebook'!$F$32))</f>
        <v>0</v>
      </c>
      <c r="CF41" s="18">
        <f>IF(AN41="","",--(AN41='Codebook'!$F$33))</f>
        <v>0</v>
      </c>
      <c r="CG41" s="18">
        <f>IF(AO41="","",--(AO41='Codebook'!$F$34))</f>
        <v>0</v>
      </c>
      <c r="CH41" s="18">
        <f>IF(AP41="","",--(AP41='Codebook'!$F$35))</f>
        <v>0</v>
      </c>
      <c r="CI41" s="18">
        <f>IF(AQ41="","",--(AQ41='Codebook'!$F$36))</f>
        <v>0</v>
      </c>
      <c r="CJ41" s="18">
        <f>IF(AR41="","",--(AR41='Codebook'!$F$37))</f>
        <v>0</v>
      </c>
      <c r="CK41" s="18">
        <f>IF(AS41="","",--(AS41='Codebook'!$F$38))</f>
        <v>0</v>
      </c>
      <c r="CL41" s="18">
        <f>IF(AT41="","",--(AT41='Codebook'!$F$39))</f>
        <v>0</v>
      </c>
      <c r="CM41" s="18">
        <f>IF(AU41="","",--(AU41='Codebook'!$F$40))</f>
        <v>0</v>
      </c>
      <c r="CN41" s="18">
        <f>IF(AV41="","",--(AV41='Codebook'!$F$41))</f>
        <v>0</v>
      </c>
      <c r="CO41" s="18">
        <f>IF(AW41="","",--(AW41='Codebook'!$F$42))</f>
        <v>0</v>
      </c>
      <c r="CP41" s="18">
        <f>IF(AX41="","",--(AX41='Codebook'!$F$43))</f>
        <v>0</v>
      </c>
      <c r="CQ41" s="18">
        <f>IF(AY41="","",--(AY41='Codebook'!$F$44))</f>
        <v>0</v>
      </c>
      <c r="CR41" s="18">
        <f>IF(AZ41="","",--(AZ41='Codebook'!$F$45))</f>
        <v>0</v>
      </c>
    </row>
    <row r="42" spans="2:96" ht="24" customHeight="1">
      <c r="B42" s="18">
        <v>37</v>
      </c>
      <c r="C42" s="23">
        <v>46276.68207907407</v>
      </c>
      <c r="D42" s="18">
        <v>23</v>
      </c>
      <c r="E42" s="21" t="s">
        <v>194</v>
      </c>
      <c r="F42" s="21" t="s">
        <v>201</v>
      </c>
      <c r="G42" s="17" t="s">
        <v>202</v>
      </c>
      <c r="H42" s="21" t="s">
        <v>207</v>
      </c>
      <c r="I42" s="18">
        <f>SUM(BL42:BU42)</f>
        <v>6</v>
      </c>
      <c r="J42" s="18">
        <f>IF(COUNT(BV42:CD42)=9,SUM(BV42:CD42),"")</f>
        <v>7</v>
      </c>
      <c r="K42" s="18">
        <f>SUM(BL42:CD42)</f>
        <v>13</v>
      </c>
      <c r="L42" s="18">
        <f>--(K42&gt;='Codebook'!$C$8)</f>
        <v>1</v>
      </c>
      <c r="M42" s="18">
        <f>--(COUNT(BL42:CD42)=19)</f>
        <v>1</v>
      </c>
      <c r="N42" s="18">
        <f>SUM(CE42:CL42)</f>
        <v>8</v>
      </c>
      <c r="O42" s="18">
        <f>SUM(CM42:CR42)</f>
        <v>6</v>
      </c>
      <c r="P42" s="18">
        <f>N42+O42</f>
        <v>14</v>
      </c>
      <c r="Q42" s="21" t="s">
        <v>197</v>
      </c>
      <c r="R42" s="17" t="s">
        <v>157</v>
      </c>
      <c r="S42" s="18">
        <f>--OR(Overview!$B$6="All",E42=Overview!$B$6)*--OR(Overview!$F$6="All",F42=Overview!$F$6)*--OR(Overview!$J$6="All",G42=Overview!$J$6)*--OR(Overview!$N$6="All",H42=Overview!$N$6)</f>
        <v>1</v>
      </c>
      <c r="T42" s="21" t="s">
        <v>22</v>
      </c>
      <c r="U42" s="21" t="s">
        <v>22</v>
      </c>
      <c r="V42" s="21" t="s">
        <v>22</v>
      </c>
      <c r="W42" s="21" t="s">
        <v>22</v>
      </c>
      <c r="X42" s="21" t="s">
        <v>22</v>
      </c>
      <c r="Y42" s="21" t="s">
        <v>22</v>
      </c>
      <c r="Z42" s="21" t="s">
        <v>22</v>
      </c>
      <c r="AA42" s="21" t="s">
        <v>22</v>
      </c>
      <c r="AB42" s="21" t="s">
        <v>22</v>
      </c>
      <c r="AC42" s="21" t="s">
        <v>22</v>
      </c>
      <c r="AD42" s="21" t="s">
        <v>22</v>
      </c>
      <c r="AE42" s="21" t="s">
        <v>22</v>
      </c>
      <c r="AF42" s="21" t="s">
        <v>26</v>
      </c>
      <c r="AG42" s="21" t="s">
        <v>198</v>
      </c>
      <c r="AH42" s="21" t="s">
        <v>22</v>
      </c>
      <c r="AI42" s="21" t="s">
        <v>26</v>
      </c>
      <c r="AJ42" s="21" t="s">
        <v>22</v>
      </c>
      <c r="AK42" s="21" t="s">
        <v>22</v>
      </c>
      <c r="AL42" s="21" t="s">
        <v>26</v>
      </c>
      <c r="AM42" s="21" t="s">
        <v>83</v>
      </c>
      <c r="AN42" s="21" t="s">
        <v>83</v>
      </c>
      <c r="AO42" s="21" t="s">
        <v>83</v>
      </c>
      <c r="AP42" s="21" t="s">
        <v>83</v>
      </c>
      <c r="AQ42" s="21" t="s">
        <v>83</v>
      </c>
      <c r="AR42" s="21" t="s">
        <v>83</v>
      </c>
      <c r="AS42" s="21" t="s">
        <v>83</v>
      </c>
      <c r="AT42" s="21" t="s">
        <v>83</v>
      </c>
      <c r="AU42" s="21" t="s">
        <v>109</v>
      </c>
      <c r="AV42" s="21" t="s">
        <v>109</v>
      </c>
      <c r="AW42" s="21" t="s">
        <v>109</v>
      </c>
      <c r="AX42" s="21" t="s">
        <v>109</v>
      </c>
      <c r="AY42" s="21" t="s">
        <v>109</v>
      </c>
      <c r="AZ42" s="21" t="s">
        <v>109</v>
      </c>
      <c r="BA42" s="17" t="s">
        <v>251</v>
      </c>
      <c r="BB42" s="17" t="s">
        <v>249</v>
      </c>
      <c r="BC42" s="18">
        <f>--ISNUMBER(SEARCH("Radio or television",BA42))</f>
        <v>1</v>
      </c>
      <c r="BD42" s="18">
        <f>--ISNUMBER(SEARCH("Newspapers or print media",BA42))</f>
        <v>0</v>
      </c>
      <c r="BE42" s="18">
        <f>--ISNUMBER(SEARCH("Social media (e.g. Facebook, WhatsApp, YouTube, X/Twitter)",BA42))</f>
        <v>0</v>
      </c>
      <c r="BF42" s="18">
        <f>--ISNUMBER(SEARCH("Family members",BA42))</f>
        <v>0</v>
      </c>
      <c r="BG42" s="18">
        <f>--ISNUMBER(SEARCH("Friends or fellow students",BA42))</f>
        <v>0</v>
      </c>
      <c r="BH42" s="18">
        <f>--ISNUMBER(SEARCH("School coursework or lectures",BA42))</f>
        <v>1</v>
      </c>
      <c r="BI42" s="18">
        <f>--ISNUMBER(SEARCH("NHIMA outreach activities or NHIMA offices",BA42))</f>
        <v>0</v>
      </c>
      <c r="BJ42" s="18">
        <f>--ISNUMBER(SEARCH("Health facility staff",BA42))</f>
        <v>0</v>
      </c>
      <c r="BK42" s="18">
        <f>--ISNUMBER(SEARCH("not received information",BA42))</f>
        <v>0</v>
      </c>
      <c r="BL42" s="18">
        <f>IF(T42="","",--(T42='Codebook'!$F$13))</f>
        <v>1</v>
      </c>
      <c r="BM42" s="18">
        <f>IF(U42="","",--(U42='Codebook'!$F$14))</f>
        <v>0</v>
      </c>
      <c r="BN42" s="18">
        <f>IF(V42="","",--(V42='Codebook'!$F$15))</f>
        <v>0</v>
      </c>
      <c r="BO42" s="18">
        <f>IF(W42="","",--(W42='Codebook'!$F$16))</f>
        <v>1</v>
      </c>
      <c r="BP42" s="18">
        <f>IF(X42="","",--(X42='Codebook'!$F$17))</f>
        <v>1</v>
      </c>
      <c r="BQ42" s="18">
        <f>IF(Y42="","",--(Y42='Codebook'!$F$18))</f>
        <v>0</v>
      </c>
      <c r="BR42" s="18">
        <f>IF(Z42="","",--(Z42='Codebook'!$F$19))</f>
        <v>1</v>
      </c>
      <c r="BS42" s="18">
        <f>IF(AA42="","",--(AA42='Codebook'!$F$20))</f>
        <v>1</v>
      </c>
      <c r="BT42" s="18">
        <f>IF(AB42="","",--(AB42='Codebook'!$F$21))</f>
        <v>0</v>
      </c>
      <c r="BU42" s="18">
        <f>IF(AC42="","",--(AC42='Codebook'!$F$22))</f>
        <v>1</v>
      </c>
      <c r="BV42" s="18">
        <f>IF(AD42="","",--(AD42='Codebook'!$F$23))</f>
        <v>1</v>
      </c>
      <c r="BW42" s="18">
        <f>IF(AE42="","",--(AE42='Codebook'!$F$24))</f>
        <v>1</v>
      </c>
      <c r="BX42" s="18">
        <f>IF(AF42="","",--(AF42='Codebook'!$F$25))</f>
        <v>1</v>
      </c>
      <c r="BY42" s="18">
        <f>IF(AG42="","",--(AG42='Codebook'!$F$26))</f>
        <v>0</v>
      </c>
      <c r="BZ42" s="18">
        <f>IF(AH42="","",--(AH42='Codebook'!$F$27))</f>
        <v>1</v>
      </c>
      <c r="CA42" s="18">
        <f>IF(AI42="","",--(AI42='Codebook'!$F$28))</f>
        <v>1</v>
      </c>
      <c r="CB42" s="18">
        <f>IF(AJ42="","",--(AJ42='Codebook'!$F$29))</f>
        <v>0</v>
      </c>
      <c r="CC42" s="18">
        <f>IF(AK42="","",--(AK42='Codebook'!$F$30))</f>
        <v>1</v>
      </c>
      <c r="CD42" s="18">
        <f>IF(AL42="","",--(AL42='Codebook'!$F$31))</f>
        <v>1</v>
      </c>
      <c r="CE42" s="18">
        <f>IF(AM42="","",--(AM42='Codebook'!$F$32))</f>
        <v>1</v>
      </c>
      <c r="CF42" s="18">
        <f>IF(AN42="","",--(AN42='Codebook'!$F$33))</f>
        <v>1</v>
      </c>
      <c r="CG42" s="18">
        <f>IF(AO42="","",--(AO42='Codebook'!$F$34))</f>
        <v>1</v>
      </c>
      <c r="CH42" s="18">
        <f>IF(AP42="","",--(AP42='Codebook'!$F$35))</f>
        <v>1</v>
      </c>
      <c r="CI42" s="18">
        <f>IF(AQ42="","",--(AQ42='Codebook'!$F$36))</f>
        <v>1</v>
      </c>
      <c r="CJ42" s="18">
        <f>IF(AR42="","",--(AR42='Codebook'!$F$37))</f>
        <v>1</v>
      </c>
      <c r="CK42" s="18">
        <f>IF(AS42="","",--(AS42='Codebook'!$F$38))</f>
        <v>1</v>
      </c>
      <c r="CL42" s="18">
        <f>IF(AT42="","",--(AT42='Codebook'!$F$39))</f>
        <v>1</v>
      </c>
      <c r="CM42" s="18">
        <f>IF(AU42="","",--(AU42='Codebook'!$F$40))</f>
        <v>1</v>
      </c>
      <c r="CN42" s="18">
        <f>IF(AV42="","",--(AV42='Codebook'!$F$41))</f>
        <v>1</v>
      </c>
      <c r="CO42" s="18">
        <f>IF(AW42="","",--(AW42='Codebook'!$F$42))</f>
        <v>1</v>
      </c>
      <c r="CP42" s="18">
        <f>IF(AX42="","",--(AX42='Codebook'!$F$43))</f>
        <v>1</v>
      </c>
      <c r="CQ42" s="18">
        <f>IF(AY42="","",--(AY42='Codebook'!$F$44))</f>
        <v>1</v>
      </c>
      <c r="CR42" s="18">
        <f>IF(AZ42="","",--(AZ42='Codebook'!$F$45))</f>
        <v>1</v>
      </c>
    </row>
    <row r="43" spans="2:96" ht="24" customHeight="1">
      <c r="B43" s="18">
        <v>38</v>
      </c>
      <c r="C43" s="23">
        <v>46276.76144238426</v>
      </c>
      <c r="D43" s="18">
        <v>23</v>
      </c>
      <c r="E43" s="21" t="s">
        <v>206</v>
      </c>
      <c r="F43" s="21" t="s">
        <v>195</v>
      </c>
      <c r="G43" s="17" t="s">
        <v>196</v>
      </c>
      <c r="H43" s="21" t="s">
        <v>207</v>
      </c>
      <c r="I43" s="18">
        <f>SUM(BL43:BU43)</f>
        <v>6</v>
      </c>
      <c r="J43" s="18">
        <f>IF(COUNT(BV43:CD43)=9,SUM(BV43:CD43),"")</f>
        <v>7</v>
      </c>
      <c r="K43" s="18">
        <f>SUM(BL43:CD43)</f>
        <v>13</v>
      </c>
      <c r="L43" s="18">
        <f>--(K43&gt;='Codebook'!$C$8)</f>
        <v>1</v>
      </c>
      <c r="M43" s="18">
        <f>--(COUNT(BL43:CD43)=19)</f>
        <v>1</v>
      </c>
      <c r="N43" s="18">
        <f>SUM(CE43:CL43)</f>
        <v>5</v>
      </c>
      <c r="O43" s="18">
        <f>SUM(CM43:CR43)</f>
        <v>2</v>
      </c>
      <c r="P43" s="18">
        <f>N43+O43</f>
        <v>7</v>
      </c>
      <c r="Q43" s="21" t="s">
        <v>198</v>
      </c>
      <c r="R43" s="17" t="s">
        <v>155</v>
      </c>
      <c r="S43" s="18">
        <f>--OR(Overview!$B$6="All",E43=Overview!$B$6)*--OR(Overview!$F$6="All",F43=Overview!$F$6)*--OR(Overview!$J$6="All",G43=Overview!$J$6)*--OR(Overview!$N$6="All",H43=Overview!$N$6)</f>
        <v>1</v>
      </c>
      <c r="T43" s="21" t="s">
        <v>22</v>
      </c>
      <c r="U43" s="21" t="s">
        <v>22</v>
      </c>
      <c r="V43" s="21" t="s">
        <v>22</v>
      </c>
      <c r="W43" s="21" t="s">
        <v>22</v>
      </c>
      <c r="X43" s="21" t="s">
        <v>22</v>
      </c>
      <c r="Y43" s="21" t="s">
        <v>22</v>
      </c>
      <c r="Z43" s="21" t="s">
        <v>22</v>
      </c>
      <c r="AA43" s="21" t="s">
        <v>22</v>
      </c>
      <c r="AB43" s="21" t="s">
        <v>22</v>
      </c>
      <c r="AC43" s="21" t="s">
        <v>22</v>
      </c>
      <c r="AD43" s="21" t="s">
        <v>22</v>
      </c>
      <c r="AE43" s="21" t="s">
        <v>22</v>
      </c>
      <c r="AF43" s="21" t="s">
        <v>22</v>
      </c>
      <c r="AG43" s="21" t="s">
        <v>22</v>
      </c>
      <c r="AH43" s="21" t="s">
        <v>22</v>
      </c>
      <c r="AI43" s="21" t="s">
        <v>26</v>
      </c>
      <c r="AJ43" s="21" t="s">
        <v>26</v>
      </c>
      <c r="AK43" s="21" t="s">
        <v>26</v>
      </c>
      <c r="AL43" s="21" t="s">
        <v>26</v>
      </c>
      <c r="AM43" s="21" t="s">
        <v>109</v>
      </c>
      <c r="AN43" s="21" t="s">
        <v>83</v>
      </c>
      <c r="AO43" s="21" t="s">
        <v>83</v>
      </c>
      <c r="AP43" s="21" t="s">
        <v>83</v>
      </c>
      <c r="AQ43" s="21" t="s">
        <v>83</v>
      </c>
      <c r="AR43" s="21" t="s">
        <v>83</v>
      </c>
      <c r="AS43" s="21" t="s">
        <v>198</v>
      </c>
      <c r="AT43" s="21" t="s">
        <v>198</v>
      </c>
      <c r="AU43" s="21" t="s">
        <v>109</v>
      </c>
      <c r="AV43" s="21" t="s">
        <v>109</v>
      </c>
      <c r="AW43" s="21" t="s">
        <v>198</v>
      </c>
      <c r="AX43" s="21" t="s">
        <v>198</v>
      </c>
      <c r="AY43" s="21" t="s">
        <v>198</v>
      </c>
      <c r="AZ43" s="21" t="s">
        <v>198</v>
      </c>
      <c r="BA43" s="17" t="s">
        <v>252</v>
      </c>
      <c r="BB43" s="17" t="s">
        <v>155</v>
      </c>
      <c r="BC43" s="18">
        <f>--ISNUMBER(SEARCH("Radio or television",BA43))</f>
        <v>1</v>
      </c>
      <c r="BD43" s="18">
        <f>--ISNUMBER(SEARCH("Newspapers or print media",BA43))</f>
        <v>0</v>
      </c>
      <c r="BE43" s="18">
        <f>--ISNUMBER(SEARCH("Social media (e.g. Facebook, WhatsApp, YouTube, X/Twitter)",BA43))</f>
        <v>1</v>
      </c>
      <c r="BF43" s="18">
        <f>--ISNUMBER(SEARCH("Family members",BA43))</f>
        <v>1</v>
      </c>
      <c r="BG43" s="18">
        <f>--ISNUMBER(SEARCH("Friends or fellow students",BA43))</f>
        <v>0</v>
      </c>
      <c r="BH43" s="18">
        <f>--ISNUMBER(SEARCH("School coursework or lectures",BA43))</f>
        <v>0</v>
      </c>
      <c r="BI43" s="18">
        <f>--ISNUMBER(SEARCH("NHIMA outreach activities or NHIMA offices",BA43))</f>
        <v>0</v>
      </c>
      <c r="BJ43" s="18">
        <f>--ISNUMBER(SEARCH("Health facility staff",BA43))</f>
        <v>0</v>
      </c>
      <c r="BK43" s="18">
        <f>--ISNUMBER(SEARCH("not received information",BA43))</f>
        <v>0</v>
      </c>
      <c r="BL43" s="18">
        <f>IF(T43="","",--(T43='Codebook'!$F$13))</f>
        <v>1</v>
      </c>
      <c r="BM43" s="18">
        <f>IF(U43="","",--(U43='Codebook'!$F$14))</f>
        <v>0</v>
      </c>
      <c r="BN43" s="18">
        <f>IF(V43="","",--(V43='Codebook'!$F$15))</f>
        <v>0</v>
      </c>
      <c r="BO43" s="18">
        <f>IF(W43="","",--(W43='Codebook'!$F$16))</f>
        <v>1</v>
      </c>
      <c r="BP43" s="18">
        <f>IF(X43="","",--(X43='Codebook'!$F$17))</f>
        <v>1</v>
      </c>
      <c r="BQ43" s="18">
        <f>IF(Y43="","",--(Y43='Codebook'!$F$18))</f>
        <v>0</v>
      </c>
      <c r="BR43" s="18">
        <f>IF(Z43="","",--(Z43='Codebook'!$F$19))</f>
        <v>1</v>
      </c>
      <c r="BS43" s="18">
        <f>IF(AA43="","",--(AA43='Codebook'!$F$20))</f>
        <v>1</v>
      </c>
      <c r="BT43" s="18">
        <f>IF(AB43="","",--(AB43='Codebook'!$F$21))</f>
        <v>0</v>
      </c>
      <c r="BU43" s="18">
        <f>IF(AC43="","",--(AC43='Codebook'!$F$22))</f>
        <v>1</v>
      </c>
      <c r="BV43" s="18">
        <f>IF(AD43="","",--(AD43='Codebook'!$F$23))</f>
        <v>1</v>
      </c>
      <c r="BW43" s="18">
        <f>IF(AE43="","",--(AE43='Codebook'!$F$24))</f>
        <v>1</v>
      </c>
      <c r="BX43" s="18">
        <f>IF(AF43="","",--(AF43='Codebook'!$F$25))</f>
        <v>0</v>
      </c>
      <c r="BY43" s="18">
        <f>IF(AG43="","",--(AG43='Codebook'!$F$26))</f>
        <v>1</v>
      </c>
      <c r="BZ43" s="18">
        <f>IF(AH43="","",--(AH43='Codebook'!$F$27))</f>
        <v>1</v>
      </c>
      <c r="CA43" s="18">
        <f>IF(AI43="","",--(AI43='Codebook'!$F$28))</f>
        <v>1</v>
      </c>
      <c r="CB43" s="18">
        <f>IF(AJ43="","",--(AJ43='Codebook'!$F$29))</f>
        <v>1</v>
      </c>
      <c r="CC43" s="18">
        <f>IF(AK43="","",--(AK43='Codebook'!$F$30))</f>
        <v>0</v>
      </c>
      <c r="CD43" s="18">
        <f>IF(AL43="","",--(AL43='Codebook'!$F$31))</f>
        <v>1</v>
      </c>
      <c r="CE43" s="18">
        <f>IF(AM43="","",--(AM43='Codebook'!$F$32))</f>
        <v>0</v>
      </c>
      <c r="CF43" s="18">
        <f>IF(AN43="","",--(AN43='Codebook'!$F$33))</f>
        <v>1</v>
      </c>
      <c r="CG43" s="18">
        <f>IF(AO43="","",--(AO43='Codebook'!$F$34))</f>
        <v>1</v>
      </c>
      <c r="CH43" s="18">
        <f>IF(AP43="","",--(AP43='Codebook'!$F$35))</f>
        <v>1</v>
      </c>
      <c r="CI43" s="18">
        <f>IF(AQ43="","",--(AQ43='Codebook'!$F$36))</f>
        <v>1</v>
      </c>
      <c r="CJ43" s="18">
        <f>IF(AR43="","",--(AR43='Codebook'!$F$37))</f>
        <v>1</v>
      </c>
      <c r="CK43" s="18">
        <f>IF(AS43="","",--(AS43='Codebook'!$F$38))</f>
        <v>0</v>
      </c>
      <c r="CL43" s="18">
        <f>IF(AT43="","",--(AT43='Codebook'!$F$39))</f>
        <v>0</v>
      </c>
      <c r="CM43" s="18">
        <f>IF(AU43="","",--(AU43='Codebook'!$F$40))</f>
        <v>1</v>
      </c>
      <c r="CN43" s="18">
        <f>IF(AV43="","",--(AV43='Codebook'!$F$41))</f>
        <v>1</v>
      </c>
      <c r="CO43" s="18">
        <f>IF(AW43="","",--(AW43='Codebook'!$F$42))</f>
        <v>0</v>
      </c>
      <c r="CP43" s="18">
        <f>IF(AX43="","",--(AX43='Codebook'!$F$43))</f>
        <v>0</v>
      </c>
      <c r="CQ43" s="18">
        <f>IF(AY43="","",--(AY43='Codebook'!$F$44))</f>
        <v>0</v>
      </c>
      <c r="CR43" s="18">
        <f>IF(AZ43="","",--(AZ43='Codebook'!$F$45))</f>
        <v>0</v>
      </c>
    </row>
    <row r="44" spans="2:96" ht="24" customHeight="1">
      <c r="B44" s="18">
        <v>39</v>
      </c>
      <c r="C44" s="23">
        <v>46277.50938747685</v>
      </c>
      <c r="D44" s="18">
        <v>23</v>
      </c>
      <c r="E44" s="21" t="s">
        <v>206</v>
      </c>
      <c r="F44" s="21" t="s">
        <v>201</v>
      </c>
      <c r="G44" s="17" t="s">
        <v>196</v>
      </c>
      <c r="H44" s="21" t="s">
        <v>207</v>
      </c>
      <c r="I44" s="18">
        <f>SUM(BL44:BU44)</f>
        <v>6</v>
      </c>
      <c r="J44" s="18">
        <f>IF(COUNT(BV44:CD44)=9,SUM(BV44:CD44),"")</f>
        <v>1</v>
      </c>
      <c r="K44" s="18">
        <f>SUM(BL44:CD44)</f>
        <v>7</v>
      </c>
      <c r="L44" s="18">
        <f>--(K44&gt;='Codebook'!$C$8)</f>
        <v>0</v>
      </c>
      <c r="M44" s="18">
        <f>--(COUNT(BL44:CD44)=19)</f>
        <v>1</v>
      </c>
      <c r="N44" s="18">
        <f>SUM(CE44:CL44)</f>
        <v>7</v>
      </c>
      <c r="O44" s="18">
        <f>SUM(CM44:CR44)</f>
        <v>0</v>
      </c>
      <c r="P44" s="18">
        <f>N44+O44</f>
        <v>7</v>
      </c>
      <c r="Q44" s="21" t="s">
        <v>198</v>
      </c>
      <c r="R44" s="17" t="s">
        <v>154</v>
      </c>
      <c r="S44" s="18">
        <f>--OR(Overview!$B$6="All",E44=Overview!$B$6)*--OR(Overview!$F$6="All",F44=Overview!$F$6)*--OR(Overview!$J$6="All",G44=Overview!$J$6)*--OR(Overview!$N$6="All",H44=Overview!$N$6)</f>
        <v>1</v>
      </c>
      <c r="T44" s="21" t="s">
        <v>22</v>
      </c>
      <c r="U44" s="21" t="s">
        <v>22</v>
      </c>
      <c r="V44" s="21" t="s">
        <v>22</v>
      </c>
      <c r="W44" s="21" t="s">
        <v>22</v>
      </c>
      <c r="X44" s="21" t="s">
        <v>22</v>
      </c>
      <c r="Y44" s="21" t="s">
        <v>22</v>
      </c>
      <c r="Z44" s="21" t="s">
        <v>22</v>
      </c>
      <c r="AA44" s="21" t="s">
        <v>22</v>
      </c>
      <c r="AB44" s="21" t="s">
        <v>22</v>
      </c>
      <c r="AC44" s="21" t="s">
        <v>22</v>
      </c>
      <c r="AD44" s="21" t="s">
        <v>198</v>
      </c>
      <c r="AE44" s="21" t="s">
        <v>198</v>
      </c>
      <c r="AF44" s="21" t="s">
        <v>198</v>
      </c>
      <c r="AG44" s="21" t="s">
        <v>198</v>
      </c>
      <c r="AH44" s="21" t="s">
        <v>198</v>
      </c>
      <c r="AI44" s="21" t="s">
        <v>198</v>
      </c>
      <c r="AJ44" s="21" t="s">
        <v>198</v>
      </c>
      <c r="AK44" s="21" t="s">
        <v>198</v>
      </c>
      <c r="AL44" s="21" t="s">
        <v>26</v>
      </c>
      <c r="AM44" s="21" t="s">
        <v>83</v>
      </c>
      <c r="AN44" s="21" t="s">
        <v>83</v>
      </c>
      <c r="AO44" s="21" t="s">
        <v>83</v>
      </c>
      <c r="AP44" s="21" t="s">
        <v>83</v>
      </c>
      <c r="AQ44" s="21" t="s">
        <v>83</v>
      </c>
      <c r="AR44" s="21" t="s">
        <v>83</v>
      </c>
      <c r="AS44" s="21" t="s">
        <v>198</v>
      </c>
      <c r="AT44" s="21" t="s">
        <v>83</v>
      </c>
      <c r="AU44" s="21" t="s">
        <v>198</v>
      </c>
      <c r="AV44" s="21" t="s">
        <v>198</v>
      </c>
      <c r="AW44" s="21" t="s">
        <v>198</v>
      </c>
      <c r="AX44" s="21" t="s">
        <v>198</v>
      </c>
      <c r="AY44" s="21" t="s">
        <v>198</v>
      </c>
      <c r="AZ44" s="21" t="s">
        <v>198</v>
      </c>
      <c r="BA44" s="17" t="s">
        <v>253</v>
      </c>
      <c r="BB44" s="17" t="s">
        <v>154</v>
      </c>
      <c r="BC44" s="18">
        <f>--ISNUMBER(SEARCH("Radio or television",BA44))</f>
        <v>1</v>
      </c>
      <c r="BD44" s="18">
        <f>--ISNUMBER(SEARCH("Newspapers or print media",BA44))</f>
        <v>0</v>
      </c>
      <c r="BE44" s="18">
        <f>--ISNUMBER(SEARCH("Social media (e.g. Facebook, WhatsApp, YouTube, X/Twitter)",BA44))</f>
        <v>1</v>
      </c>
      <c r="BF44" s="18">
        <f>--ISNUMBER(SEARCH("Family members",BA44))</f>
        <v>0</v>
      </c>
      <c r="BG44" s="18">
        <f>--ISNUMBER(SEARCH("Friends or fellow students",BA44))</f>
        <v>0</v>
      </c>
      <c r="BH44" s="18">
        <f>--ISNUMBER(SEARCH("School coursework or lectures",BA44))</f>
        <v>0</v>
      </c>
      <c r="BI44" s="18">
        <f>--ISNUMBER(SEARCH("NHIMA outreach activities or NHIMA offices",BA44))</f>
        <v>0</v>
      </c>
      <c r="BJ44" s="18">
        <f>--ISNUMBER(SEARCH("Health facility staff",BA44))</f>
        <v>1</v>
      </c>
      <c r="BK44" s="18">
        <f>--ISNUMBER(SEARCH("not received information",BA44))</f>
        <v>0</v>
      </c>
      <c r="BL44" s="18">
        <f>IF(T44="","",--(T44='Codebook'!$F$13))</f>
        <v>1</v>
      </c>
      <c r="BM44" s="18">
        <f>IF(U44="","",--(U44='Codebook'!$F$14))</f>
        <v>0</v>
      </c>
      <c r="BN44" s="18">
        <f>IF(V44="","",--(V44='Codebook'!$F$15))</f>
        <v>0</v>
      </c>
      <c r="BO44" s="18">
        <f>IF(W44="","",--(W44='Codebook'!$F$16))</f>
        <v>1</v>
      </c>
      <c r="BP44" s="18">
        <f>IF(X44="","",--(X44='Codebook'!$F$17))</f>
        <v>1</v>
      </c>
      <c r="BQ44" s="18">
        <f>IF(Y44="","",--(Y44='Codebook'!$F$18))</f>
        <v>0</v>
      </c>
      <c r="BR44" s="18">
        <f>IF(Z44="","",--(Z44='Codebook'!$F$19))</f>
        <v>1</v>
      </c>
      <c r="BS44" s="18">
        <f>IF(AA44="","",--(AA44='Codebook'!$F$20))</f>
        <v>1</v>
      </c>
      <c r="BT44" s="18">
        <f>IF(AB44="","",--(AB44='Codebook'!$F$21))</f>
        <v>0</v>
      </c>
      <c r="BU44" s="18">
        <f>IF(AC44="","",--(AC44='Codebook'!$F$22))</f>
        <v>1</v>
      </c>
      <c r="BV44" s="18">
        <f>IF(AD44="","",--(AD44='Codebook'!$F$23))</f>
        <v>0</v>
      </c>
      <c r="BW44" s="18">
        <f>IF(AE44="","",--(AE44='Codebook'!$F$24))</f>
        <v>0</v>
      </c>
      <c r="BX44" s="18">
        <f>IF(AF44="","",--(AF44='Codebook'!$F$25))</f>
        <v>0</v>
      </c>
      <c r="BY44" s="18">
        <f>IF(AG44="","",--(AG44='Codebook'!$F$26))</f>
        <v>0</v>
      </c>
      <c r="BZ44" s="18">
        <f>IF(AH44="","",--(AH44='Codebook'!$F$27))</f>
        <v>0</v>
      </c>
      <c r="CA44" s="18">
        <f>IF(AI44="","",--(AI44='Codebook'!$F$28))</f>
        <v>0</v>
      </c>
      <c r="CB44" s="18">
        <f>IF(AJ44="","",--(AJ44='Codebook'!$F$29))</f>
        <v>0</v>
      </c>
      <c r="CC44" s="18">
        <f>IF(AK44="","",--(AK44='Codebook'!$F$30))</f>
        <v>0</v>
      </c>
      <c r="CD44" s="18">
        <f>IF(AL44="","",--(AL44='Codebook'!$F$31))</f>
        <v>1</v>
      </c>
      <c r="CE44" s="18">
        <f>IF(AM44="","",--(AM44='Codebook'!$F$32))</f>
        <v>1</v>
      </c>
      <c r="CF44" s="18">
        <f>IF(AN44="","",--(AN44='Codebook'!$F$33))</f>
        <v>1</v>
      </c>
      <c r="CG44" s="18">
        <f>IF(AO44="","",--(AO44='Codebook'!$F$34))</f>
        <v>1</v>
      </c>
      <c r="CH44" s="18">
        <f>IF(AP44="","",--(AP44='Codebook'!$F$35))</f>
        <v>1</v>
      </c>
      <c r="CI44" s="18">
        <f>IF(AQ44="","",--(AQ44='Codebook'!$F$36))</f>
        <v>1</v>
      </c>
      <c r="CJ44" s="18">
        <f>IF(AR44="","",--(AR44='Codebook'!$F$37))</f>
        <v>1</v>
      </c>
      <c r="CK44" s="18">
        <f>IF(AS44="","",--(AS44='Codebook'!$F$38))</f>
        <v>0</v>
      </c>
      <c r="CL44" s="18">
        <f>IF(AT44="","",--(AT44='Codebook'!$F$39))</f>
        <v>1</v>
      </c>
      <c r="CM44" s="18">
        <f>IF(AU44="","",--(AU44='Codebook'!$F$40))</f>
        <v>0</v>
      </c>
      <c r="CN44" s="18">
        <f>IF(AV44="","",--(AV44='Codebook'!$F$41))</f>
        <v>0</v>
      </c>
      <c r="CO44" s="18">
        <f>IF(AW44="","",--(AW44='Codebook'!$F$42))</f>
        <v>0</v>
      </c>
      <c r="CP44" s="18">
        <f>IF(AX44="","",--(AX44='Codebook'!$F$43))</f>
        <v>0</v>
      </c>
      <c r="CQ44" s="18">
        <f>IF(AY44="","",--(AY44='Codebook'!$F$44))</f>
        <v>0</v>
      </c>
      <c r="CR44" s="18">
        <f>IF(AZ44="","",--(AZ44='Codebook'!$F$45))</f>
        <v>0</v>
      </c>
    </row>
    <row r="45" spans="2:96" ht="24" customHeight="1">
      <c r="B45" s="18">
        <v>40</v>
      </c>
      <c r="C45" s="23">
        <v>46277.75389519676</v>
      </c>
      <c r="D45" s="18">
        <v>23</v>
      </c>
      <c r="E45" s="21" t="s">
        <v>194</v>
      </c>
      <c r="F45" s="21" t="s">
        <v>212</v>
      </c>
      <c r="G45" s="17" t="s">
        <v>224</v>
      </c>
      <c r="H45" s="21" t="s">
        <v>197</v>
      </c>
      <c r="I45" s="18">
        <f>SUM(BL45:BU45)</f>
        <v>6</v>
      </c>
      <c r="J45" s="18">
        <f>IF(COUNT(BV45:CD45)=9,SUM(BV45:CD45),"")</f>
        <v>4</v>
      </c>
      <c r="K45" s="18">
        <f>SUM(BL45:CD45)</f>
        <v>10</v>
      </c>
      <c r="L45" s="18">
        <f>--(K45&gt;='Codebook'!$C$8)</f>
        <v>0</v>
      </c>
      <c r="M45" s="18">
        <f>--(COUNT(BL45:CD45)=19)</f>
        <v>1</v>
      </c>
      <c r="N45" s="18">
        <f>SUM(CE45:CL45)</f>
        <v>4</v>
      </c>
      <c r="O45" s="18">
        <f>SUM(CM45:CR45)</f>
        <v>0</v>
      </c>
      <c r="P45" s="18">
        <f>N45+O45</f>
        <v>4</v>
      </c>
      <c r="Q45" s="21" t="s">
        <v>198</v>
      </c>
      <c r="R45" s="17" t="s">
        <v>152</v>
      </c>
      <c r="S45" s="18">
        <f>--OR(Overview!$B$6="All",E45=Overview!$B$6)*--OR(Overview!$F$6="All",F45=Overview!$F$6)*--OR(Overview!$J$6="All",G45=Overview!$J$6)*--OR(Overview!$N$6="All",H45=Overview!$N$6)</f>
        <v>1</v>
      </c>
      <c r="T45" s="21" t="s">
        <v>22</v>
      </c>
      <c r="U45" s="21" t="s">
        <v>22</v>
      </c>
      <c r="V45" s="21" t="s">
        <v>22</v>
      </c>
      <c r="W45" s="21" t="s">
        <v>22</v>
      </c>
      <c r="X45" s="21" t="s">
        <v>22</v>
      </c>
      <c r="Y45" s="21" t="s">
        <v>22</v>
      </c>
      <c r="Z45" s="21" t="s">
        <v>22</v>
      </c>
      <c r="AA45" s="21" t="s">
        <v>22</v>
      </c>
      <c r="AB45" s="21" t="s">
        <v>198</v>
      </c>
      <c r="AC45" s="21" t="s">
        <v>22</v>
      </c>
      <c r="AD45" s="21" t="s">
        <v>22</v>
      </c>
      <c r="AE45" s="21" t="s">
        <v>22</v>
      </c>
      <c r="AF45" s="21" t="s">
        <v>22</v>
      </c>
      <c r="AG45" s="21" t="s">
        <v>22</v>
      </c>
      <c r="AH45" s="21" t="s">
        <v>198</v>
      </c>
      <c r="AI45" s="21" t="s">
        <v>198</v>
      </c>
      <c r="AJ45" s="21" t="s">
        <v>198</v>
      </c>
      <c r="AK45" s="21" t="s">
        <v>198</v>
      </c>
      <c r="AL45" s="21" t="s">
        <v>26</v>
      </c>
      <c r="AM45" s="21" t="s">
        <v>83</v>
      </c>
      <c r="AN45" s="21" t="s">
        <v>109</v>
      </c>
      <c r="AO45" s="21" t="s">
        <v>198</v>
      </c>
      <c r="AP45" s="21" t="s">
        <v>83</v>
      </c>
      <c r="AQ45" s="21" t="s">
        <v>198</v>
      </c>
      <c r="AR45" s="21" t="s">
        <v>83</v>
      </c>
      <c r="AS45" s="21" t="s">
        <v>198</v>
      </c>
      <c r="AT45" s="21" t="s">
        <v>83</v>
      </c>
      <c r="AU45" s="21" t="s">
        <v>83</v>
      </c>
      <c r="AV45" s="21" t="s">
        <v>198</v>
      </c>
      <c r="AW45" s="21" t="s">
        <v>83</v>
      </c>
      <c r="AX45" s="21" t="s">
        <v>198</v>
      </c>
      <c r="AY45" s="21" t="s">
        <v>83</v>
      </c>
      <c r="AZ45" s="21" t="s">
        <v>198</v>
      </c>
      <c r="BA45" s="17" t="s">
        <v>254</v>
      </c>
      <c r="BB45" s="17" t="s">
        <v>240</v>
      </c>
      <c r="BC45" s="18">
        <f>--ISNUMBER(SEARCH("Radio or television",BA45))</f>
        <v>1</v>
      </c>
      <c r="BD45" s="18">
        <f>--ISNUMBER(SEARCH("Newspapers or print media",BA45))</f>
        <v>0</v>
      </c>
      <c r="BE45" s="18">
        <f>--ISNUMBER(SEARCH("Social media (e.g. Facebook, WhatsApp, YouTube, X/Twitter)",BA45))</f>
        <v>0</v>
      </c>
      <c r="BF45" s="18">
        <f>--ISNUMBER(SEARCH("Family members",BA45))</f>
        <v>0</v>
      </c>
      <c r="BG45" s="18">
        <f>--ISNUMBER(SEARCH("Friends or fellow students",BA45))</f>
        <v>0</v>
      </c>
      <c r="BH45" s="18">
        <f>--ISNUMBER(SEARCH("School coursework or lectures",BA45))</f>
        <v>0</v>
      </c>
      <c r="BI45" s="18">
        <f>--ISNUMBER(SEARCH("NHIMA outreach activities or NHIMA offices",BA45))</f>
        <v>0</v>
      </c>
      <c r="BJ45" s="18">
        <f>--ISNUMBER(SEARCH("Health facility staff",BA45))</f>
        <v>0</v>
      </c>
      <c r="BK45" s="18">
        <f>--ISNUMBER(SEARCH("not received information",BA45))</f>
        <v>0</v>
      </c>
      <c r="BL45" s="18">
        <f>IF(T45="","",--(T45='Codebook'!$F$13))</f>
        <v>1</v>
      </c>
      <c r="BM45" s="18">
        <f>IF(U45="","",--(U45='Codebook'!$F$14))</f>
        <v>0</v>
      </c>
      <c r="BN45" s="18">
        <f>IF(V45="","",--(V45='Codebook'!$F$15))</f>
        <v>0</v>
      </c>
      <c r="BO45" s="18">
        <f>IF(W45="","",--(W45='Codebook'!$F$16))</f>
        <v>1</v>
      </c>
      <c r="BP45" s="18">
        <f>IF(X45="","",--(X45='Codebook'!$F$17))</f>
        <v>1</v>
      </c>
      <c r="BQ45" s="18">
        <f>IF(Y45="","",--(Y45='Codebook'!$F$18))</f>
        <v>0</v>
      </c>
      <c r="BR45" s="18">
        <f>IF(Z45="","",--(Z45='Codebook'!$F$19))</f>
        <v>1</v>
      </c>
      <c r="BS45" s="18">
        <f>IF(AA45="","",--(AA45='Codebook'!$F$20))</f>
        <v>1</v>
      </c>
      <c r="BT45" s="18">
        <f>IF(AB45="","",--(AB45='Codebook'!$F$21))</f>
        <v>0</v>
      </c>
      <c r="BU45" s="18">
        <f>IF(AC45="","",--(AC45='Codebook'!$F$22))</f>
        <v>1</v>
      </c>
      <c r="BV45" s="18">
        <f>IF(AD45="","",--(AD45='Codebook'!$F$23))</f>
        <v>1</v>
      </c>
      <c r="BW45" s="18">
        <f>IF(AE45="","",--(AE45='Codebook'!$F$24))</f>
        <v>1</v>
      </c>
      <c r="BX45" s="18">
        <f>IF(AF45="","",--(AF45='Codebook'!$F$25))</f>
        <v>0</v>
      </c>
      <c r="BY45" s="18">
        <f>IF(AG45="","",--(AG45='Codebook'!$F$26))</f>
        <v>1</v>
      </c>
      <c r="BZ45" s="18">
        <f>IF(AH45="","",--(AH45='Codebook'!$F$27))</f>
        <v>0</v>
      </c>
      <c r="CA45" s="18">
        <f>IF(AI45="","",--(AI45='Codebook'!$F$28))</f>
        <v>0</v>
      </c>
      <c r="CB45" s="18">
        <f>IF(AJ45="","",--(AJ45='Codebook'!$F$29))</f>
        <v>0</v>
      </c>
      <c r="CC45" s="18">
        <f>IF(AK45="","",--(AK45='Codebook'!$F$30))</f>
        <v>0</v>
      </c>
      <c r="CD45" s="18">
        <f>IF(AL45="","",--(AL45='Codebook'!$F$31))</f>
        <v>1</v>
      </c>
      <c r="CE45" s="18">
        <f>IF(AM45="","",--(AM45='Codebook'!$F$32))</f>
        <v>1</v>
      </c>
      <c r="CF45" s="18">
        <f>IF(AN45="","",--(AN45='Codebook'!$F$33))</f>
        <v>0</v>
      </c>
      <c r="CG45" s="18">
        <f>IF(AO45="","",--(AO45='Codebook'!$F$34))</f>
        <v>0</v>
      </c>
      <c r="CH45" s="18">
        <f>IF(AP45="","",--(AP45='Codebook'!$F$35))</f>
        <v>1</v>
      </c>
      <c r="CI45" s="18">
        <f>IF(AQ45="","",--(AQ45='Codebook'!$F$36))</f>
        <v>0</v>
      </c>
      <c r="CJ45" s="18">
        <f>IF(AR45="","",--(AR45='Codebook'!$F$37))</f>
        <v>1</v>
      </c>
      <c r="CK45" s="18">
        <f>IF(AS45="","",--(AS45='Codebook'!$F$38))</f>
        <v>0</v>
      </c>
      <c r="CL45" s="18">
        <f>IF(AT45="","",--(AT45='Codebook'!$F$39))</f>
        <v>1</v>
      </c>
      <c r="CM45" s="18">
        <f>IF(AU45="","",--(AU45='Codebook'!$F$40))</f>
        <v>0</v>
      </c>
      <c r="CN45" s="18">
        <f>IF(AV45="","",--(AV45='Codebook'!$F$41))</f>
        <v>0</v>
      </c>
      <c r="CO45" s="18">
        <f>IF(AW45="","",--(AW45='Codebook'!$F$42))</f>
        <v>0</v>
      </c>
      <c r="CP45" s="18">
        <f>IF(AX45="","",--(AX45='Codebook'!$F$43))</f>
        <v>0</v>
      </c>
      <c r="CQ45" s="18">
        <f>IF(AY45="","",--(AY45='Codebook'!$F$44))</f>
        <v>0</v>
      </c>
      <c r="CR45" s="18">
        <f>IF(AZ45="","",--(AZ45='Codebook'!$F$45))</f>
        <v>0</v>
      </c>
    </row>
    <row r="46" spans="2:96" ht="24" customHeight="1">
      <c r="B46" s="18">
        <v>41</v>
      </c>
      <c r="C46" s="23">
        <v>46277.76585856482</v>
      </c>
      <c r="D46" s="21" t="s">
        <v>255</v>
      </c>
      <c r="E46" s="21" t="s">
        <v>194</v>
      </c>
      <c r="F46" s="21" t="s">
        <v>226</v>
      </c>
      <c r="G46" s="17" t="s">
        <v>202</v>
      </c>
      <c r="H46" s="21" t="s">
        <v>197</v>
      </c>
      <c r="I46" s="18">
        <f>SUM(BL46:BU46)</f>
        <v>6</v>
      </c>
      <c r="J46" s="18">
        <f>IF(COUNT(BV46:CD46)=9,SUM(BV46:CD46),"")</f>
        <v>1</v>
      </c>
      <c r="K46" s="18">
        <f>SUM(BL46:CD46)</f>
        <v>7</v>
      </c>
      <c r="L46" s="18">
        <f>--(K46&gt;='Codebook'!$C$8)</f>
        <v>0</v>
      </c>
      <c r="M46" s="18">
        <f>--(COUNT(BL46:CD46)=19)</f>
        <v>1</v>
      </c>
      <c r="N46" s="18">
        <f>SUM(CE46:CL46)</f>
        <v>1</v>
      </c>
      <c r="O46" s="18">
        <f>SUM(CM46:CR46)</f>
        <v>0</v>
      </c>
      <c r="P46" s="18">
        <f>N46+O46</f>
        <v>1</v>
      </c>
      <c r="Q46" s="21" t="s">
        <v>197</v>
      </c>
      <c r="R46" s="17" t="s">
        <v>256</v>
      </c>
      <c r="S46" s="18">
        <f>--OR(Overview!$B$6="All",E46=Overview!$B$6)*--OR(Overview!$F$6="All",F46=Overview!$F$6)*--OR(Overview!$J$6="All",G46=Overview!$J$6)*--OR(Overview!$N$6="All",H46=Overview!$N$6)</f>
        <v>1</v>
      </c>
      <c r="T46" s="21" t="s">
        <v>22</v>
      </c>
      <c r="U46" s="21" t="s">
        <v>198</v>
      </c>
      <c r="V46" s="21" t="s">
        <v>26</v>
      </c>
      <c r="W46" s="21" t="s">
        <v>22</v>
      </c>
      <c r="X46" s="21" t="s">
        <v>22</v>
      </c>
      <c r="Y46" s="21" t="s">
        <v>198</v>
      </c>
      <c r="Z46" s="21" t="s">
        <v>22</v>
      </c>
      <c r="AA46" s="21" t="s">
        <v>198</v>
      </c>
      <c r="AB46" s="21" t="s">
        <v>198</v>
      </c>
      <c r="AC46" s="21" t="s">
        <v>22</v>
      </c>
      <c r="AD46" s="21" t="s">
        <v>198</v>
      </c>
      <c r="AE46" s="21" t="s">
        <v>198</v>
      </c>
      <c r="AF46" s="21" t="s">
        <v>198</v>
      </c>
      <c r="AG46" s="21" t="s">
        <v>198</v>
      </c>
      <c r="AH46" s="21" t="s">
        <v>22</v>
      </c>
      <c r="AI46" s="21" t="s">
        <v>198</v>
      </c>
      <c r="AJ46" s="21" t="s">
        <v>198</v>
      </c>
      <c r="AK46" s="21" t="s">
        <v>198</v>
      </c>
      <c r="AL46" s="21" t="s">
        <v>198</v>
      </c>
      <c r="AM46" s="21" t="s">
        <v>198</v>
      </c>
      <c r="AN46" s="21" t="s">
        <v>198</v>
      </c>
      <c r="AO46" s="21" t="s">
        <v>198</v>
      </c>
      <c r="AP46" s="21" t="s">
        <v>83</v>
      </c>
      <c r="AQ46" s="21" t="s">
        <v>198</v>
      </c>
      <c r="AR46" s="21" t="s">
        <v>198</v>
      </c>
      <c r="AS46" s="21" t="s">
        <v>198</v>
      </c>
      <c r="AT46" s="21" t="s">
        <v>198</v>
      </c>
      <c r="AU46" s="21" t="s">
        <v>198</v>
      </c>
      <c r="AV46" s="21" t="s">
        <v>198</v>
      </c>
      <c r="AW46" s="21" t="s">
        <v>198</v>
      </c>
      <c r="AX46" s="21" t="s">
        <v>198</v>
      </c>
      <c r="AY46" s="21" t="s">
        <v>198</v>
      </c>
      <c r="AZ46" s="21" t="s">
        <v>198</v>
      </c>
      <c r="BA46" s="17" t="s">
        <v>252</v>
      </c>
      <c r="BB46" s="17" t="s">
        <v>257</v>
      </c>
      <c r="BC46" s="18">
        <f>--ISNUMBER(SEARCH("Radio or television",BA46))</f>
        <v>1</v>
      </c>
      <c r="BD46" s="18">
        <f>--ISNUMBER(SEARCH("Newspapers or print media",BA46))</f>
        <v>0</v>
      </c>
      <c r="BE46" s="18">
        <f>--ISNUMBER(SEARCH("Social media (e.g. Facebook, WhatsApp, YouTube, X/Twitter)",BA46))</f>
        <v>1</v>
      </c>
      <c r="BF46" s="18">
        <f>--ISNUMBER(SEARCH("Family members",BA46))</f>
        <v>1</v>
      </c>
      <c r="BG46" s="18">
        <f>--ISNUMBER(SEARCH("Friends or fellow students",BA46))</f>
        <v>0</v>
      </c>
      <c r="BH46" s="18">
        <f>--ISNUMBER(SEARCH("School coursework or lectures",BA46))</f>
        <v>0</v>
      </c>
      <c r="BI46" s="18">
        <f>--ISNUMBER(SEARCH("NHIMA outreach activities or NHIMA offices",BA46))</f>
        <v>0</v>
      </c>
      <c r="BJ46" s="18">
        <f>--ISNUMBER(SEARCH("Health facility staff",BA46))</f>
        <v>0</v>
      </c>
      <c r="BK46" s="18">
        <f>--ISNUMBER(SEARCH("not received information",BA46))</f>
        <v>0</v>
      </c>
      <c r="BL46" s="18">
        <f>IF(T46="","",--(T46='Codebook'!$F$13))</f>
        <v>1</v>
      </c>
      <c r="BM46" s="18">
        <f>IF(U46="","",--(U46='Codebook'!$F$14))</f>
        <v>0</v>
      </c>
      <c r="BN46" s="18">
        <f>IF(V46="","",--(V46='Codebook'!$F$15))</f>
        <v>1</v>
      </c>
      <c r="BO46" s="18">
        <f>IF(W46="","",--(W46='Codebook'!$F$16))</f>
        <v>1</v>
      </c>
      <c r="BP46" s="18">
        <f>IF(X46="","",--(X46='Codebook'!$F$17))</f>
        <v>1</v>
      </c>
      <c r="BQ46" s="18">
        <f>IF(Y46="","",--(Y46='Codebook'!$F$18))</f>
        <v>0</v>
      </c>
      <c r="BR46" s="18">
        <f>IF(Z46="","",--(Z46='Codebook'!$F$19))</f>
        <v>1</v>
      </c>
      <c r="BS46" s="18">
        <f>IF(AA46="","",--(AA46='Codebook'!$F$20))</f>
        <v>0</v>
      </c>
      <c r="BT46" s="18">
        <f>IF(AB46="","",--(AB46='Codebook'!$F$21))</f>
        <v>0</v>
      </c>
      <c r="BU46" s="18">
        <f>IF(AC46="","",--(AC46='Codebook'!$F$22))</f>
        <v>1</v>
      </c>
      <c r="BV46" s="18">
        <f>IF(AD46="","",--(AD46='Codebook'!$F$23))</f>
        <v>0</v>
      </c>
      <c r="BW46" s="18">
        <f>IF(AE46="","",--(AE46='Codebook'!$F$24))</f>
        <v>0</v>
      </c>
      <c r="BX46" s="18">
        <f>IF(AF46="","",--(AF46='Codebook'!$F$25))</f>
        <v>0</v>
      </c>
      <c r="BY46" s="18">
        <f>IF(AG46="","",--(AG46='Codebook'!$F$26))</f>
        <v>0</v>
      </c>
      <c r="BZ46" s="18">
        <f>IF(AH46="","",--(AH46='Codebook'!$F$27))</f>
        <v>1</v>
      </c>
      <c r="CA46" s="18">
        <f>IF(AI46="","",--(AI46='Codebook'!$F$28))</f>
        <v>0</v>
      </c>
      <c r="CB46" s="18">
        <f>IF(AJ46="","",--(AJ46='Codebook'!$F$29))</f>
        <v>0</v>
      </c>
      <c r="CC46" s="18">
        <f>IF(AK46="","",--(AK46='Codebook'!$F$30))</f>
        <v>0</v>
      </c>
      <c r="CD46" s="18">
        <f>IF(AL46="","",--(AL46='Codebook'!$F$31))</f>
        <v>0</v>
      </c>
      <c r="CE46" s="18">
        <f>IF(AM46="","",--(AM46='Codebook'!$F$32))</f>
        <v>0</v>
      </c>
      <c r="CF46" s="18">
        <f>IF(AN46="","",--(AN46='Codebook'!$F$33))</f>
        <v>0</v>
      </c>
      <c r="CG46" s="18">
        <f>IF(AO46="","",--(AO46='Codebook'!$F$34))</f>
        <v>0</v>
      </c>
      <c r="CH46" s="18">
        <f>IF(AP46="","",--(AP46='Codebook'!$F$35))</f>
        <v>1</v>
      </c>
      <c r="CI46" s="18">
        <f>IF(AQ46="","",--(AQ46='Codebook'!$F$36))</f>
        <v>0</v>
      </c>
      <c r="CJ46" s="18">
        <f>IF(AR46="","",--(AR46='Codebook'!$F$37))</f>
        <v>0</v>
      </c>
      <c r="CK46" s="18">
        <f>IF(AS46="","",--(AS46='Codebook'!$F$38))</f>
        <v>0</v>
      </c>
      <c r="CL46" s="18">
        <f>IF(AT46="","",--(AT46='Codebook'!$F$39))</f>
        <v>0</v>
      </c>
      <c r="CM46" s="18">
        <f>IF(AU46="","",--(AU46='Codebook'!$F$40))</f>
        <v>0</v>
      </c>
      <c r="CN46" s="18">
        <f>IF(AV46="","",--(AV46='Codebook'!$F$41))</f>
        <v>0</v>
      </c>
      <c r="CO46" s="18">
        <f>IF(AW46="","",--(AW46='Codebook'!$F$42))</f>
        <v>0</v>
      </c>
      <c r="CP46" s="18">
        <f>IF(AX46="","",--(AX46='Codebook'!$F$43))</f>
        <v>0</v>
      </c>
      <c r="CQ46" s="18">
        <f>IF(AY46="","",--(AY46='Codebook'!$F$44))</f>
        <v>0</v>
      </c>
      <c r="CR46" s="18">
        <f>IF(AZ46="","",--(AZ46='Codebook'!$F$45))</f>
        <v>0</v>
      </c>
    </row>
    <row r="47" spans="2:96" ht="24" customHeight="1">
      <c r="B47" s="18">
        <v>42</v>
      </c>
      <c r="C47" s="23">
        <v>46277.76967856481</v>
      </c>
      <c r="D47" s="18">
        <v>25</v>
      </c>
      <c r="E47" s="21" t="s">
        <v>194</v>
      </c>
      <c r="F47" s="21" t="s">
        <v>195</v>
      </c>
      <c r="G47" s="17" t="s">
        <v>202</v>
      </c>
      <c r="H47" s="21" t="s">
        <v>207</v>
      </c>
      <c r="I47" s="18">
        <f>SUM(BL47:BU47)</f>
        <v>7</v>
      </c>
      <c r="J47" s="18">
        <f>IF(COUNT(BV47:CD47)=9,SUM(BV47:CD47),"")</f>
        <v>6</v>
      </c>
      <c r="K47" s="18">
        <f>SUM(BL47:CD47)</f>
        <v>13</v>
      </c>
      <c r="L47" s="18">
        <f>--(K47&gt;='Codebook'!$C$8)</f>
        <v>1</v>
      </c>
      <c r="M47" s="18">
        <f>--(COUNT(BL47:CD47)=19)</f>
        <v>1</v>
      </c>
      <c r="N47" s="18">
        <f>SUM(CE47:CL47)</f>
        <v>4</v>
      </c>
      <c r="O47" s="18">
        <f>SUM(CM47:CR47)</f>
        <v>0</v>
      </c>
      <c r="P47" s="18">
        <f>N47+O47</f>
        <v>4</v>
      </c>
      <c r="Q47" s="21" t="s">
        <v>197</v>
      </c>
      <c r="R47" s="17" t="s">
        <v>154</v>
      </c>
      <c r="S47" s="18">
        <f>--OR(Overview!$B$6="All",E47=Overview!$B$6)*--OR(Overview!$F$6="All",F47=Overview!$F$6)*--OR(Overview!$J$6="All",G47=Overview!$J$6)*--OR(Overview!$N$6="All",H47=Overview!$N$6)</f>
        <v>1</v>
      </c>
      <c r="T47" s="21" t="s">
        <v>22</v>
      </c>
      <c r="U47" s="21" t="s">
        <v>198</v>
      </c>
      <c r="V47" s="21" t="s">
        <v>26</v>
      </c>
      <c r="W47" s="21" t="s">
        <v>198</v>
      </c>
      <c r="X47" s="21" t="s">
        <v>198</v>
      </c>
      <c r="Y47" s="21" t="s">
        <v>26</v>
      </c>
      <c r="Z47" s="21" t="s">
        <v>22</v>
      </c>
      <c r="AA47" s="21" t="s">
        <v>22</v>
      </c>
      <c r="AB47" s="21" t="s">
        <v>26</v>
      </c>
      <c r="AC47" s="21" t="s">
        <v>22</v>
      </c>
      <c r="AD47" s="21" t="s">
        <v>22</v>
      </c>
      <c r="AE47" s="21" t="s">
        <v>22</v>
      </c>
      <c r="AF47" s="21" t="s">
        <v>26</v>
      </c>
      <c r="AG47" s="21" t="s">
        <v>198</v>
      </c>
      <c r="AH47" s="21" t="s">
        <v>22</v>
      </c>
      <c r="AI47" s="21" t="s">
        <v>198</v>
      </c>
      <c r="AJ47" s="21" t="s">
        <v>198</v>
      </c>
      <c r="AK47" s="21" t="s">
        <v>22</v>
      </c>
      <c r="AL47" s="21" t="s">
        <v>26</v>
      </c>
      <c r="AM47" s="21" t="s">
        <v>198</v>
      </c>
      <c r="AN47" s="21" t="s">
        <v>83</v>
      </c>
      <c r="AO47" s="21" t="s">
        <v>83</v>
      </c>
      <c r="AP47" s="21" t="s">
        <v>83</v>
      </c>
      <c r="AQ47" s="21" t="s">
        <v>83</v>
      </c>
      <c r="AR47" s="21" t="s">
        <v>198</v>
      </c>
      <c r="AS47" s="21" t="s">
        <v>198</v>
      </c>
      <c r="AT47" s="21" t="s">
        <v>198</v>
      </c>
      <c r="AU47" s="21" t="s">
        <v>198</v>
      </c>
      <c r="AV47" s="21" t="s">
        <v>198</v>
      </c>
      <c r="AW47" s="21" t="s">
        <v>198</v>
      </c>
      <c r="AX47" s="21" t="s">
        <v>198</v>
      </c>
      <c r="AY47" s="21" t="s">
        <v>198</v>
      </c>
      <c r="AZ47" s="21" t="s">
        <v>198</v>
      </c>
      <c r="BA47" s="17" t="s">
        <v>258</v>
      </c>
      <c r="BB47" s="17" t="s">
        <v>259</v>
      </c>
      <c r="BC47" s="18">
        <f>--ISNUMBER(SEARCH("Radio or television",BA47))</f>
        <v>0</v>
      </c>
      <c r="BD47" s="18">
        <f>--ISNUMBER(SEARCH("Newspapers or print media",BA47))</f>
        <v>0</v>
      </c>
      <c r="BE47" s="18">
        <f>--ISNUMBER(SEARCH("Social media (e.g. Facebook, WhatsApp, YouTube, X/Twitter)",BA47))</f>
        <v>1</v>
      </c>
      <c r="BF47" s="18">
        <f>--ISNUMBER(SEARCH("Family members",BA47))</f>
        <v>1</v>
      </c>
      <c r="BG47" s="18">
        <f>--ISNUMBER(SEARCH("Friends or fellow students",BA47))</f>
        <v>1</v>
      </c>
      <c r="BH47" s="18">
        <f>--ISNUMBER(SEARCH("School coursework or lectures",BA47))</f>
        <v>0</v>
      </c>
      <c r="BI47" s="18">
        <f>--ISNUMBER(SEARCH("NHIMA outreach activities or NHIMA offices",BA47))</f>
        <v>0</v>
      </c>
      <c r="BJ47" s="18">
        <f>--ISNUMBER(SEARCH("Health facility staff",BA47))</f>
        <v>0</v>
      </c>
      <c r="BK47" s="18">
        <f>--ISNUMBER(SEARCH("not received information",BA47))</f>
        <v>0</v>
      </c>
      <c r="BL47" s="18">
        <f>IF(T47="","",--(T47='Codebook'!$F$13))</f>
        <v>1</v>
      </c>
      <c r="BM47" s="18">
        <f>IF(U47="","",--(U47='Codebook'!$F$14))</f>
        <v>0</v>
      </c>
      <c r="BN47" s="18">
        <f>IF(V47="","",--(V47='Codebook'!$F$15))</f>
        <v>1</v>
      </c>
      <c r="BO47" s="18">
        <f>IF(W47="","",--(W47='Codebook'!$F$16))</f>
        <v>0</v>
      </c>
      <c r="BP47" s="18">
        <f>IF(X47="","",--(X47='Codebook'!$F$17))</f>
        <v>0</v>
      </c>
      <c r="BQ47" s="18">
        <f>IF(Y47="","",--(Y47='Codebook'!$F$18))</f>
        <v>1</v>
      </c>
      <c r="BR47" s="18">
        <f>IF(Z47="","",--(Z47='Codebook'!$F$19))</f>
        <v>1</v>
      </c>
      <c r="BS47" s="18">
        <f>IF(AA47="","",--(AA47='Codebook'!$F$20))</f>
        <v>1</v>
      </c>
      <c r="BT47" s="18">
        <f>IF(AB47="","",--(AB47='Codebook'!$F$21))</f>
        <v>1</v>
      </c>
      <c r="BU47" s="18">
        <f>IF(AC47="","",--(AC47='Codebook'!$F$22))</f>
        <v>1</v>
      </c>
      <c r="BV47" s="18">
        <f>IF(AD47="","",--(AD47='Codebook'!$F$23))</f>
        <v>1</v>
      </c>
      <c r="BW47" s="18">
        <f>IF(AE47="","",--(AE47='Codebook'!$F$24))</f>
        <v>1</v>
      </c>
      <c r="BX47" s="18">
        <f>IF(AF47="","",--(AF47='Codebook'!$F$25))</f>
        <v>1</v>
      </c>
      <c r="BY47" s="18">
        <f>IF(AG47="","",--(AG47='Codebook'!$F$26))</f>
        <v>0</v>
      </c>
      <c r="BZ47" s="18">
        <f>IF(AH47="","",--(AH47='Codebook'!$F$27))</f>
        <v>1</v>
      </c>
      <c r="CA47" s="18">
        <f>IF(AI47="","",--(AI47='Codebook'!$F$28))</f>
        <v>0</v>
      </c>
      <c r="CB47" s="18">
        <f>IF(AJ47="","",--(AJ47='Codebook'!$F$29))</f>
        <v>0</v>
      </c>
      <c r="CC47" s="18">
        <f>IF(AK47="","",--(AK47='Codebook'!$F$30))</f>
        <v>1</v>
      </c>
      <c r="CD47" s="18">
        <f>IF(AL47="","",--(AL47='Codebook'!$F$31))</f>
        <v>1</v>
      </c>
      <c r="CE47" s="18">
        <f>IF(AM47="","",--(AM47='Codebook'!$F$32))</f>
        <v>0</v>
      </c>
      <c r="CF47" s="18">
        <f>IF(AN47="","",--(AN47='Codebook'!$F$33))</f>
        <v>1</v>
      </c>
      <c r="CG47" s="18">
        <f>IF(AO47="","",--(AO47='Codebook'!$F$34))</f>
        <v>1</v>
      </c>
      <c r="CH47" s="18">
        <f>IF(AP47="","",--(AP47='Codebook'!$F$35))</f>
        <v>1</v>
      </c>
      <c r="CI47" s="18">
        <f>IF(AQ47="","",--(AQ47='Codebook'!$F$36))</f>
        <v>1</v>
      </c>
      <c r="CJ47" s="18">
        <f>IF(AR47="","",--(AR47='Codebook'!$F$37))</f>
        <v>0</v>
      </c>
      <c r="CK47" s="18">
        <f>IF(AS47="","",--(AS47='Codebook'!$F$38))</f>
        <v>0</v>
      </c>
      <c r="CL47" s="18">
        <f>IF(AT47="","",--(AT47='Codebook'!$F$39))</f>
        <v>0</v>
      </c>
      <c r="CM47" s="18">
        <f>IF(AU47="","",--(AU47='Codebook'!$F$40))</f>
        <v>0</v>
      </c>
      <c r="CN47" s="18">
        <f>IF(AV47="","",--(AV47='Codebook'!$F$41))</f>
        <v>0</v>
      </c>
      <c r="CO47" s="18">
        <f>IF(AW47="","",--(AW47='Codebook'!$F$42))</f>
        <v>0</v>
      </c>
      <c r="CP47" s="18">
        <f>IF(AX47="","",--(AX47='Codebook'!$F$43))</f>
        <v>0</v>
      </c>
      <c r="CQ47" s="18">
        <f>IF(AY47="","",--(AY47='Codebook'!$F$44))</f>
        <v>0</v>
      </c>
      <c r="CR47" s="18">
        <f>IF(AZ47="","",--(AZ47='Codebook'!$F$45))</f>
        <v>0</v>
      </c>
    </row>
    <row r="48" spans="2:96" ht="24" customHeight="1">
      <c r="B48" s="18">
        <v>43</v>
      </c>
      <c r="C48" s="23">
        <v>46277.81076767361</v>
      </c>
      <c r="D48" s="18">
        <v>21</v>
      </c>
      <c r="E48" s="21" t="s">
        <v>206</v>
      </c>
      <c r="F48" s="21" t="s">
        <v>212</v>
      </c>
      <c r="G48" s="17" t="s">
        <v>215</v>
      </c>
      <c r="H48" s="21" t="s">
        <v>207</v>
      </c>
      <c r="I48" s="18">
        <f>SUM(BL48:BU48)</f>
        <v>10</v>
      </c>
      <c r="J48" s="18">
        <f>IF(COUNT(BV48:CD48)=9,SUM(BV48:CD48),"")</f>
        <v>7</v>
      </c>
      <c r="K48" s="18">
        <f>SUM(BL48:CD48)</f>
        <v>17</v>
      </c>
      <c r="L48" s="18">
        <f>--(K48&gt;='Codebook'!$C$8)</f>
        <v>1</v>
      </c>
      <c r="M48" s="18">
        <f>--(COUNT(BL48:CD48)=19)</f>
        <v>1</v>
      </c>
      <c r="N48" s="18">
        <f>SUM(CE48:CL48)</f>
        <v>6</v>
      </c>
      <c r="O48" s="18">
        <f>SUM(CM48:CR48)</f>
        <v>6</v>
      </c>
      <c r="P48" s="18">
        <f>N48+O48</f>
        <v>12</v>
      </c>
      <c r="Q48" s="21" t="s">
        <v>197</v>
      </c>
      <c r="R48" s="17" t="s">
        <v>155</v>
      </c>
      <c r="S48" s="18">
        <f>--OR(Overview!$B$6="All",E48=Overview!$B$6)*--OR(Overview!$F$6="All",F48=Overview!$F$6)*--OR(Overview!$J$6="All",G48=Overview!$J$6)*--OR(Overview!$N$6="All",H48=Overview!$N$6)</f>
        <v>1</v>
      </c>
      <c r="T48" s="21" t="s">
        <v>22</v>
      </c>
      <c r="U48" s="21" t="s">
        <v>26</v>
      </c>
      <c r="V48" s="21" t="s">
        <v>26</v>
      </c>
      <c r="W48" s="21" t="s">
        <v>22</v>
      </c>
      <c r="X48" s="21" t="s">
        <v>22</v>
      </c>
      <c r="Y48" s="21" t="s">
        <v>26</v>
      </c>
      <c r="Z48" s="21" t="s">
        <v>22</v>
      </c>
      <c r="AA48" s="21" t="s">
        <v>22</v>
      </c>
      <c r="AB48" s="21" t="s">
        <v>26</v>
      </c>
      <c r="AC48" s="21" t="s">
        <v>22</v>
      </c>
      <c r="AD48" s="21" t="s">
        <v>22</v>
      </c>
      <c r="AE48" s="21" t="s">
        <v>198</v>
      </c>
      <c r="AF48" s="21" t="s">
        <v>26</v>
      </c>
      <c r="AG48" s="21" t="s">
        <v>26</v>
      </c>
      <c r="AH48" s="21" t="s">
        <v>22</v>
      </c>
      <c r="AI48" s="21" t="s">
        <v>26</v>
      </c>
      <c r="AJ48" s="21" t="s">
        <v>26</v>
      </c>
      <c r="AK48" s="21" t="s">
        <v>22</v>
      </c>
      <c r="AL48" s="21" t="s">
        <v>26</v>
      </c>
      <c r="AM48" s="21" t="s">
        <v>83</v>
      </c>
      <c r="AN48" s="21" t="s">
        <v>83</v>
      </c>
      <c r="AO48" s="21" t="s">
        <v>83</v>
      </c>
      <c r="AP48" s="21" t="s">
        <v>83</v>
      </c>
      <c r="AQ48" s="21" t="s">
        <v>83</v>
      </c>
      <c r="AR48" s="21" t="s">
        <v>83</v>
      </c>
      <c r="AS48" s="21" t="s">
        <v>198</v>
      </c>
      <c r="AT48" s="21" t="s">
        <v>198</v>
      </c>
      <c r="AU48" s="21" t="s">
        <v>109</v>
      </c>
      <c r="AV48" s="21" t="s">
        <v>109</v>
      </c>
      <c r="AW48" s="21" t="s">
        <v>109</v>
      </c>
      <c r="AX48" s="21" t="s">
        <v>109</v>
      </c>
      <c r="AY48" s="21" t="s">
        <v>109</v>
      </c>
      <c r="AZ48" s="21" t="s">
        <v>109</v>
      </c>
      <c r="BA48" s="17" t="s">
        <v>203</v>
      </c>
      <c r="BB48" s="17" t="s">
        <v>155</v>
      </c>
      <c r="BC48" s="18">
        <f>--ISNUMBER(SEARCH("Radio or television",BA48))</f>
        <v>1</v>
      </c>
      <c r="BD48" s="18">
        <f>--ISNUMBER(SEARCH("Newspapers or print media",BA48))</f>
        <v>0</v>
      </c>
      <c r="BE48" s="18">
        <f>--ISNUMBER(SEARCH("Social media (e.g. Facebook, WhatsApp, YouTube, X/Twitter)",BA48))</f>
        <v>1</v>
      </c>
      <c r="BF48" s="18">
        <f>--ISNUMBER(SEARCH("Family members",BA48))</f>
        <v>1</v>
      </c>
      <c r="BG48" s="18">
        <f>--ISNUMBER(SEARCH("Friends or fellow students",BA48))</f>
        <v>1</v>
      </c>
      <c r="BH48" s="18">
        <f>--ISNUMBER(SEARCH("School coursework or lectures",BA48))</f>
        <v>1</v>
      </c>
      <c r="BI48" s="18">
        <f>--ISNUMBER(SEARCH("NHIMA outreach activities or NHIMA offices",BA48))</f>
        <v>0</v>
      </c>
      <c r="BJ48" s="18">
        <f>--ISNUMBER(SEARCH("Health facility staff",BA48))</f>
        <v>0</v>
      </c>
      <c r="BK48" s="18">
        <f>--ISNUMBER(SEARCH("not received information",BA48))</f>
        <v>0</v>
      </c>
      <c r="BL48" s="18">
        <f>IF(T48="","",--(T48='Codebook'!$F$13))</f>
        <v>1</v>
      </c>
      <c r="BM48" s="18">
        <f>IF(U48="","",--(U48='Codebook'!$F$14))</f>
        <v>1</v>
      </c>
      <c r="BN48" s="18">
        <f>IF(V48="","",--(V48='Codebook'!$F$15))</f>
        <v>1</v>
      </c>
      <c r="BO48" s="18">
        <f>IF(W48="","",--(W48='Codebook'!$F$16))</f>
        <v>1</v>
      </c>
      <c r="BP48" s="18">
        <f>IF(X48="","",--(X48='Codebook'!$F$17))</f>
        <v>1</v>
      </c>
      <c r="BQ48" s="18">
        <f>IF(Y48="","",--(Y48='Codebook'!$F$18))</f>
        <v>1</v>
      </c>
      <c r="BR48" s="18">
        <f>IF(Z48="","",--(Z48='Codebook'!$F$19))</f>
        <v>1</v>
      </c>
      <c r="BS48" s="18">
        <f>IF(AA48="","",--(AA48='Codebook'!$F$20))</f>
        <v>1</v>
      </c>
      <c r="BT48" s="18">
        <f>IF(AB48="","",--(AB48='Codebook'!$F$21))</f>
        <v>1</v>
      </c>
      <c r="BU48" s="18">
        <f>IF(AC48="","",--(AC48='Codebook'!$F$22))</f>
        <v>1</v>
      </c>
      <c r="BV48" s="18">
        <f>IF(AD48="","",--(AD48='Codebook'!$F$23))</f>
        <v>1</v>
      </c>
      <c r="BW48" s="18">
        <f>IF(AE48="","",--(AE48='Codebook'!$F$24))</f>
        <v>0</v>
      </c>
      <c r="BX48" s="18">
        <f>IF(AF48="","",--(AF48='Codebook'!$F$25))</f>
        <v>1</v>
      </c>
      <c r="BY48" s="18">
        <f>IF(AG48="","",--(AG48='Codebook'!$F$26))</f>
        <v>0</v>
      </c>
      <c r="BZ48" s="18">
        <f>IF(AH48="","",--(AH48='Codebook'!$F$27))</f>
        <v>1</v>
      </c>
      <c r="CA48" s="18">
        <f>IF(AI48="","",--(AI48='Codebook'!$F$28))</f>
        <v>1</v>
      </c>
      <c r="CB48" s="18">
        <f>IF(AJ48="","",--(AJ48='Codebook'!$F$29))</f>
        <v>1</v>
      </c>
      <c r="CC48" s="18">
        <f>IF(AK48="","",--(AK48='Codebook'!$F$30))</f>
        <v>1</v>
      </c>
      <c r="CD48" s="18">
        <f>IF(AL48="","",--(AL48='Codebook'!$F$31))</f>
        <v>1</v>
      </c>
      <c r="CE48" s="18">
        <f>IF(AM48="","",--(AM48='Codebook'!$F$32))</f>
        <v>1</v>
      </c>
      <c r="CF48" s="18">
        <f>IF(AN48="","",--(AN48='Codebook'!$F$33))</f>
        <v>1</v>
      </c>
      <c r="CG48" s="18">
        <f>IF(AO48="","",--(AO48='Codebook'!$F$34))</f>
        <v>1</v>
      </c>
      <c r="CH48" s="18">
        <f>IF(AP48="","",--(AP48='Codebook'!$F$35))</f>
        <v>1</v>
      </c>
      <c r="CI48" s="18">
        <f>IF(AQ48="","",--(AQ48='Codebook'!$F$36))</f>
        <v>1</v>
      </c>
      <c r="CJ48" s="18">
        <f>IF(AR48="","",--(AR48='Codebook'!$F$37))</f>
        <v>1</v>
      </c>
      <c r="CK48" s="18">
        <f>IF(AS48="","",--(AS48='Codebook'!$F$38))</f>
        <v>0</v>
      </c>
      <c r="CL48" s="18">
        <f>IF(AT48="","",--(AT48='Codebook'!$F$39))</f>
        <v>0</v>
      </c>
      <c r="CM48" s="18">
        <f>IF(AU48="","",--(AU48='Codebook'!$F$40))</f>
        <v>1</v>
      </c>
      <c r="CN48" s="18">
        <f>IF(AV48="","",--(AV48='Codebook'!$F$41))</f>
        <v>1</v>
      </c>
      <c r="CO48" s="18">
        <f>IF(AW48="","",--(AW48='Codebook'!$F$42))</f>
        <v>1</v>
      </c>
      <c r="CP48" s="18">
        <f>IF(AX48="","",--(AX48='Codebook'!$F$43))</f>
        <v>1</v>
      </c>
      <c r="CQ48" s="18">
        <f>IF(AY48="","",--(AY48='Codebook'!$F$44))</f>
        <v>1</v>
      </c>
      <c r="CR48" s="18">
        <f>IF(AZ48="","",--(AZ48='Codebook'!$F$45))</f>
        <v>1</v>
      </c>
    </row>
    <row r="49" spans="2:96" ht="24" customHeight="1">
      <c r="B49" s="18">
        <v>44</v>
      </c>
      <c r="C49" s="23">
        <v>46277.90171222222</v>
      </c>
      <c r="D49" s="18">
        <v>24</v>
      </c>
      <c r="E49" s="21" t="s">
        <v>206</v>
      </c>
      <c r="F49" s="21" t="s">
        <v>201</v>
      </c>
      <c r="G49" s="17" t="s">
        <v>202</v>
      </c>
      <c r="H49" s="21" t="s">
        <v>197</v>
      </c>
      <c r="I49" s="18">
        <f>SUM(BL49:BU49)</f>
        <v>10</v>
      </c>
      <c r="J49" s="18">
        <f>IF(COUNT(BV49:CD49)=9,SUM(BV49:CD49),"")</f>
        <v>5</v>
      </c>
      <c r="K49" s="18">
        <f>SUM(BL49:CD49)</f>
        <v>15</v>
      </c>
      <c r="L49" s="18">
        <f>--(K49&gt;='Codebook'!$C$8)</f>
        <v>1</v>
      </c>
      <c r="M49" s="18">
        <f>--(COUNT(BL49:CD49)=19)</f>
        <v>1</v>
      </c>
      <c r="N49" s="18">
        <f>SUM(CE49:CL49)</f>
        <v>2</v>
      </c>
      <c r="O49" s="18">
        <f>SUM(CM49:CR49)</f>
        <v>2</v>
      </c>
      <c r="P49" s="18">
        <f>N49+O49</f>
        <v>4</v>
      </c>
      <c r="Q49" s="21" t="s">
        <v>197</v>
      </c>
      <c r="R49" s="17" t="s">
        <v>222</v>
      </c>
      <c r="S49" s="18">
        <f>--OR(Overview!$B$6="All",E49=Overview!$B$6)*--OR(Overview!$F$6="All",F49=Overview!$F$6)*--OR(Overview!$J$6="All",G49=Overview!$J$6)*--OR(Overview!$N$6="All",H49=Overview!$N$6)</f>
        <v>1</v>
      </c>
      <c r="T49" s="21" t="s">
        <v>22</v>
      </c>
      <c r="U49" s="21" t="s">
        <v>26</v>
      </c>
      <c r="V49" s="21" t="s">
        <v>26</v>
      </c>
      <c r="W49" s="21" t="s">
        <v>22</v>
      </c>
      <c r="X49" s="21" t="s">
        <v>22</v>
      </c>
      <c r="Y49" s="21" t="s">
        <v>26</v>
      </c>
      <c r="Z49" s="21" t="s">
        <v>22</v>
      </c>
      <c r="AA49" s="21" t="s">
        <v>22</v>
      </c>
      <c r="AB49" s="21" t="s">
        <v>26</v>
      </c>
      <c r="AC49" s="21" t="s">
        <v>22</v>
      </c>
      <c r="AD49" s="21" t="s">
        <v>198</v>
      </c>
      <c r="AE49" s="21" t="s">
        <v>198</v>
      </c>
      <c r="AF49" s="21" t="s">
        <v>26</v>
      </c>
      <c r="AG49" s="21" t="s">
        <v>198</v>
      </c>
      <c r="AH49" s="21" t="s">
        <v>22</v>
      </c>
      <c r="AI49" s="21" t="s">
        <v>26</v>
      </c>
      <c r="AJ49" s="21" t="s">
        <v>198</v>
      </c>
      <c r="AK49" s="21" t="s">
        <v>22</v>
      </c>
      <c r="AL49" s="21" t="s">
        <v>26</v>
      </c>
      <c r="AM49" s="21" t="s">
        <v>198</v>
      </c>
      <c r="AN49" s="21" t="s">
        <v>83</v>
      </c>
      <c r="AO49" s="21" t="s">
        <v>83</v>
      </c>
      <c r="AP49" s="21" t="s">
        <v>198</v>
      </c>
      <c r="AQ49" s="21" t="s">
        <v>198</v>
      </c>
      <c r="AR49" s="21" t="s">
        <v>198</v>
      </c>
      <c r="AS49" s="21" t="s">
        <v>198</v>
      </c>
      <c r="AT49" s="21" t="s">
        <v>198</v>
      </c>
      <c r="AU49" s="21" t="s">
        <v>109</v>
      </c>
      <c r="AV49" s="21" t="s">
        <v>198</v>
      </c>
      <c r="AW49" s="21" t="s">
        <v>198</v>
      </c>
      <c r="AX49" s="21" t="s">
        <v>198</v>
      </c>
      <c r="AY49" s="21" t="s">
        <v>109</v>
      </c>
      <c r="AZ49" s="21" t="s">
        <v>198</v>
      </c>
      <c r="BA49" s="17" t="s">
        <v>260</v>
      </c>
      <c r="BB49" s="21"/>
      <c r="BC49" s="18">
        <f>--ISNUMBER(SEARCH("Radio or television",BA49))</f>
        <v>0</v>
      </c>
      <c r="BD49" s="18">
        <f>--ISNUMBER(SEARCH("Newspapers or print media",BA49))</f>
        <v>0</v>
      </c>
      <c r="BE49" s="18">
        <f>--ISNUMBER(SEARCH("Social media (e.g. Facebook, WhatsApp, YouTube, X/Twitter)",BA49))</f>
        <v>0</v>
      </c>
      <c r="BF49" s="18">
        <f>--ISNUMBER(SEARCH("Family members",BA49))</f>
        <v>0</v>
      </c>
      <c r="BG49" s="18">
        <f>--ISNUMBER(SEARCH("Friends or fellow students",BA49))</f>
        <v>1</v>
      </c>
      <c r="BH49" s="18">
        <f>--ISNUMBER(SEARCH("School coursework or lectures",BA49))</f>
        <v>0</v>
      </c>
      <c r="BI49" s="18">
        <f>--ISNUMBER(SEARCH("NHIMA outreach activities or NHIMA offices",BA49))</f>
        <v>0</v>
      </c>
      <c r="BJ49" s="18">
        <f>--ISNUMBER(SEARCH("Health facility staff",BA49))</f>
        <v>1</v>
      </c>
      <c r="BK49" s="18">
        <f>--ISNUMBER(SEARCH("not received information",BA49))</f>
        <v>0</v>
      </c>
      <c r="BL49" s="18">
        <f>IF(T49="","",--(T49='Codebook'!$F$13))</f>
        <v>1</v>
      </c>
      <c r="BM49" s="18">
        <f>IF(U49="","",--(U49='Codebook'!$F$14))</f>
        <v>1</v>
      </c>
      <c r="BN49" s="18">
        <f>IF(V49="","",--(V49='Codebook'!$F$15))</f>
        <v>1</v>
      </c>
      <c r="BO49" s="18">
        <f>IF(W49="","",--(W49='Codebook'!$F$16))</f>
        <v>1</v>
      </c>
      <c r="BP49" s="18">
        <f>IF(X49="","",--(X49='Codebook'!$F$17))</f>
        <v>1</v>
      </c>
      <c r="BQ49" s="18">
        <f>IF(Y49="","",--(Y49='Codebook'!$F$18))</f>
        <v>1</v>
      </c>
      <c r="BR49" s="18">
        <f>IF(Z49="","",--(Z49='Codebook'!$F$19))</f>
        <v>1</v>
      </c>
      <c r="BS49" s="18">
        <f>IF(AA49="","",--(AA49='Codebook'!$F$20))</f>
        <v>1</v>
      </c>
      <c r="BT49" s="18">
        <f>IF(AB49="","",--(AB49='Codebook'!$F$21))</f>
        <v>1</v>
      </c>
      <c r="BU49" s="18">
        <f>IF(AC49="","",--(AC49='Codebook'!$F$22))</f>
        <v>1</v>
      </c>
      <c r="BV49" s="18">
        <f>IF(AD49="","",--(AD49='Codebook'!$F$23))</f>
        <v>0</v>
      </c>
      <c r="BW49" s="18">
        <f>IF(AE49="","",--(AE49='Codebook'!$F$24))</f>
        <v>0</v>
      </c>
      <c r="BX49" s="18">
        <f>IF(AF49="","",--(AF49='Codebook'!$F$25))</f>
        <v>1</v>
      </c>
      <c r="BY49" s="18">
        <f>IF(AG49="","",--(AG49='Codebook'!$F$26))</f>
        <v>0</v>
      </c>
      <c r="BZ49" s="18">
        <f>IF(AH49="","",--(AH49='Codebook'!$F$27))</f>
        <v>1</v>
      </c>
      <c r="CA49" s="18">
        <f>IF(AI49="","",--(AI49='Codebook'!$F$28))</f>
        <v>1</v>
      </c>
      <c r="CB49" s="18">
        <f>IF(AJ49="","",--(AJ49='Codebook'!$F$29))</f>
        <v>0</v>
      </c>
      <c r="CC49" s="18">
        <f>IF(AK49="","",--(AK49='Codebook'!$F$30))</f>
        <v>1</v>
      </c>
      <c r="CD49" s="18">
        <f>IF(AL49="","",--(AL49='Codebook'!$F$31))</f>
        <v>1</v>
      </c>
      <c r="CE49" s="18">
        <f>IF(AM49="","",--(AM49='Codebook'!$F$32))</f>
        <v>0</v>
      </c>
      <c r="CF49" s="18">
        <f>IF(AN49="","",--(AN49='Codebook'!$F$33))</f>
        <v>1</v>
      </c>
      <c r="CG49" s="18">
        <f>IF(AO49="","",--(AO49='Codebook'!$F$34))</f>
        <v>1</v>
      </c>
      <c r="CH49" s="18">
        <f>IF(AP49="","",--(AP49='Codebook'!$F$35))</f>
        <v>0</v>
      </c>
      <c r="CI49" s="18">
        <f>IF(AQ49="","",--(AQ49='Codebook'!$F$36))</f>
        <v>0</v>
      </c>
      <c r="CJ49" s="18">
        <f>IF(AR49="","",--(AR49='Codebook'!$F$37))</f>
        <v>0</v>
      </c>
      <c r="CK49" s="18">
        <f>IF(AS49="","",--(AS49='Codebook'!$F$38))</f>
        <v>0</v>
      </c>
      <c r="CL49" s="18">
        <f>IF(AT49="","",--(AT49='Codebook'!$F$39))</f>
        <v>0</v>
      </c>
      <c r="CM49" s="18">
        <f>IF(AU49="","",--(AU49='Codebook'!$F$40))</f>
        <v>1</v>
      </c>
      <c r="CN49" s="18">
        <f>IF(AV49="","",--(AV49='Codebook'!$F$41))</f>
        <v>0</v>
      </c>
      <c r="CO49" s="18">
        <f>IF(AW49="","",--(AW49='Codebook'!$F$42))</f>
        <v>0</v>
      </c>
      <c r="CP49" s="18">
        <f>IF(AX49="","",--(AX49='Codebook'!$F$43))</f>
        <v>0</v>
      </c>
      <c r="CQ49" s="18">
        <f>IF(AY49="","",--(AY49='Codebook'!$F$44))</f>
        <v>1</v>
      </c>
      <c r="CR49" s="18">
        <f>IF(AZ49="","",--(AZ49='Codebook'!$F$45))</f>
        <v>0</v>
      </c>
    </row>
    <row r="50" spans="2:96" ht="24" customHeight="1">
      <c r="B50" s="18">
        <v>45</v>
      </c>
      <c r="C50" s="23">
        <v>46277.95730305555</v>
      </c>
      <c r="D50" s="18">
        <v>23</v>
      </c>
      <c r="E50" s="21" t="s">
        <v>194</v>
      </c>
      <c r="F50" s="21" t="s">
        <v>212</v>
      </c>
      <c r="G50" s="17" t="s">
        <v>202</v>
      </c>
      <c r="H50" s="21" t="s">
        <v>207</v>
      </c>
      <c r="I50" s="18">
        <f>SUM(BL50:BU50)</f>
        <v>4</v>
      </c>
      <c r="J50" s="18">
        <f>IF(COUNT(BV50:CD50)=9,SUM(BV50:CD50),"")</f>
        <v>2</v>
      </c>
      <c r="K50" s="18">
        <f>SUM(BL50:CD50)</f>
        <v>6</v>
      </c>
      <c r="L50" s="18">
        <f>--(K50&gt;='Codebook'!$C$8)</f>
        <v>0</v>
      </c>
      <c r="M50" s="18">
        <f>--(COUNT(BL50:CD50)=19)</f>
        <v>1</v>
      </c>
      <c r="N50" s="18">
        <f>SUM(CE50:CL50)</f>
        <v>1</v>
      </c>
      <c r="O50" s="18">
        <f>SUM(CM50:CR50)</f>
        <v>0</v>
      </c>
      <c r="P50" s="18">
        <f>N50+O50</f>
        <v>1</v>
      </c>
      <c r="Q50" s="21" t="s">
        <v>198</v>
      </c>
      <c r="R50" s="17" t="s">
        <v>152</v>
      </c>
      <c r="S50" s="18">
        <f>--OR(Overview!$B$6="All",E50=Overview!$B$6)*--OR(Overview!$F$6="All",F50=Overview!$F$6)*--OR(Overview!$J$6="All",G50=Overview!$J$6)*--OR(Overview!$N$6="All",H50=Overview!$N$6)</f>
        <v>1</v>
      </c>
      <c r="T50" s="21" t="s">
        <v>22</v>
      </c>
      <c r="U50" s="21" t="s">
        <v>22</v>
      </c>
      <c r="V50" s="21" t="s">
        <v>22</v>
      </c>
      <c r="W50" s="21" t="s">
        <v>22</v>
      </c>
      <c r="X50" s="21" t="s">
        <v>22</v>
      </c>
      <c r="Y50" s="21" t="s">
        <v>198</v>
      </c>
      <c r="Z50" s="21" t="s">
        <v>198</v>
      </c>
      <c r="AA50" s="21" t="s">
        <v>22</v>
      </c>
      <c r="AB50" s="21" t="s">
        <v>198</v>
      </c>
      <c r="AC50" s="21" t="s">
        <v>198</v>
      </c>
      <c r="AD50" s="21" t="s">
        <v>22</v>
      </c>
      <c r="AE50" s="21" t="s">
        <v>22</v>
      </c>
      <c r="AF50" s="21" t="s">
        <v>198</v>
      </c>
      <c r="AG50" s="21" t="s">
        <v>198</v>
      </c>
      <c r="AH50" s="21" t="s">
        <v>198</v>
      </c>
      <c r="AI50" s="21" t="s">
        <v>198</v>
      </c>
      <c r="AJ50" s="21" t="s">
        <v>22</v>
      </c>
      <c r="AK50" s="21" t="s">
        <v>198</v>
      </c>
      <c r="AL50" s="21" t="s">
        <v>198</v>
      </c>
      <c r="AM50" s="21" t="s">
        <v>198</v>
      </c>
      <c r="AN50" s="21" t="s">
        <v>198</v>
      </c>
      <c r="AO50" s="21" t="s">
        <v>198</v>
      </c>
      <c r="AP50" s="21" t="s">
        <v>198</v>
      </c>
      <c r="AQ50" s="21" t="s">
        <v>198</v>
      </c>
      <c r="AR50" s="21" t="s">
        <v>198</v>
      </c>
      <c r="AS50" s="21" t="s">
        <v>198</v>
      </c>
      <c r="AT50" s="21" t="s">
        <v>83</v>
      </c>
      <c r="AU50" s="21" t="s">
        <v>198</v>
      </c>
      <c r="AV50" s="21" t="s">
        <v>198</v>
      </c>
      <c r="AW50" s="21" t="s">
        <v>198</v>
      </c>
      <c r="AX50" s="21" t="s">
        <v>198</v>
      </c>
      <c r="AY50" s="21" t="s">
        <v>198</v>
      </c>
      <c r="AZ50" s="21" t="s">
        <v>198</v>
      </c>
      <c r="BA50" s="17" t="s">
        <v>246</v>
      </c>
      <c r="BB50" s="17" t="s">
        <v>240</v>
      </c>
      <c r="BC50" s="18">
        <f>--ISNUMBER(SEARCH("Radio or television",BA50))</f>
        <v>1</v>
      </c>
      <c r="BD50" s="18">
        <f>--ISNUMBER(SEARCH("Newspapers or print media",BA50))</f>
        <v>0</v>
      </c>
      <c r="BE50" s="18">
        <f>--ISNUMBER(SEARCH("Social media (e.g. Facebook, WhatsApp, YouTube, X/Twitter)",BA50))</f>
        <v>1</v>
      </c>
      <c r="BF50" s="18">
        <f>--ISNUMBER(SEARCH("Family members",BA50))</f>
        <v>0</v>
      </c>
      <c r="BG50" s="18">
        <f>--ISNUMBER(SEARCH("Friends or fellow students",BA50))</f>
        <v>0</v>
      </c>
      <c r="BH50" s="18">
        <f>--ISNUMBER(SEARCH("School coursework or lectures",BA50))</f>
        <v>0</v>
      </c>
      <c r="BI50" s="18">
        <f>--ISNUMBER(SEARCH("NHIMA outreach activities or NHIMA offices",BA50))</f>
        <v>0</v>
      </c>
      <c r="BJ50" s="18">
        <f>--ISNUMBER(SEARCH("Health facility staff",BA50))</f>
        <v>0</v>
      </c>
      <c r="BK50" s="18">
        <f>--ISNUMBER(SEARCH("not received information",BA50))</f>
        <v>0</v>
      </c>
      <c r="BL50" s="18">
        <f>IF(T50="","",--(T50='Codebook'!$F$13))</f>
        <v>1</v>
      </c>
      <c r="BM50" s="18">
        <f>IF(U50="","",--(U50='Codebook'!$F$14))</f>
        <v>0</v>
      </c>
      <c r="BN50" s="18">
        <f>IF(V50="","",--(V50='Codebook'!$F$15))</f>
        <v>0</v>
      </c>
      <c r="BO50" s="18">
        <f>IF(W50="","",--(W50='Codebook'!$F$16))</f>
        <v>1</v>
      </c>
      <c r="BP50" s="18">
        <f>IF(X50="","",--(X50='Codebook'!$F$17))</f>
        <v>1</v>
      </c>
      <c r="BQ50" s="18">
        <f>IF(Y50="","",--(Y50='Codebook'!$F$18))</f>
        <v>0</v>
      </c>
      <c r="BR50" s="18">
        <f>IF(Z50="","",--(Z50='Codebook'!$F$19))</f>
        <v>0</v>
      </c>
      <c r="BS50" s="18">
        <f>IF(AA50="","",--(AA50='Codebook'!$F$20))</f>
        <v>1</v>
      </c>
      <c r="BT50" s="18">
        <f>IF(AB50="","",--(AB50='Codebook'!$F$21))</f>
        <v>0</v>
      </c>
      <c r="BU50" s="18">
        <f>IF(AC50="","",--(AC50='Codebook'!$F$22))</f>
        <v>0</v>
      </c>
      <c r="BV50" s="18">
        <f>IF(AD50="","",--(AD50='Codebook'!$F$23))</f>
        <v>1</v>
      </c>
      <c r="BW50" s="18">
        <f>IF(AE50="","",--(AE50='Codebook'!$F$24))</f>
        <v>1</v>
      </c>
      <c r="BX50" s="18">
        <f>IF(AF50="","",--(AF50='Codebook'!$F$25))</f>
        <v>0</v>
      </c>
      <c r="BY50" s="18">
        <f>IF(AG50="","",--(AG50='Codebook'!$F$26))</f>
        <v>0</v>
      </c>
      <c r="BZ50" s="18">
        <f>IF(AH50="","",--(AH50='Codebook'!$F$27))</f>
        <v>0</v>
      </c>
      <c r="CA50" s="18">
        <f>IF(AI50="","",--(AI50='Codebook'!$F$28))</f>
        <v>0</v>
      </c>
      <c r="CB50" s="18">
        <f>IF(AJ50="","",--(AJ50='Codebook'!$F$29))</f>
        <v>0</v>
      </c>
      <c r="CC50" s="18">
        <f>IF(AK50="","",--(AK50='Codebook'!$F$30))</f>
        <v>0</v>
      </c>
      <c r="CD50" s="18">
        <f>IF(AL50="","",--(AL50='Codebook'!$F$31))</f>
        <v>0</v>
      </c>
      <c r="CE50" s="18">
        <f>IF(AM50="","",--(AM50='Codebook'!$F$32))</f>
        <v>0</v>
      </c>
      <c r="CF50" s="18">
        <f>IF(AN50="","",--(AN50='Codebook'!$F$33))</f>
        <v>0</v>
      </c>
      <c r="CG50" s="18">
        <f>IF(AO50="","",--(AO50='Codebook'!$F$34))</f>
        <v>0</v>
      </c>
      <c r="CH50" s="18">
        <f>IF(AP50="","",--(AP50='Codebook'!$F$35))</f>
        <v>0</v>
      </c>
      <c r="CI50" s="18">
        <f>IF(AQ50="","",--(AQ50='Codebook'!$F$36))</f>
        <v>0</v>
      </c>
      <c r="CJ50" s="18">
        <f>IF(AR50="","",--(AR50='Codebook'!$F$37))</f>
        <v>0</v>
      </c>
      <c r="CK50" s="18">
        <f>IF(AS50="","",--(AS50='Codebook'!$F$38))</f>
        <v>0</v>
      </c>
      <c r="CL50" s="18">
        <f>IF(AT50="","",--(AT50='Codebook'!$F$39))</f>
        <v>1</v>
      </c>
      <c r="CM50" s="18">
        <f>IF(AU50="","",--(AU50='Codebook'!$F$40))</f>
        <v>0</v>
      </c>
      <c r="CN50" s="18">
        <f>IF(AV50="","",--(AV50='Codebook'!$F$41))</f>
        <v>0</v>
      </c>
      <c r="CO50" s="18">
        <f>IF(AW50="","",--(AW50='Codebook'!$F$42))</f>
        <v>0</v>
      </c>
      <c r="CP50" s="18">
        <f>IF(AX50="","",--(AX50='Codebook'!$F$43))</f>
        <v>0</v>
      </c>
      <c r="CQ50" s="18">
        <f>IF(AY50="","",--(AY50='Codebook'!$F$44))</f>
        <v>0</v>
      </c>
      <c r="CR50" s="18">
        <f>IF(AZ50="","",--(AZ50='Codebook'!$F$45))</f>
        <v>0</v>
      </c>
    </row>
    <row r="51" spans="2:96" ht="24" customHeight="1">
      <c r="B51" s="18">
        <v>46</v>
      </c>
      <c r="C51" s="23">
        <v>46277.96932740741</v>
      </c>
      <c r="D51" s="18">
        <v>24</v>
      </c>
      <c r="E51" s="21" t="s">
        <v>194</v>
      </c>
      <c r="F51" s="21" t="s">
        <v>195</v>
      </c>
      <c r="G51" s="17" t="s">
        <v>196</v>
      </c>
      <c r="H51" s="21" t="s">
        <v>207</v>
      </c>
      <c r="I51" s="18">
        <f>SUM(BL51:BU51)</f>
        <v>3</v>
      </c>
      <c r="J51" s="18">
        <f>IF(COUNT(BV51:CD51)=9,SUM(BV51:CD51),"")</f>
        <v>3</v>
      </c>
      <c r="K51" s="18">
        <f>SUM(BL51:CD51)</f>
        <v>6</v>
      </c>
      <c r="L51" s="18">
        <f>--(K51&gt;='Codebook'!$C$8)</f>
        <v>0</v>
      </c>
      <c r="M51" s="18">
        <f>--(COUNT(BL51:CD51)=19)</f>
        <v>1</v>
      </c>
      <c r="N51" s="18">
        <f>SUM(CE51:CL51)</f>
        <v>5</v>
      </c>
      <c r="O51" s="18">
        <f>SUM(CM51:CR51)</f>
        <v>2</v>
      </c>
      <c r="P51" s="18">
        <f>N51+O51</f>
        <v>7</v>
      </c>
      <c r="Q51" s="21" t="s">
        <v>198</v>
      </c>
      <c r="R51" s="17" t="s">
        <v>154</v>
      </c>
      <c r="S51" s="18">
        <f>--OR(Overview!$B$6="All",E51=Overview!$B$6)*--OR(Overview!$F$6="All",F51=Overview!$F$6)*--OR(Overview!$J$6="All",G51=Overview!$J$6)*--OR(Overview!$N$6="All",H51=Overview!$N$6)</f>
        <v>1</v>
      </c>
      <c r="T51" s="21" t="s">
        <v>22</v>
      </c>
      <c r="U51" s="21" t="s">
        <v>22</v>
      </c>
      <c r="V51" s="21" t="s">
        <v>22</v>
      </c>
      <c r="W51" s="21" t="s">
        <v>22</v>
      </c>
      <c r="X51" s="21" t="s">
        <v>22</v>
      </c>
      <c r="Y51" s="21" t="s">
        <v>198</v>
      </c>
      <c r="Z51" s="21" t="s">
        <v>198</v>
      </c>
      <c r="AA51" s="21" t="s">
        <v>198</v>
      </c>
      <c r="AB51" s="21" t="s">
        <v>198</v>
      </c>
      <c r="AC51" s="21" t="s">
        <v>26</v>
      </c>
      <c r="AD51" s="21" t="s">
        <v>22</v>
      </c>
      <c r="AE51" s="21" t="s">
        <v>198</v>
      </c>
      <c r="AF51" s="21" t="s">
        <v>198</v>
      </c>
      <c r="AG51" s="21" t="s">
        <v>198</v>
      </c>
      <c r="AH51" s="21" t="s">
        <v>198</v>
      </c>
      <c r="AI51" s="21" t="s">
        <v>22</v>
      </c>
      <c r="AJ51" s="21" t="s">
        <v>22</v>
      </c>
      <c r="AK51" s="21" t="s">
        <v>22</v>
      </c>
      <c r="AL51" s="21" t="s">
        <v>26</v>
      </c>
      <c r="AM51" s="21" t="s">
        <v>83</v>
      </c>
      <c r="AN51" s="21" t="s">
        <v>83</v>
      </c>
      <c r="AO51" s="21" t="s">
        <v>83</v>
      </c>
      <c r="AP51" s="21" t="s">
        <v>109</v>
      </c>
      <c r="AQ51" s="21" t="s">
        <v>83</v>
      </c>
      <c r="AR51" s="21" t="s">
        <v>109</v>
      </c>
      <c r="AS51" s="21" t="s">
        <v>83</v>
      </c>
      <c r="AT51" s="21" t="s">
        <v>109</v>
      </c>
      <c r="AU51" s="21" t="s">
        <v>83</v>
      </c>
      <c r="AV51" s="21" t="s">
        <v>83</v>
      </c>
      <c r="AW51" s="21" t="s">
        <v>109</v>
      </c>
      <c r="AX51" s="21" t="s">
        <v>83</v>
      </c>
      <c r="AY51" s="21" t="s">
        <v>83</v>
      </c>
      <c r="AZ51" s="21" t="s">
        <v>109</v>
      </c>
      <c r="BA51" s="17" t="s">
        <v>246</v>
      </c>
      <c r="BB51" s="17" t="s">
        <v>261</v>
      </c>
      <c r="BC51" s="18">
        <f>--ISNUMBER(SEARCH("Radio or television",BA51))</f>
        <v>1</v>
      </c>
      <c r="BD51" s="18">
        <f>--ISNUMBER(SEARCH("Newspapers or print media",BA51))</f>
        <v>0</v>
      </c>
      <c r="BE51" s="18">
        <f>--ISNUMBER(SEARCH("Social media (e.g. Facebook, WhatsApp, YouTube, X/Twitter)",BA51))</f>
        <v>1</v>
      </c>
      <c r="BF51" s="18">
        <f>--ISNUMBER(SEARCH("Family members",BA51))</f>
        <v>0</v>
      </c>
      <c r="BG51" s="18">
        <f>--ISNUMBER(SEARCH("Friends or fellow students",BA51))</f>
        <v>0</v>
      </c>
      <c r="BH51" s="18">
        <f>--ISNUMBER(SEARCH("School coursework or lectures",BA51))</f>
        <v>0</v>
      </c>
      <c r="BI51" s="18">
        <f>--ISNUMBER(SEARCH("NHIMA outreach activities or NHIMA offices",BA51))</f>
        <v>0</v>
      </c>
      <c r="BJ51" s="18">
        <f>--ISNUMBER(SEARCH("Health facility staff",BA51))</f>
        <v>0</v>
      </c>
      <c r="BK51" s="18">
        <f>--ISNUMBER(SEARCH("not received information",BA51))</f>
        <v>0</v>
      </c>
      <c r="BL51" s="18">
        <f>IF(T51="","",--(T51='Codebook'!$F$13))</f>
        <v>1</v>
      </c>
      <c r="BM51" s="18">
        <f>IF(U51="","",--(U51='Codebook'!$F$14))</f>
        <v>0</v>
      </c>
      <c r="BN51" s="18">
        <f>IF(V51="","",--(V51='Codebook'!$F$15))</f>
        <v>0</v>
      </c>
      <c r="BO51" s="18">
        <f>IF(W51="","",--(W51='Codebook'!$F$16))</f>
        <v>1</v>
      </c>
      <c r="BP51" s="18">
        <f>IF(X51="","",--(X51='Codebook'!$F$17))</f>
        <v>1</v>
      </c>
      <c r="BQ51" s="18">
        <f>IF(Y51="","",--(Y51='Codebook'!$F$18))</f>
        <v>0</v>
      </c>
      <c r="BR51" s="18">
        <f>IF(Z51="","",--(Z51='Codebook'!$F$19))</f>
        <v>0</v>
      </c>
      <c r="BS51" s="18">
        <f>IF(AA51="","",--(AA51='Codebook'!$F$20))</f>
        <v>0</v>
      </c>
      <c r="BT51" s="18">
        <f>IF(AB51="","",--(AB51='Codebook'!$F$21))</f>
        <v>0</v>
      </c>
      <c r="BU51" s="18">
        <f>IF(AC51="","",--(AC51='Codebook'!$F$22))</f>
        <v>0</v>
      </c>
      <c r="BV51" s="18">
        <f>IF(AD51="","",--(AD51='Codebook'!$F$23))</f>
        <v>1</v>
      </c>
      <c r="BW51" s="18">
        <f>IF(AE51="","",--(AE51='Codebook'!$F$24))</f>
        <v>0</v>
      </c>
      <c r="BX51" s="18">
        <f>IF(AF51="","",--(AF51='Codebook'!$F$25))</f>
        <v>0</v>
      </c>
      <c r="BY51" s="18">
        <f>IF(AG51="","",--(AG51='Codebook'!$F$26))</f>
        <v>0</v>
      </c>
      <c r="BZ51" s="18">
        <f>IF(AH51="","",--(AH51='Codebook'!$F$27))</f>
        <v>0</v>
      </c>
      <c r="CA51" s="18">
        <f>IF(AI51="","",--(AI51='Codebook'!$F$28))</f>
        <v>0</v>
      </c>
      <c r="CB51" s="18">
        <f>IF(AJ51="","",--(AJ51='Codebook'!$F$29))</f>
        <v>0</v>
      </c>
      <c r="CC51" s="18">
        <f>IF(AK51="","",--(AK51='Codebook'!$F$30))</f>
        <v>1</v>
      </c>
      <c r="CD51" s="18">
        <f>IF(AL51="","",--(AL51='Codebook'!$F$31))</f>
        <v>1</v>
      </c>
      <c r="CE51" s="18">
        <f>IF(AM51="","",--(AM51='Codebook'!$F$32))</f>
        <v>1</v>
      </c>
      <c r="CF51" s="18">
        <f>IF(AN51="","",--(AN51='Codebook'!$F$33))</f>
        <v>1</v>
      </c>
      <c r="CG51" s="18">
        <f>IF(AO51="","",--(AO51='Codebook'!$F$34))</f>
        <v>1</v>
      </c>
      <c r="CH51" s="18">
        <f>IF(AP51="","",--(AP51='Codebook'!$F$35))</f>
        <v>0</v>
      </c>
      <c r="CI51" s="18">
        <f>IF(AQ51="","",--(AQ51='Codebook'!$F$36))</f>
        <v>1</v>
      </c>
      <c r="CJ51" s="18">
        <f>IF(AR51="","",--(AR51='Codebook'!$F$37))</f>
        <v>0</v>
      </c>
      <c r="CK51" s="18">
        <f>IF(AS51="","",--(AS51='Codebook'!$F$38))</f>
        <v>1</v>
      </c>
      <c r="CL51" s="18">
        <f>IF(AT51="","",--(AT51='Codebook'!$F$39))</f>
        <v>0</v>
      </c>
      <c r="CM51" s="18">
        <f>IF(AU51="","",--(AU51='Codebook'!$F$40))</f>
        <v>0</v>
      </c>
      <c r="CN51" s="18">
        <f>IF(AV51="","",--(AV51='Codebook'!$F$41))</f>
        <v>0</v>
      </c>
      <c r="CO51" s="18">
        <f>IF(AW51="","",--(AW51='Codebook'!$F$42))</f>
        <v>1</v>
      </c>
      <c r="CP51" s="18">
        <f>IF(AX51="","",--(AX51='Codebook'!$F$43))</f>
        <v>0</v>
      </c>
      <c r="CQ51" s="18">
        <f>IF(AY51="","",--(AY51='Codebook'!$F$44))</f>
        <v>0</v>
      </c>
      <c r="CR51" s="18">
        <f>IF(AZ51="","",--(AZ51='Codebook'!$F$45))</f>
        <v>1</v>
      </c>
    </row>
    <row r="52" spans="2:96" ht="24" customHeight="1">
      <c r="B52" s="18">
        <v>47</v>
      </c>
      <c r="C52" s="23">
        <v>46278.47304890047</v>
      </c>
      <c r="D52" s="18">
        <v>24</v>
      </c>
      <c r="E52" s="21" t="s">
        <v>194</v>
      </c>
      <c r="F52" s="21" t="s">
        <v>201</v>
      </c>
      <c r="G52" s="17" t="s">
        <v>202</v>
      </c>
      <c r="H52" s="21" t="s">
        <v>207</v>
      </c>
      <c r="I52" s="18">
        <f>SUM(BL52:BU52)</f>
        <v>5</v>
      </c>
      <c r="J52" s="18">
        <f>IF(COUNT(BV52:CD52)=9,SUM(BV52:CD52),"")</f>
        <v>3</v>
      </c>
      <c r="K52" s="18">
        <f>SUM(BL52:CD52)</f>
        <v>8</v>
      </c>
      <c r="L52" s="18">
        <f>--(K52&gt;='Codebook'!$C$8)</f>
        <v>0</v>
      </c>
      <c r="M52" s="18">
        <f>--(COUNT(BL52:CD52)=19)</f>
        <v>1</v>
      </c>
      <c r="N52" s="18">
        <f>SUM(CE52:CL52)</f>
        <v>3</v>
      </c>
      <c r="O52" s="18">
        <f>SUM(CM52:CR52)</f>
        <v>3</v>
      </c>
      <c r="P52" s="18">
        <f>N52+O52</f>
        <v>6</v>
      </c>
      <c r="Q52" s="21" t="s">
        <v>198</v>
      </c>
      <c r="R52" s="17" t="s">
        <v>157</v>
      </c>
      <c r="S52" s="18">
        <f>--OR(Overview!$B$6="All",E52=Overview!$B$6)*--OR(Overview!$F$6="All",F52=Overview!$F$6)*--OR(Overview!$J$6="All",G52=Overview!$J$6)*--OR(Overview!$N$6="All",H52=Overview!$N$6)</f>
        <v>1</v>
      </c>
      <c r="T52" s="21" t="s">
        <v>22</v>
      </c>
      <c r="U52" s="21" t="s">
        <v>22</v>
      </c>
      <c r="V52" s="21" t="s">
        <v>22</v>
      </c>
      <c r="W52" s="21" t="s">
        <v>22</v>
      </c>
      <c r="X52" s="21" t="s">
        <v>22</v>
      </c>
      <c r="Y52" s="21" t="s">
        <v>26</v>
      </c>
      <c r="Z52" s="21" t="s">
        <v>22</v>
      </c>
      <c r="AA52" s="21" t="s">
        <v>198</v>
      </c>
      <c r="AB52" s="21" t="s">
        <v>198</v>
      </c>
      <c r="AC52" s="21" t="s">
        <v>198</v>
      </c>
      <c r="AD52" s="21" t="s">
        <v>22</v>
      </c>
      <c r="AE52" s="21" t="s">
        <v>198</v>
      </c>
      <c r="AF52" s="21" t="s">
        <v>198</v>
      </c>
      <c r="AG52" s="21" t="s">
        <v>22</v>
      </c>
      <c r="AH52" s="21" t="s">
        <v>198</v>
      </c>
      <c r="AI52" s="21" t="s">
        <v>22</v>
      </c>
      <c r="AJ52" s="21" t="s">
        <v>198</v>
      </c>
      <c r="AK52" s="21" t="s">
        <v>198</v>
      </c>
      <c r="AL52" s="21" t="s">
        <v>26</v>
      </c>
      <c r="AM52" s="21" t="s">
        <v>83</v>
      </c>
      <c r="AN52" s="21" t="s">
        <v>109</v>
      </c>
      <c r="AO52" s="21" t="s">
        <v>198</v>
      </c>
      <c r="AP52" s="21" t="s">
        <v>83</v>
      </c>
      <c r="AQ52" s="21" t="s">
        <v>109</v>
      </c>
      <c r="AR52" s="21" t="s">
        <v>198</v>
      </c>
      <c r="AS52" s="21" t="s">
        <v>83</v>
      </c>
      <c r="AT52" s="21" t="s">
        <v>198</v>
      </c>
      <c r="AU52" s="21" t="s">
        <v>83</v>
      </c>
      <c r="AV52" s="21" t="s">
        <v>109</v>
      </c>
      <c r="AW52" s="21" t="s">
        <v>109</v>
      </c>
      <c r="AX52" s="21" t="s">
        <v>109</v>
      </c>
      <c r="AY52" s="21" t="s">
        <v>198</v>
      </c>
      <c r="AZ52" s="21" t="s">
        <v>198</v>
      </c>
      <c r="BA52" s="17" t="s">
        <v>246</v>
      </c>
      <c r="BB52" s="17" t="s">
        <v>249</v>
      </c>
      <c r="BC52" s="18">
        <f>--ISNUMBER(SEARCH("Radio or television",BA52))</f>
        <v>1</v>
      </c>
      <c r="BD52" s="18">
        <f>--ISNUMBER(SEARCH("Newspapers or print media",BA52))</f>
        <v>0</v>
      </c>
      <c r="BE52" s="18">
        <f>--ISNUMBER(SEARCH("Social media (e.g. Facebook, WhatsApp, YouTube, X/Twitter)",BA52))</f>
        <v>1</v>
      </c>
      <c r="BF52" s="18">
        <f>--ISNUMBER(SEARCH("Family members",BA52))</f>
        <v>0</v>
      </c>
      <c r="BG52" s="18">
        <f>--ISNUMBER(SEARCH("Friends or fellow students",BA52))</f>
        <v>0</v>
      </c>
      <c r="BH52" s="18">
        <f>--ISNUMBER(SEARCH("School coursework or lectures",BA52))</f>
        <v>0</v>
      </c>
      <c r="BI52" s="18">
        <f>--ISNUMBER(SEARCH("NHIMA outreach activities or NHIMA offices",BA52))</f>
        <v>0</v>
      </c>
      <c r="BJ52" s="18">
        <f>--ISNUMBER(SEARCH("Health facility staff",BA52))</f>
        <v>0</v>
      </c>
      <c r="BK52" s="18">
        <f>--ISNUMBER(SEARCH("not received information",BA52))</f>
        <v>0</v>
      </c>
      <c r="BL52" s="18">
        <f>IF(T52="","",--(T52='Codebook'!$F$13))</f>
        <v>1</v>
      </c>
      <c r="BM52" s="18">
        <f>IF(U52="","",--(U52='Codebook'!$F$14))</f>
        <v>0</v>
      </c>
      <c r="BN52" s="18">
        <f>IF(V52="","",--(V52='Codebook'!$F$15))</f>
        <v>0</v>
      </c>
      <c r="BO52" s="18">
        <f>IF(W52="","",--(W52='Codebook'!$F$16))</f>
        <v>1</v>
      </c>
      <c r="BP52" s="18">
        <f>IF(X52="","",--(X52='Codebook'!$F$17))</f>
        <v>1</v>
      </c>
      <c r="BQ52" s="18">
        <f>IF(Y52="","",--(Y52='Codebook'!$F$18))</f>
        <v>1</v>
      </c>
      <c r="BR52" s="18">
        <f>IF(Z52="","",--(Z52='Codebook'!$F$19))</f>
        <v>1</v>
      </c>
      <c r="BS52" s="18">
        <f>IF(AA52="","",--(AA52='Codebook'!$F$20))</f>
        <v>0</v>
      </c>
      <c r="BT52" s="18">
        <f>IF(AB52="","",--(AB52='Codebook'!$F$21))</f>
        <v>0</v>
      </c>
      <c r="BU52" s="18">
        <f>IF(AC52="","",--(AC52='Codebook'!$F$22))</f>
        <v>0</v>
      </c>
      <c r="BV52" s="18">
        <f>IF(AD52="","",--(AD52='Codebook'!$F$23))</f>
        <v>1</v>
      </c>
      <c r="BW52" s="18">
        <f>IF(AE52="","",--(AE52='Codebook'!$F$24))</f>
        <v>0</v>
      </c>
      <c r="BX52" s="18">
        <f>IF(AF52="","",--(AF52='Codebook'!$F$25))</f>
        <v>0</v>
      </c>
      <c r="BY52" s="18">
        <f>IF(AG52="","",--(AG52='Codebook'!$F$26))</f>
        <v>1</v>
      </c>
      <c r="BZ52" s="18">
        <f>IF(AH52="","",--(AH52='Codebook'!$F$27))</f>
        <v>0</v>
      </c>
      <c r="CA52" s="18">
        <f>IF(AI52="","",--(AI52='Codebook'!$F$28))</f>
        <v>0</v>
      </c>
      <c r="CB52" s="18">
        <f>IF(AJ52="","",--(AJ52='Codebook'!$F$29))</f>
        <v>0</v>
      </c>
      <c r="CC52" s="18">
        <f>IF(AK52="","",--(AK52='Codebook'!$F$30))</f>
        <v>0</v>
      </c>
      <c r="CD52" s="18">
        <f>IF(AL52="","",--(AL52='Codebook'!$F$31))</f>
        <v>1</v>
      </c>
      <c r="CE52" s="18">
        <f>IF(AM52="","",--(AM52='Codebook'!$F$32))</f>
        <v>1</v>
      </c>
      <c r="CF52" s="18">
        <f>IF(AN52="","",--(AN52='Codebook'!$F$33))</f>
        <v>0</v>
      </c>
      <c r="CG52" s="18">
        <f>IF(AO52="","",--(AO52='Codebook'!$F$34))</f>
        <v>0</v>
      </c>
      <c r="CH52" s="18">
        <f>IF(AP52="","",--(AP52='Codebook'!$F$35))</f>
        <v>1</v>
      </c>
      <c r="CI52" s="18">
        <f>IF(AQ52="","",--(AQ52='Codebook'!$F$36))</f>
        <v>0</v>
      </c>
      <c r="CJ52" s="18">
        <f>IF(AR52="","",--(AR52='Codebook'!$F$37))</f>
        <v>0</v>
      </c>
      <c r="CK52" s="18">
        <f>IF(AS52="","",--(AS52='Codebook'!$F$38))</f>
        <v>1</v>
      </c>
      <c r="CL52" s="18">
        <f>IF(AT52="","",--(AT52='Codebook'!$F$39))</f>
        <v>0</v>
      </c>
      <c r="CM52" s="18">
        <f>IF(AU52="","",--(AU52='Codebook'!$F$40))</f>
        <v>0</v>
      </c>
      <c r="CN52" s="18">
        <f>IF(AV52="","",--(AV52='Codebook'!$F$41))</f>
        <v>1</v>
      </c>
      <c r="CO52" s="18">
        <f>IF(AW52="","",--(AW52='Codebook'!$F$42))</f>
        <v>1</v>
      </c>
      <c r="CP52" s="18">
        <f>IF(AX52="","",--(AX52='Codebook'!$F$43))</f>
        <v>1</v>
      </c>
      <c r="CQ52" s="18">
        <f>IF(AY52="","",--(AY52='Codebook'!$F$44))</f>
        <v>0</v>
      </c>
      <c r="CR52" s="18">
        <f>IF(AZ52="","",--(AZ52='Codebook'!$F$45))</f>
        <v>0</v>
      </c>
    </row>
    <row r="53" spans="2:96" ht="24" customHeight="1">
      <c r="B53" s="18">
        <v>48</v>
      </c>
      <c r="C53" s="23">
        <v>46279.37761770833</v>
      </c>
      <c r="D53" s="18">
        <v>24</v>
      </c>
      <c r="E53" s="21" t="s">
        <v>206</v>
      </c>
      <c r="F53" s="21" t="s">
        <v>212</v>
      </c>
      <c r="G53" s="17" t="s">
        <v>196</v>
      </c>
      <c r="H53" s="21" t="s">
        <v>207</v>
      </c>
      <c r="I53" s="18">
        <f>SUM(BL53:BU53)</f>
        <v>4</v>
      </c>
      <c r="J53" s="18">
        <f>IF(COUNT(BV53:CD53)=9,SUM(BV53:CD53),"")</f>
        <v>3</v>
      </c>
      <c r="K53" s="18">
        <f>SUM(BL53:CD53)</f>
        <v>7</v>
      </c>
      <c r="L53" s="18">
        <f>--(K53&gt;='Codebook'!$C$8)</f>
        <v>0</v>
      </c>
      <c r="M53" s="18">
        <f>--(COUNT(BL53:CD53)=19)</f>
        <v>1</v>
      </c>
      <c r="N53" s="18">
        <f>SUM(CE53:CL53)</f>
        <v>3</v>
      </c>
      <c r="O53" s="18">
        <f>SUM(CM53:CR53)</f>
        <v>1</v>
      </c>
      <c r="P53" s="18">
        <f>N53+O53</f>
        <v>4</v>
      </c>
      <c r="Q53" s="21" t="s">
        <v>198</v>
      </c>
      <c r="R53" s="17" t="s">
        <v>152</v>
      </c>
      <c r="S53" s="18">
        <f>--OR(Overview!$B$6="All",E53=Overview!$B$6)*--OR(Overview!$F$6="All",F53=Overview!$F$6)*--OR(Overview!$J$6="All",G53=Overview!$J$6)*--OR(Overview!$N$6="All",H53=Overview!$N$6)</f>
        <v>1</v>
      </c>
      <c r="T53" s="21" t="s">
        <v>22</v>
      </c>
      <c r="U53" s="21" t="s">
        <v>22</v>
      </c>
      <c r="V53" s="21" t="s">
        <v>22</v>
      </c>
      <c r="W53" s="21" t="s">
        <v>22</v>
      </c>
      <c r="X53" s="21" t="s">
        <v>22</v>
      </c>
      <c r="Y53" s="21" t="s">
        <v>198</v>
      </c>
      <c r="Z53" s="21" t="s">
        <v>22</v>
      </c>
      <c r="AA53" s="21" t="s">
        <v>198</v>
      </c>
      <c r="AB53" s="21" t="s">
        <v>198</v>
      </c>
      <c r="AC53" s="21" t="s">
        <v>26</v>
      </c>
      <c r="AD53" s="21" t="s">
        <v>22</v>
      </c>
      <c r="AE53" s="21" t="s">
        <v>198</v>
      </c>
      <c r="AF53" s="21" t="s">
        <v>26</v>
      </c>
      <c r="AG53" s="21" t="s">
        <v>22</v>
      </c>
      <c r="AH53" s="21" t="s">
        <v>26</v>
      </c>
      <c r="AI53" s="21" t="s">
        <v>198</v>
      </c>
      <c r="AJ53" s="21" t="s">
        <v>22</v>
      </c>
      <c r="AK53" s="21" t="s">
        <v>26</v>
      </c>
      <c r="AL53" s="21" t="s">
        <v>198</v>
      </c>
      <c r="AM53" s="21" t="s">
        <v>83</v>
      </c>
      <c r="AN53" s="21" t="s">
        <v>109</v>
      </c>
      <c r="AO53" s="21" t="s">
        <v>198</v>
      </c>
      <c r="AP53" s="21" t="s">
        <v>198</v>
      </c>
      <c r="AQ53" s="21" t="s">
        <v>83</v>
      </c>
      <c r="AR53" s="21" t="s">
        <v>109</v>
      </c>
      <c r="AS53" s="21" t="s">
        <v>198</v>
      </c>
      <c r="AT53" s="21" t="s">
        <v>83</v>
      </c>
      <c r="AU53" s="21" t="s">
        <v>83</v>
      </c>
      <c r="AV53" s="21" t="s">
        <v>109</v>
      </c>
      <c r="AW53" s="21" t="s">
        <v>198</v>
      </c>
      <c r="AX53" s="21" t="s">
        <v>83</v>
      </c>
      <c r="AY53" s="21" t="s">
        <v>198</v>
      </c>
      <c r="AZ53" s="21" t="s">
        <v>83</v>
      </c>
      <c r="BA53" s="17" t="s">
        <v>223</v>
      </c>
      <c r="BB53" s="17" t="s">
        <v>240</v>
      </c>
      <c r="BC53" s="18">
        <f>--ISNUMBER(SEARCH("Radio or television",BA53))</f>
        <v>1</v>
      </c>
      <c r="BD53" s="18">
        <f>--ISNUMBER(SEARCH("Newspapers or print media",BA53))</f>
        <v>0</v>
      </c>
      <c r="BE53" s="18">
        <f>--ISNUMBER(SEARCH("Social media (e.g. Facebook, WhatsApp, YouTube, X/Twitter)",BA53))</f>
        <v>0</v>
      </c>
      <c r="BF53" s="18">
        <f>--ISNUMBER(SEARCH("Family members",BA53))</f>
        <v>0</v>
      </c>
      <c r="BG53" s="18">
        <f>--ISNUMBER(SEARCH("Friends or fellow students",BA53))</f>
        <v>0</v>
      </c>
      <c r="BH53" s="18">
        <f>--ISNUMBER(SEARCH("School coursework or lectures",BA53))</f>
        <v>0</v>
      </c>
      <c r="BI53" s="18">
        <f>--ISNUMBER(SEARCH("NHIMA outreach activities or NHIMA offices",BA53))</f>
        <v>0</v>
      </c>
      <c r="BJ53" s="18">
        <f>--ISNUMBER(SEARCH("Health facility staff",BA53))</f>
        <v>0</v>
      </c>
      <c r="BK53" s="18">
        <f>--ISNUMBER(SEARCH("not received information",BA53))</f>
        <v>0</v>
      </c>
      <c r="BL53" s="18">
        <f>IF(T53="","",--(T53='Codebook'!$F$13))</f>
        <v>1</v>
      </c>
      <c r="BM53" s="18">
        <f>IF(U53="","",--(U53='Codebook'!$F$14))</f>
        <v>0</v>
      </c>
      <c r="BN53" s="18">
        <f>IF(V53="","",--(V53='Codebook'!$F$15))</f>
        <v>0</v>
      </c>
      <c r="BO53" s="18">
        <f>IF(W53="","",--(W53='Codebook'!$F$16))</f>
        <v>1</v>
      </c>
      <c r="BP53" s="18">
        <f>IF(X53="","",--(X53='Codebook'!$F$17))</f>
        <v>1</v>
      </c>
      <c r="BQ53" s="18">
        <f>IF(Y53="","",--(Y53='Codebook'!$F$18))</f>
        <v>0</v>
      </c>
      <c r="BR53" s="18">
        <f>IF(Z53="","",--(Z53='Codebook'!$F$19))</f>
        <v>1</v>
      </c>
      <c r="BS53" s="18">
        <f>IF(AA53="","",--(AA53='Codebook'!$F$20))</f>
        <v>0</v>
      </c>
      <c r="BT53" s="18">
        <f>IF(AB53="","",--(AB53='Codebook'!$F$21))</f>
        <v>0</v>
      </c>
      <c r="BU53" s="18">
        <f>IF(AC53="","",--(AC53='Codebook'!$F$22))</f>
        <v>0</v>
      </c>
      <c r="BV53" s="18">
        <f>IF(AD53="","",--(AD53='Codebook'!$F$23))</f>
        <v>1</v>
      </c>
      <c r="BW53" s="18">
        <f>IF(AE53="","",--(AE53='Codebook'!$F$24))</f>
        <v>0</v>
      </c>
      <c r="BX53" s="18">
        <f>IF(AF53="","",--(AF53='Codebook'!$F$25))</f>
        <v>1</v>
      </c>
      <c r="BY53" s="18">
        <f>IF(AG53="","",--(AG53='Codebook'!$F$26))</f>
        <v>1</v>
      </c>
      <c r="BZ53" s="18">
        <f>IF(AH53="","",--(AH53='Codebook'!$F$27))</f>
        <v>0</v>
      </c>
      <c r="CA53" s="18">
        <f>IF(AI53="","",--(AI53='Codebook'!$F$28))</f>
        <v>0</v>
      </c>
      <c r="CB53" s="18">
        <f>IF(AJ53="","",--(AJ53='Codebook'!$F$29))</f>
        <v>0</v>
      </c>
      <c r="CC53" s="18">
        <f>IF(AK53="","",--(AK53='Codebook'!$F$30))</f>
        <v>0</v>
      </c>
      <c r="CD53" s="18">
        <f>IF(AL53="","",--(AL53='Codebook'!$F$31))</f>
        <v>0</v>
      </c>
      <c r="CE53" s="18">
        <f>IF(AM53="","",--(AM53='Codebook'!$F$32))</f>
        <v>1</v>
      </c>
      <c r="CF53" s="18">
        <f>IF(AN53="","",--(AN53='Codebook'!$F$33))</f>
        <v>0</v>
      </c>
      <c r="CG53" s="18">
        <f>IF(AO53="","",--(AO53='Codebook'!$F$34))</f>
        <v>0</v>
      </c>
      <c r="CH53" s="18">
        <f>IF(AP53="","",--(AP53='Codebook'!$F$35))</f>
        <v>0</v>
      </c>
      <c r="CI53" s="18">
        <f>IF(AQ53="","",--(AQ53='Codebook'!$F$36))</f>
        <v>1</v>
      </c>
      <c r="CJ53" s="18">
        <f>IF(AR53="","",--(AR53='Codebook'!$F$37))</f>
        <v>0</v>
      </c>
      <c r="CK53" s="18">
        <f>IF(AS53="","",--(AS53='Codebook'!$F$38))</f>
        <v>0</v>
      </c>
      <c r="CL53" s="18">
        <f>IF(AT53="","",--(AT53='Codebook'!$F$39))</f>
        <v>1</v>
      </c>
      <c r="CM53" s="18">
        <f>IF(AU53="","",--(AU53='Codebook'!$F$40))</f>
        <v>0</v>
      </c>
      <c r="CN53" s="18">
        <f>IF(AV53="","",--(AV53='Codebook'!$F$41))</f>
        <v>1</v>
      </c>
      <c r="CO53" s="18">
        <f>IF(AW53="","",--(AW53='Codebook'!$F$42))</f>
        <v>0</v>
      </c>
      <c r="CP53" s="18">
        <f>IF(AX53="","",--(AX53='Codebook'!$F$43))</f>
        <v>0</v>
      </c>
      <c r="CQ53" s="18">
        <f>IF(AY53="","",--(AY53='Codebook'!$F$44))</f>
        <v>0</v>
      </c>
      <c r="CR53" s="18">
        <f>IF(AZ53="","",--(AZ53='Codebook'!$F$45))</f>
        <v>0</v>
      </c>
    </row>
    <row r="54" spans="2:96" ht="24" customHeight="1">
      <c r="B54" s="18">
        <v>49</v>
      </c>
      <c r="C54" s="23">
        <v>46279.43730855324</v>
      </c>
      <c r="D54" s="18">
        <v>23</v>
      </c>
      <c r="E54" s="21" t="s">
        <v>194</v>
      </c>
      <c r="F54" s="21" t="s">
        <v>201</v>
      </c>
      <c r="G54" s="17" t="s">
        <v>202</v>
      </c>
      <c r="H54" s="21" t="s">
        <v>207</v>
      </c>
      <c r="I54" s="18">
        <f>SUM(BL54:BU54)</f>
        <v>5</v>
      </c>
      <c r="J54" s="18">
        <f>IF(COUNT(BV54:CD54)=9,SUM(BV54:CD54),"")</f>
        <v>2</v>
      </c>
      <c r="K54" s="18">
        <f>SUM(BL54:CD54)</f>
        <v>7</v>
      </c>
      <c r="L54" s="18">
        <f>--(K54&gt;='Codebook'!$C$8)</f>
        <v>0</v>
      </c>
      <c r="M54" s="18">
        <f>--(COUNT(BL54:CD54)=19)</f>
        <v>1</v>
      </c>
      <c r="N54" s="18">
        <f>SUM(CE54:CL54)</f>
        <v>4</v>
      </c>
      <c r="O54" s="18">
        <f>SUM(CM54:CR54)</f>
        <v>3</v>
      </c>
      <c r="P54" s="18">
        <f>N54+O54</f>
        <v>7</v>
      </c>
      <c r="Q54" s="21"/>
      <c r="R54" s="17" t="s">
        <v>222</v>
      </c>
      <c r="S54" s="18">
        <f>--OR(Overview!$B$6="All",E54=Overview!$B$6)*--OR(Overview!$F$6="All",F54=Overview!$F$6)*--OR(Overview!$J$6="All",G54=Overview!$J$6)*--OR(Overview!$N$6="All",H54=Overview!$N$6)</f>
        <v>1</v>
      </c>
      <c r="T54" s="21" t="s">
        <v>22</v>
      </c>
      <c r="U54" s="21" t="s">
        <v>22</v>
      </c>
      <c r="V54" s="21" t="s">
        <v>22</v>
      </c>
      <c r="W54" s="21" t="s">
        <v>22</v>
      </c>
      <c r="X54" s="21" t="s">
        <v>22</v>
      </c>
      <c r="Y54" s="21" t="s">
        <v>22</v>
      </c>
      <c r="Z54" s="21" t="s">
        <v>22</v>
      </c>
      <c r="AA54" s="21" t="s">
        <v>22</v>
      </c>
      <c r="AB54" s="21" t="s">
        <v>198</v>
      </c>
      <c r="AC54" s="21" t="s">
        <v>198</v>
      </c>
      <c r="AD54" s="21" t="s">
        <v>22</v>
      </c>
      <c r="AE54" s="21" t="s">
        <v>22</v>
      </c>
      <c r="AF54" s="21" t="s">
        <v>22</v>
      </c>
      <c r="AG54" s="21" t="s">
        <v>198</v>
      </c>
      <c r="AH54" s="21" t="s">
        <v>198</v>
      </c>
      <c r="AI54" s="21" t="s">
        <v>198</v>
      </c>
      <c r="AJ54" s="21" t="s">
        <v>22</v>
      </c>
      <c r="AK54" s="21" t="s">
        <v>198</v>
      </c>
      <c r="AL54" s="21" t="s">
        <v>198</v>
      </c>
      <c r="AM54" s="21" t="s">
        <v>83</v>
      </c>
      <c r="AN54" s="21" t="s">
        <v>109</v>
      </c>
      <c r="AO54" s="21" t="s">
        <v>83</v>
      </c>
      <c r="AP54" s="21" t="s">
        <v>109</v>
      </c>
      <c r="AQ54" s="21" t="s">
        <v>83</v>
      </c>
      <c r="AR54" s="21" t="s">
        <v>109</v>
      </c>
      <c r="AS54" s="21" t="s">
        <v>198</v>
      </c>
      <c r="AT54" s="21" t="s">
        <v>83</v>
      </c>
      <c r="AU54" s="21" t="s">
        <v>83</v>
      </c>
      <c r="AV54" s="21" t="s">
        <v>109</v>
      </c>
      <c r="AW54" s="21" t="s">
        <v>198</v>
      </c>
      <c r="AX54" s="21" t="s">
        <v>109</v>
      </c>
      <c r="AY54" s="21" t="s">
        <v>83</v>
      </c>
      <c r="AZ54" s="21" t="s">
        <v>109</v>
      </c>
      <c r="BA54" s="17" t="s">
        <v>223</v>
      </c>
      <c r="BB54" s="21"/>
      <c r="BC54" s="18">
        <f>--ISNUMBER(SEARCH("Radio or television",BA54))</f>
        <v>1</v>
      </c>
      <c r="BD54" s="18">
        <f>--ISNUMBER(SEARCH("Newspapers or print media",BA54))</f>
        <v>0</v>
      </c>
      <c r="BE54" s="18">
        <f>--ISNUMBER(SEARCH("Social media (e.g. Facebook, WhatsApp, YouTube, X/Twitter)",BA54))</f>
        <v>0</v>
      </c>
      <c r="BF54" s="18">
        <f>--ISNUMBER(SEARCH("Family members",BA54))</f>
        <v>0</v>
      </c>
      <c r="BG54" s="18">
        <f>--ISNUMBER(SEARCH("Friends or fellow students",BA54))</f>
        <v>0</v>
      </c>
      <c r="BH54" s="18">
        <f>--ISNUMBER(SEARCH("School coursework or lectures",BA54))</f>
        <v>0</v>
      </c>
      <c r="BI54" s="18">
        <f>--ISNUMBER(SEARCH("NHIMA outreach activities or NHIMA offices",BA54))</f>
        <v>0</v>
      </c>
      <c r="BJ54" s="18">
        <f>--ISNUMBER(SEARCH("Health facility staff",BA54))</f>
        <v>0</v>
      </c>
      <c r="BK54" s="18">
        <f>--ISNUMBER(SEARCH("not received information",BA54))</f>
        <v>0</v>
      </c>
      <c r="BL54" s="18">
        <f>IF(T54="","",--(T54='Codebook'!$F$13))</f>
        <v>1</v>
      </c>
      <c r="BM54" s="18">
        <f>IF(U54="","",--(U54='Codebook'!$F$14))</f>
        <v>0</v>
      </c>
      <c r="BN54" s="18">
        <f>IF(V54="","",--(V54='Codebook'!$F$15))</f>
        <v>0</v>
      </c>
      <c r="BO54" s="18">
        <f>IF(W54="","",--(W54='Codebook'!$F$16))</f>
        <v>1</v>
      </c>
      <c r="BP54" s="18">
        <f>IF(X54="","",--(X54='Codebook'!$F$17))</f>
        <v>1</v>
      </c>
      <c r="BQ54" s="18">
        <f>IF(Y54="","",--(Y54='Codebook'!$F$18))</f>
        <v>0</v>
      </c>
      <c r="BR54" s="18">
        <f>IF(Z54="","",--(Z54='Codebook'!$F$19))</f>
        <v>1</v>
      </c>
      <c r="BS54" s="18">
        <f>IF(AA54="","",--(AA54='Codebook'!$F$20))</f>
        <v>1</v>
      </c>
      <c r="BT54" s="18">
        <f>IF(AB54="","",--(AB54='Codebook'!$F$21))</f>
        <v>0</v>
      </c>
      <c r="BU54" s="18">
        <f>IF(AC54="","",--(AC54='Codebook'!$F$22))</f>
        <v>0</v>
      </c>
      <c r="BV54" s="18">
        <f>IF(AD54="","",--(AD54='Codebook'!$F$23))</f>
        <v>1</v>
      </c>
      <c r="BW54" s="18">
        <f>IF(AE54="","",--(AE54='Codebook'!$F$24))</f>
        <v>1</v>
      </c>
      <c r="BX54" s="18">
        <f>IF(AF54="","",--(AF54='Codebook'!$F$25))</f>
        <v>0</v>
      </c>
      <c r="BY54" s="18">
        <f>IF(AG54="","",--(AG54='Codebook'!$F$26))</f>
        <v>0</v>
      </c>
      <c r="BZ54" s="18">
        <f>IF(AH54="","",--(AH54='Codebook'!$F$27))</f>
        <v>0</v>
      </c>
      <c r="CA54" s="18">
        <f>IF(AI54="","",--(AI54='Codebook'!$F$28))</f>
        <v>0</v>
      </c>
      <c r="CB54" s="18">
        <f>IF(AJ54="","",--(AJ54='Codebook'!$F$29))</f>
        <v>0</v>
      </c>
      <c r="CC54" s="18">
        <f>IF(AK54="","",--(AK54='Codebook'!$F$30))</f>
        <v>0</v>
      </c>
      <c r="CD54" s="18">
        <f>IF(AL54="","",--(AL54='Codebook'!$F$31))</f>
        <v>0</v>
      </c>
      <c r="CE54" s="18">
        <f>IF(AM54="","",--(AM54='Codebook'!$F$32))</f>
        <v>1</v>
      </c>
      <c r="CF54" s="18">
        <f>IF(AN54="","",--(AN54='Codebook'!$F$33))</f>
        <v>0</v>
      </c>
      <c r="CG54" s="18">
        <f>IF(AO54="","",--(AO54='Codebook'!$F$34))</f>
        <v>1</v>
      </c>
      <c r="CH54" s="18">
        <f>IF(AP54="","",--(AP54='Codebook'!$F$35))</f>
        <v>0</v>
      </c>
      <c r="CI54" s="18">
        <f>IF(AQ54="","",--(AQ54='Codebook'!$F$36))</f>
        <v>1</v>
      </c>
      <c r="CJ54" s="18">
        <f>IF(AR54="","",--(AR54='Codebook'!$F$37))</f>
        <v>0</v>
      </c>
      <c r="CK54" s="18">
        <f>IF(AS54="","",--(AS54='Codebook'!$F$38))</f>
        <v>0</v>
      </c>
      <c r="CL54" s="18">
        <f>IF(AT54="","",--(AT54='Codebook'!$F$39))</f>
        <v>1</v>
      </c>
      <c r="CM54" s="18">
        <f>IF(AU54="","",--(AU54='Codebook'!$F$40))</f>
        <v>0</v>
      </c>
      <c r="CN54" s="18">
        <f>IF(AV54="","",--(AV54='Codebook'!$F$41))</f>
        <v>1</v>
      </c>
      <c r="CO54" s="18">
        <f>IF(AW54="","",--(AW54='Codebook'!$F$42))</f>
        <v>0</v>
      </c>
      <c r="CP54" s="18">
        <f>IF(AX54="","",--(AX54='Codebook'!$F$43))</f>
        <v>1</v>
      </c>
      <c r="CQ54" s="18">
        <f>IF(AY54="","",--(AY54='Codebook'!$F$44))</f>
        <v>0</v>
      </c>
      <c r="CR54" s="18">
        <f>IF(AZ54="","",--(AZ54='Codebook'!$F$45))</f>
        <v>1</v>
      </c>
    </row>
    <row r="55" spans="2:96" ht="24" customHeight="1">
      <c r="B55" s="18">
        <v>50</v>
      </c>
      <c r="C55" s="23">
        <v>46279.44494355324</v>
      </c>
      <c r="D55" s="18">
        <v>23</v>
      </c>
      <c r="E55" s="21" t="s">
        <v>194</v>
      </c>
      <c r="F55" s="21" t="s">
        <v>212</v>
      </c>
      <c r="G55" s="17" t="s">
        <v>224</v>
      </c>
      <c r="H55" s="21" t="s">
        <v>197</v>
      </c>
      <c r="I55" s="18">
        <f>SUM(BL55:BU55)</f>
        <v>3</v>
      </c>
      <c r="J55" s="18">
        <f>IF(COUNT(BV55:CD55)=9,SUM(BV55:CD55),"")</f>
        <v>4</v>
      </c>
      <c r="K55" s="18">
        <f>SUM(BL55:CD55)</f>
        <v>7</v>
      </c>
      <c r="L55" s="18">
        <f>--(K55&gt;='Codebook'!$C$8)</f>
        <v>0</v>
      </c>
      <c r="M55" s="18">
        <f>--(COUNT(BL55:CD55)=19)</f>
        <v>1</v>
      </c>
      <c r="N55" s="18">
        <f>SUM(CE55:CL55)</f>
        <v>8</v>
      </c>
      <c r="O55" s="18">
        <f>SUM(CM55:CR55)</f>
        <v>3</v>
      </c>
      <c r="P55" s="18">
        <f>N55+O55</f>
        <v>11</v>
      </c>
      <c r="Q55" s="21" t="s">
        <v>198</v>
      </c>
      <c r="R55" s="17" t="s">
        <v>152</v>
      </c>
      <c r="S55" s="18">
        <f>--OR(Overview!$B$6="All",E55=Overview!$B$6)*--OR(Overview!$F$6="All",F55=Overview!$F$6)*--OR(Overview!$J$6="All",G55=Overview!$J$6)*--OR(Overview!$N$6="All",H55=Overview!$N$6)</f>
        <v>1</v>
      </c>
      <c r="T55" s="21" t="s">
        <v>22</v>
      </c>
      <c r="U55" s="21" t="s">
        <v>22</v>
      </c>
      <c r="V55" s="21" t="s">
        <v>22</v>
      </c>
      <c r="W55" s="21" t="s">
        <v>22</v>
      </c>
      <c r="X55" s="21" t="s">
        <v>198</v>
      </c>
      <c r="Y55" s="21" t="s">
        <v>198</v>
      </c>
      <c r="Z55" s="21" t="s">
        <v>22</v>
      </c>
      <c r="AA55" s="21" t="s">
        <v>198</v>
      </c>
      <c r="AB55" s="21" t="s">
        <v>198</v>
      </c>
      <c r="AC55" s="21" t="s">
        <v>26</v>
      </c>
      <c r="AD55" s="21" t="s">
        <v>22</v>
      </c>
      <c r="AE55" s="21" t="s">
        <v>22</v>
      </c>
      <c r="AF55" s="21" t="s">
        <v>22</v>
      </c>
      <c r="AG55" s="21" t="s">
        <v>22</v>
      </c>
      <c r="AH55" s="21" t="s">
        <v>198</v>
      </c>
      <c r="AI55" s="21" t="s">
        <v>198</v>
      </c>
      <c r="AJ55" s="21" t="s">
        <v>198</v>
      </c>
      <c r="AK55" s="21" t="s">
        <v>198</v>
      </c>
      <c r="AL55" s="21" t="s">
        <v>26</v>
      </c>
      <c r="AM55" s="21" t="s">
        <v>83</v>
      </c>
      <c r="AN55" s="21" t="s">
        <v>83</v>
      </c>
      <c r="AO55" s="21" t="s">
        <v>83</v>
      </c>
      <c r="AP55" s="21" t="s">
        <v>83</v>
      </c>
      <c r="AQ55" s="21" t="s">
        <v>83</v>
      </c>
      <c r="AR55" s="21" t="s">
        <v>83</v>
      </c>
      <c r="AS55" s="21" t="s">
        <v>83</v>
      </c>
      <c r="AT55" s="21" t="s">
        <v>83</v>
      </c>
      <c r="AU55" s="21" t="s">
        <v>83</v>
      </c>
      <c r="AV55" s="21" t="s">
        <v>83</v>
      </c>
      <c r="AW55" s="21" t="s">
        <v>109</v>
      </c>
      <c r="AX55" s="21" t="s">
        <v>83</v>
      </c>
      <c r="AY55" s="21" t="s">
        <v>109</v>
      </c>
      <c r="AZ55" s="21" t="s">
        <v>109</v>
      </c>
      <c r="BA55" s="17" t="s">
        <v>246</v>
      </c>
      <c r="BB55" s="17" t="s">
        <v>240</v>
      </c>
      <c r="BC55" s="18">
        <f>--ISNUMBER(SEARCH("Radio or television",BA55))</f>
        <v>1</v>
      </c>
      <c r="BD55" s="18">
        <f>--ISNUMBER(SEARCH("Newspapers or print media",BA55))</f>
        <v>0</v>
      </c>
      <c r="BE55" s="18">
        <f>--ISNUMBER(SEARCH("Social media (e.g. Facebook, WhatsApp, YouTube, X/Twitter)",BA55))</f>
        <v>1</v>
      </c>
      <c r="BF55" s="18">
        <f>--ISNUMBER(SEARCH("Family members",BA55))</f>
        <v>0</v>
      </c>
      <c r="BG55" s="18">
        <f>--ISNUMBER(SEARCH("Friends or fellow students",BA55))</f>
        <v>0</v>
      </c>
      <c r="BH55" s="18">
        <f>--ISNUMBER(SEARCH("School coursework or lectures",BA55))</f>
        <v>0</v>
      </c>
      <c r="BI55" s="18">
        <f>--ISNUMBER(SEARCH("NHIMA outreach activities or NHIMA offices",BA55))</f>
        <v>0</v>
      </c>
      <c r="BJ55" s="18">
        <f>--ISNUMBER(SEARCH("Health facility staff",BA55))</f>
        <v>0</v>
      </c>
      <c r="BK55" s="18">
        <f>--ISNUMBER(SEARCH("not received information",BA55))</f>
        <v>0</v>
      </c>
      <c r="BL55" s="18">
        <f>IF(T55="","",--(T55='Codebook'!$F$13))</f>
        <v>1</v>
      </c>
      <c r="BM55" s="18">
        <f>IF(U55="","",--(U55='Codebook'!$F$14))</f>
        <v>0</v>
      </c>
      <c r="BN55" s="18">
        <f>IF(V55="","",--(V55='Codebook'!$F$15))</f>
        <v>0</v>
      </c>
      <c r="BO55" s="18">
        <f>IF(W55="","",--(W55='Codebook'!$F$16))</f>
        <v>1</v>
      </c>
      <c r="BP55" s="18">
        <f>IF(X55="","",--(X55='Codebook'!$F$17))</f>
        <v>0</v>
      </c>
      <c r="BQ55" s="18">
        <f>IF(Y55="","",--(Y55='Codebook'!$F$18))</f>
        <v>0</v>
      </c>
      <c r="BR55" s="18">
        <f>IF(Z55="","",--(Z55='Codebook'!$F$19))</f>
        <v>1</v>
      </c>
      <c r="BS55" s="18">
        <f>IF(AA55="","",--(AA55='Codebook'!$F$20))</f>
        <v>0</v>
      </c>
      <c r="BT55" s="18">
        <f>IF(AB55="","",--(AB55='Codebook'!$F$21))</f>
        <v>0</v>
      </c>
      <c r="BU55" s="18">
        <f>IF(AC55="","",--(AC55='Codebook'!$F$22))</f>
        <v>0</v>
      </c>
      <c r="BV55" s="18">
        <f>IF(AD55="","",--(AD55='Codebook'!$F$23))</f>
        <v>1</v>
      </c>
      <c r="BW55" s="18">
        <f>IF(AE55="","",--(AE55='Codebook'!$F$24))</f>
        <v>1</v>
      </c>
      <c r="BX55" s="18">
        <f>IF(AF55="","",--(AF55='Codebook'!$F$25))</f>
        <v>0</v>
      </c>
      <c r="BY55" s="18">
        <f>IF(AG55="","",--(AG55='Codebook'!$F$26))</f>
        <v>1</v>
      </c>
      <c r="BZ55" s="18">
        <f>IF(AH55="","",--(AH55='Codebook'!$F$27))</f>
        <v>0</v>
      </c>
      <c r="CA55" s="18">
        <f>IF(AI55="","",--(AI55='Codebook'!$F$28))</f>
        <v>0</v>
      </c>
      <c r="CB55" s="18">
        <f>IF(AJ55="","",--(AJ55='Codebook'!$F$29))</f>
        <v>0</v>
      </c>
      <c r="CC55" s="18">
        <f>IF(AK55="","",--(AK55='Codebook'!$F$30))</f>
        <v>0</v>
      </c>
      <c r="CD55" s="18">
        <f>IF(AL55="","",--(AL55='Codebook'!$F$31))</f>
        <v>1</v>
      </c>
      <c r="CE55" s="18">
        <f>IF(AM55="","",--(AM55='Codebook'!$F$32))</f>
        <v>1</v>
      </c>
      <c r="CF55" s="18">
        <f>IF(AN55="","",--(AN55='Codebook'!$F$33))</f>
        <v>1</v>
      </c>
      <c r="CG55" s="18">
        <f>IF(AO55="","",--(AO55='Codebook'!$F$34))</f>
        <v>1</v>
      </c>
      <c r="CH55" s="18">
        <f>IF(AP55="","",--(AP55='Codebook'!$F$35))</f>
        <v>1</v>
      </c>
      <c r="CI55" s="18">
        <f>IF(AQ55="","",--(AQ55='Codebook'!$F$36))</f>
        <v>1</v>
      </c>
      <c r="CJ55" s="18">
        <f>IF(AR55="","",--(AR55='Codebook'!$F$37))</f>
        <v>1</v>
      </c>
      <c r="CK55" s="18">
        <f>IF(AS55="","",--(AS55='Codebook'!$F$38))</f>
        <v>1</v>
      </c>
      <c r="CL55" s="18">
        <f>IF(AT55="","",--(AT55='Codebook'!$F$39))</f>
        <v>1</v>
      </c>
      <c r="CM55" s="18">
        <f>IF(AU55="","",--(AU55='Codebook'!$F$40))</f>
        <v>0</v>
      </c>
      <c r="CN55" s="18">
        <f>IF(AV55="","",--(AV55='Codebook'!$F$41))</f>
        <v>0</v>
      </c>
      <c r="CO55" s="18">
        <f>IF(AW55="","",--(AW55='Codebook'!$F$42))</f>
        <v>1</v>
      </c>
      <c r="CP55" s="18">
        <f>IF(AX55="","",--(AX55='Codebook'!$F$43))</f>
        <v>0</v>
      </c>
      <c r="CQ55" s="18">
        <f>IF(AY55="","",--(AY55='Codebook'!$F$44))</f>
        <v>1</v>
      </c>
      <c r="CR55" s="18">
        <f>IF(AZ55="","",--(AZ55='Codebook'!$F$45))</f>
        <v>1</v>
      </c>
    </row>
    <row r="56" spans="2:96" ht="24" customHeight="1">
      <c r="B56" s="18">
        <v>51</v>
      </c>
      <c r="C56" s="23">
        <v>46279.45056987269</v>
      </c>
      <c r="D56" s="18">
        <v>23</v>
      </c>
      <c r="E56" s="21" t="s">
        <v>194</v>
      </c>
      <c r="F56" s="21" t="s">
        <v>201</v>
      </c>
      <c r="G56" s="17" t="s">
        <v>202</v>
      </c>
      <c r="H56" s="21" t="s">
        <v>207</v>
      </c>
      <c r="I56" s="18">
        <f>SUM(BL56:BU56)</f>
        <v>6</v>
      </c>
      <c r="J56" s="18">
        <f>IF(COUNT(BV56:CD56)=9,SUM(BV56:CD56),"")</f>
        <v>5</v>
      </c>
      <c r="K56" s="18">
        <f>SUM(BL56:CD56)</f>
        <v>11</v>
      </c>
      <c r="L56" s="18">
        <f>--(K56&gt;='Codebook'!$C$8)</f>
        <v>0</v>
      </c>
      <c r="M56" s="18">
        <f>--(COUNT(BL56:CD56)=19)</f>
        <v>1</v>
      </c>
      <c r="N56" s="18">
        <f>SUM(CE56:CL56)</f>
        <v>3</v>
      </c>
      <c r="O56" s="18">
        <f>SUM(CM56:CR56)</f>
        <v>2</v>
      </c>
      <c r="P56" s="18">
        <f>N56+O56</f>
        <v>5</v>
      </c>
      <c r="Q56" s="21" t="s">
        <v>198</v>
      </c>
      <c r="R56" s="17" t="s">
        <v>155</v>
      </c>
      <c r="S56" s="18">
        <f>--OR(Overview!$B$6="All",E56=Overview!$B$6)*--OR(Overview!$F$6="All",F56=Overview!$F$6)*--OR(Overview!$J$6="All",G56=Overview!$J$6)*--OR(Overview!$N$6="All",H56=Overview!$N$6)</f>
        <v>1</v>
      </c>
      <c r="T56" s="21" t="s">
        <v>22</v>
      </c>
      <c r="U56" s="21" t="s">
        <v>22</v>
      </c>
      <c r="V56" s="21" t="s">
        <v>22</v>
      </c>
      <c r="W56" s="21" t="s">
        <v>22</v>
      </c>
      <c r="X56" s="21" t="s">
        <v>22</v>
      </c>
      <c r="Y56" s="21" t="s">
        <v>198</v>
      </c>
      <c r="Z56" s="21" t="s">
        <v>22</v>
      </c>
      <c r="AA56" s="21" t="s">
        <v>198</v>
      </c>
      <c r="AB56" s="21" t="s">
        <v>26</v>
      </c>
      <c r="AC56" s="21" t="s">
        <v>22</v>
      </c>
      <c r="AD56" s="21" t="s">
        <v>22</v>
      </c>
      <c r="AE56" s="21" t="s">
        <v>22</v>
      </c>
      <c r="AF56" s="21" t="s">
        <v>22</v>
      </c>
      <c r="AG56" s="21" t="s">
        <v>22</v>
      </c>
      <c r="AH56" s="21" t="s">
        <v>198</v>
      </c>
      <c r="AI56" s="21" t="s">
        <v>198</v>
      </c>
      <c r="AJ56" s="21" t="s">
        <v>22</v>
      </c>
      <c r="AK56" s="21" t="s">
        <v>22</v>
      </c>
      <c r="AL56" s="21" t="s">
        <v>26</v>
      </c>
      <c r="AM56" s="21" t="s">
        <v>83</v>
      </c>
      <c r="AN56" s="21" t="s">
        <v>109</v>
      </c>
      <c r="AO56" s="21" t="s">
        <v>198</v>
      </c>
      <c r="AP56" s="21" t="s">
        <v>83</v>
      </c>
      <c r="AQ56" s="21" t="s">
        <v>109</v>
      </c>
      <c r="AR56" s="21" t="s">
        <v>198</v>
      </c>
      <c r="AS56" s="21" t="s">
        <v>83</v>
      </c>
      <c r="AT56" s="21" t="s">
        <v>198</v>
      </c>
      <c r="AU56" s="21" t="s">
        <v>83</v>
      </c>
      <c r="AV56" s="21" t="s">
        <v>109</v>
      </c>
      <c r="AW56" s="21" t="s">
        <v>198</v>
      </c>
      <c r="AX56" s="21" t="s">
        <v>83</v>
      </c>
      <c r="AY56" s="21" t="s">
        <v>109</v>
      </c>
      <c r="AZ56" s="21" t="s">
        <v>198</v>
      </c>
      <c r="BA56" s="17" t="s">
        <v>252</v>
      </c>
      <c r="BB56" s="17" t="s">
        <v>155</v>
      </c>
      <c r="BC56" s="18">
        <f>--ISNUMBER(SEARCH("Radio or television",BA56))</f>
        <v>1</v>
      </c>
      <c r="BD56" s="18">
        <f>--ISNUMBER(SEARCH("Newspapers or print media",BA56))</f>
        <v>0</v>
      </c>
      <c r="BE56" s="18">
        <f>--ISNUMBER(SEARCH("Social media (e.g. Facebook, WhatsApp, YouTube, X/Twitter)",BA56))</f>
        <v>1</v>
      </c>
      <c r="BF56" s="18">
        <f>--ISNUMBER(SEARCH("Family members",BA56))</f>
        <v>1</v>
      </c>
      <c r="BG56" s="18">
        <f>--ISNUMBER(SEARCH("Friends or fellow students",BA56))</f>
        <v>0</v>
      </c>
      <c r="BH56" s="18">
        <f>--ISNUMBER(SEARCH("School coursework or lectures",BA56))</f>
        <v>0</v>
      </c>
      <c r="BI56" s="18">
        <f>--ISNUMBER(SEARCH("NHIMA outreach activities or NHIMA offices",BA56))</f>
        <v>0</v>
      </c>
      <c r="BJ56" s="18">
        <f>--ISNUMBER(SEARCH("Health facility staff",BA56))</f>
        <v>0</v>
      </c>
      <c r="BK56" s="18">
        <f>--ISNUMBER(SEARCH("not received information",BA56))</f>
        <v>0</v>
      </c>
      <c r="BL56" s="18">
        <f>IF(T56="","",--(T56='Codebook'!$F$13))</f>
        <v>1</v>
      </c>
      <c r="BM56" s="18">
        <f>IF(U56="","",--(U56='Codebook'!$F$14))</f>
        <v>0</v>
      </c>
      <c r="BN56" s="18">
        <f>IF(V56="","",--(V56='Codebook'!$F$15))</f>
        <v>0</v>
      </c>
      <c r="BO56" s="18">
        <f>IF(W56="","",--(W56='Codebook'!$F$16))</f>
        <v>1</v>
      </c>
      <c r="BP56" s="18">
        <f>IF(X56="","",--(X56='Codebook'!$F$17))</f>
        <v>1</v>
      </c>
      <c r="BQ56" s="18">
        <f>IF(Y56="","",--(Y56='Codebook'!$F$18))</f>
        <v>0</v>
      </c>
      <c r="BR56" s="18">
        <f>IF(Z56="","",--(Z56='Codebook'!$F$19))</f>
        <v>1</v>
      </c>
      <c r="BS56" s="18">
        <f>IF(AA56="","",--(AA56='Codebook'!$F$20))</f>
        <v>0</v>
      </c>
      <c r="BT56" s="18">
        <f>IF(AB56="","",--(AB56='Codebook'!$F$21))</f>
        <v>1</v>
      </c>
      <c r="BU56" s="18">
        <f>IF(AC56="","",--(AC56='Codebook'!$F$22))</f>
        <v>1</v>
      </c>
      <c r="BV56" s="18">
        <f>IF(AD56="","",--(AD56='Codebook'!$F$23))</f>
        <v>1</v>
      </c>
      <c r="BW56" s="18">
        <f>IF(AE56="","",--(AE56='Codebook'!$F$24))</f>
        <v>1</v>
      </c>
      <c r="BX56" s="18">
        <f>IF(AF56="","",--(AF56='Codebook'!$F$25))</f>
        <v>0</v>
      </c>
      <c r="BY56" s="18">
        <f>IF(AG56="","",--(AG56='Codebook'!$F$26))</f>
        <v>1</v>
      </c>
      <c r="BZ56" s="18">
        <f>IF(AH56="","",--(AH56='Codebook'!$F$27))</f>
        <v>0</v>
      </c>
      <c r="CA56" s="18">
        <f>IF(AI56="","",--(AI56='Codebook'!$F$28))</f>
        <v>0</v>
      </c>
      <c r="CB56" s="18">
        <f>IF(AJ56="","",--(AJ56='Codebook'!$F$29))</f>
        <v>0</v>
      </c>
      <c r="CC56" s="18">
        <f>IF(AK56="","",--(AK56='Codebook'!$F$30))</f>
        <v>1</v>
      </c>
      <c r="CD56" s="18">
        <f>IF(AL56="","",--(AL56='Codebook'!$F$31))</f>
        <v>1</v>
      </c>
      <c r="CE56" s="18">
        <f>IF(AM56="","",--(AM56='Codebook'!$F$32))</f>
        <v>1</v>
      </c>
      <c r="CF56" s="18">
        <f>IF(AN56="","",--(AN56='Codebook'!$F$33))</f>
        <v>0</v>
      </c>
      <c r="CG56" s="18">
        <f>IF(AO56="","",--(AO56='Codebook'!$F$34))</f>
        <v>0</v>
      </c>
      <c r="CH56" s="18">
        <f>IF(AP56="","",--(AP56='Codebook'!$F$35))</f>
        <v>1</v>
      </c>
      <c r="CI56" s="18">
        <f>IF(AQ56="","",--(AQ56='Codebook'!$F$36))</f>
        <v>0</v>
      </c>
      <c r="CJ56" s="18">
        <f>IF(AR56="","",--(AR56='Codebook'!$F$37))</f>
        <v>0</v>
      </c>
      <c r="CK56" s="18">
        <f>IF(AS56="","",--(AS56='Codebook'!$F$38))</f>
        <v>1</v>
      </c>
      <c r="CL56" s="18">
        <f>IF(AT56="","",--(AT56='Codebook'!$F$39))</f>
        <v>0</v>
      </c>
      <c r="CM56" s="18">
        <f>IF(AU56="","",--(AU56='Codebook'!$F$40))</f>
        <v>0</v>
      </c>
      <c r="CN56" s="18">
        <f>IF(AV56="","",--(AV56='Codebook'!$F$41))</f>
        <v>1</v>
      </c>
      <c r="CO56" s="18">
        <f>IF(AW56="","",--(AW56='Codebook'!$F$42))</f>
        <v>0</v>
      </c>
      <c r="CP56" s="18">
        <f>IF(AX56="","",--(AX56='Codebook'!$F$43))</f>
        <v>0</v>
      </c>
      <c r="CQ56" s="18">
        <f>IF(AY56="","",--(AY56='Codebook'!$F$44))</f>
        <v>1</v>
      </c>
      <c r="CR56" s="18">
        <f>IF(AZ56="","",--(AZ56='Codebook'!$F$45))</f>
        <v>0</v>
      </c>
    </row>
    <row r="57" spans="2:96" ht="24" customHeight="1">
      <c r="B57" s="18">
        <v>52</v>
      </c>
      <c r="C57" s="23">
        <v>46279.69942747685</v>
      </c>
      <c r="D57" s="18">
        <v>23</v>
      </c>
      <c r="E57" s="21" t="s">
        <v>206</v>
      </c>
      <c r="F57" s="21" t="s">
        <v>195</v>
      </c>
      <c r="G57" s="17" t="s">
        <v>215</v>
      </c>
      <c r="H57" s="21" t="s">
        <v>207</v>
      </c>
      <c r="I57" s="18">
        <f>SUM(BL57:BU57)</f>
        <v>6</v>
      </c>
      <c r="J57" s="18">
        <f>IF(COUNT(BV57:CD57)=9,SUM(BV57:CD57),"")</f>
        <v>5</v>
      </c>
      <c r="K57" s="18">
        <f>SUM(BL57:CD57)</f>
        <v>11</v>
      </c>
      <c r="L57" s="18">
        <f>--(K57&gt;='Codebook'!$C$8)</f>
        <v>0</v>
      </c>
      <c r="M57" s="18">
        <f>--(COUNT(BL57:CD57)=19)</f>
        <v>1</v>
      </c>
      <c r="N57" s="18">
        <f>SUM(CE57:CL57)</f>
        <v>5</v>
      </c>
      <c r="O57" s="18">
        <f>SUM(CM57:CR57)</f>
        <v>3</v>
      </c>
      <c r="P57" s="18">
        <f>N57+O57</f>
        <v>8</v>
      </c>
      <c r="Q57" s="21" t="s">
        <v>198</v>
      </c>
      <c r="R57" s="17" t="s">
        <v>152</v>
      </c>
      <c r="S57" s="18">
        <f>--OR(Overview!$B$6="All",E57=Overview!$B$6)*--OR(Overview!$F$6="All",F57=Overview!$F$6)*--OR(Overview!$J$6="All",G57=Overview!$J$6)*--OR(Overview!$N$6="All",H57=Overview!$N$6)</f>
        <v>1</v>
      </c>
      <c r="T57" s="21" t="s">
        <v>22</v>
      </c>
      <c r="U57" s="21" t="s">
        <v>22</v>
      </c>
      <c r="V57" s="21" t="s">
        <v>22</v>
      </c>
      <c r="W57" s="21" t="s">
        <v>22</v>
      </c>
      <c r="X57" s="21" t="s">
        <v>22</v>
      </c>
      <c r="Y57" s="21" t="s">
        <v>22</v>
      </c>
      <c r="Z57" s="21" t="s">
        <v>22</v>
      </c>
      <c r="AA57" s="21" t="s">
        <v>22</v>
      </c>
      <c r="AB57" s="21" t="s">
        <v>22</v>
      </c>
      <c r="AC57" s="21" t="s">
        <v>22</v>
      </c>
      <c r="AD57" s="21" t="s">
        <v>22</v>
      </c>
      <c r="AE57" s="21" t="s">
        <v>22</v>
      </c>
      <c r="AF57" s="21" t="s">
        <v>22</v>
      </c>
      <c r="AG57" s="21" t="s">
        <v>22</v>
      </c>
      <c r="AH57" s="21" t="s">
        <v>22</v>
      </c>
      <c r="AI57" s="21" t="s">
        <v>22</v>
      </c>
      <c r="AJ57" s="21" t="s">
        <v>22</v>
      </c>
      <c r="AK57" s="21" t="s">
        <v>22</v>
      </c>
      <c r="AL57" s="21" t="s">
        <v>22</v>
      </c>
      <c r="AM57" s="21" t="s">
        <v>83</v>
      </c>
      <c r="AN57" s="21" t="s">
        <v>109</v>
      </c>
      <c r="AO57" s="21" t="s">
        <v>109</v>
      </c>
      <c r="AP57" s="21" t="s">
        <v>83</v>
      </c>
      <c r="AQ57" s="21" t="s">
        <v>83</v>
      </c>
      <c r="AR57" s="21" t="s">
        <v>198</v>
      </c>
      <c r="AS57" s="21" t="s">
        <v>83</v>
      </c>
      <c r="AT57" s="21" t="s">
        <v>83</v>
      </c>
      <c r="AU57" s="21" t="s">
        <v>83</v>
      </c>
      <c r="AV57" s="21" t="s">
        <v>109</v>
      </c>
      <c r="AW57" s="21" t="s">
        <v>109</v>
      </c>
      <c r="AX57" s="21" t="s">
        <v>83</v>
      </c>
      <c r="AY57" s="21" t="s">
        <v>109</v>
      </c>
      <c r="AZ57" s="21" t="s">
        <v>198</v>
      </c>
      <c r="BA57" s="17" t="s">
        <v>246</v>
      </c>
      <c r="BB57" s="17" t="s">
        <v>240</v>
      </c>
      <c r="BC57" s="18">
        <f>--ISNUMBER(SEARCH("Radio or television",BA57))</f>
        <v>1</v>
      </c>
      <c r="BD57" s="18">
        <f>--ISNUMBER(SEARCH("Newspapers or print media",BA57))</f>
        <v>0</v>
      </c>
      <c r="BE57" s="18">
        <f>--ISNUMBER(SEARCH("Social media (e.g. Facebook, WhatsApp, YouTube, X/Twitter)",BA57))</f>
        <v>1</v>
      </c>
      <c r="BF57" s="18">
        <f>--ISNUMBER(SEARCH("Family members",BA57))</f>
        <v>0</v>
      </c>
      <c r="BG57" s="18">
        <f>--ISNUMBER(SEARCH("Friends or fellow students",BA57))</f>
        <v>0</v>
      </c>
      <c r="BH57" s="18">
        <f>--ISNUMBER(SEARCH("School coursework or lectures",BA57))</f>
        <v>0</v>
      </c>
      <c r="BI57" s="18">
        <f>--ISNUMBER(SEARCH("NHIMA outreach activities or NHIMA offices",BA57))</f>
        <v>0</v>
      </c>
      <c r="BJ57" s="18">
        <f>--ISNUMBER(SEARCH("Health facility staff",BA57))</f>
        <v>0</v>
      </c>
      <c r="BK57" s="18">
        <f>--ISNUMBER(SEARCH("not received information",BA57))</f>
        <v>0</v>
      </c>
      <c r="BL57" s="18">
        <f>IF(T57="","",--(T57='Codebook'!$F$13))</f>
        <v>1</v>
      </c>
      <c r="BM57" s="18">
        <f>IF(U57="","",--(U57='Codebook'!$F$14))</f>
        <v>0</v>
      </c>
      <c r="BN57" s="18">
        <f>IF(V57="","",--(V57='Codebook'!$F$15))</f>
        <v>0</v>
      </c>
      <c r="BO57" s="18">
        <f>IF(W57="","",--(W57='Codebook'!$F$16))</f>
        <v>1</v>
      </c>
      <c r="BP57" s="18">
        <f>IF(X57="","",--(X57='Codebook'!$F$17))</f>
        <v>1</v>
      </c>
      <c r="BQ57" s="18">
        <f>IF(Y57="","",--(Y57='Codebook'!$F$18))</f>
        <v>0</v>
      </c>
      <c r="BR57" s="18">
        <f>IF(Z57="","",--(Z57='Codebook'!$F$19))</f>
        <v>1</v>
      </c>
      <c r="BS57" s="18">
        <f>IF(AA57="","",--(AA57='Codebook'!$F$20))</f>
        <v>1</v>
      </c>
      <c r="BT57" s="18">
        <f>IF(AB57="","",--(AB57='Codebook'!$F$21))</f>
        <v>0</v>
      </c>
      <c r="BU57" s="18">
        <f>IF(AC57="","",--(AC57='Codebook'!$F$22))</f>
        <v>1</v>
      </c>
      <c r="BV57" s="18">
        <f>IF(AD57="","",--(AD57='Codebook'!$F$23))</f>
        <v>1</v>
      </c>
      <c r="BW57" s="18">
        <f>IF(AE57="","",--(AE57='Codebook'!$F$24))</f>
        <v>1</v>
      </c>
      <c r="BX57" s="18">
        <f>IF(AF57="","",--(AF57='Codebook'!$F$25))</f>
        <v>0</v>
      </c>
      <c r="BY57" s="18">
        <f>IF(AG57="","",--(AG57='Codebook'!$F$26))</f>
        <v>1</v>
      </c>
      <c r="BZ57" s="18">
        <f>IF(AH57="","",--(AH57='Codebook'!$F$27))</f>
        <v>1</v>
      </c>
      <c r="CA57" s="18">
        <f>IF(AI57="","",--(AI57='Codebook'!$F$28))</f>
        <v>0</v>
      </c>
      <c r="CB57" s="18">
        <f>IF(AJ57="","",--(AJ57='Codebook'!$F$29))</f>
        <v>0</v>
      </c>
      <c r="CC57" s="18">
        <f>IF(AK57="","",--(AK57='Codebook'!$F$30))</f>
        <v>1</v>
      </c>
      <c r="CD57" s="18">
        <f>IF(AL57="","",--(AL57='Codebook'!$F$31))</f>
        <v>0</v>
      </c>
      <c r="CE57" s="18">
        <f>IF(AM57="","",--(AM57='Codebook'!$F$32))</f>
        <v>1</v>
      </c>
      <c r="CF57" s="18">
        <f>IF(AN57="","",--(AN57='Codebook'!$F$33))</f>
        <v>0</v>
      </c>
      <c r="CG57" s="18">
        <f>IF(AO57="","",--(AO57='Codebook'!$F$34))</f>
        <v>0</v>
      </c>
      <c r="CH57" s="18">
        <f>IF(AP57="","",--(AP57='Codebook'!$F$35))</f>
        <v>1</v>
      </c>
      <c r="CI57" s="18">
        <f>IF(AQ57="","",--(AQ57='Codebook'!$F$36))</f>
        <v>1</v>
      </c>
      <c r="CJ57" s="18">
        <f>IF(AR57="","",--(AR57='Codebook'!$F$37))</f>
        <v>0</v>
      </c>
      <c r="CK57" s="18">
        <f>IF(AS57="","",--(AS57='Codebook'!$F$38))</f>
        <v>1</v>
      </c>
      <c r="CL57" s="18">
        <f>IF(AT57="","",--(AT57='Codebook'!$F$39))</f>
        <v>1</v>
      </c>
      <c r="CM57" s="18">
        <f>IF(AU57="","",--(AU57='Codebook'!$F$40))</f>
        <v>0</v>
      </c>
      <c r="CN57" s="18">
        <f>IF(AV57="","",--(AV57='Codebook'!$F$41))</f>
        <v>1</v>
      </c>
      <c r="CO57" s="18">
        <f>IF(AW57="","",--(AW57='Codebook'!$F$42))</f>
        <v>1</v>
      </c>
      <c r="CP57" s="18">
        <f>IF(AX57="","",--(AX57='Codebook'!$F$43))</f>
        <v>0</v>
      </c>
      <c r="CQ57" s="18">
        <f>IF(AY57="","",--(AY57='Codebook'!$F$44))</f>
        <v>1</v>
      </c>
      <c r="CR57" s="18">
        <f>IF(AZ57="","",--(AZ57='Codebook'!$F$45))</f>
        <v>0</v>
      </c>
    </row>
    <row r="58" spans="2:96" ht="24" customHeight="1">
      <c r="B58" s="18">
        <v>53</v>
      </c>
      <c r="C58" s="23">
        <v>46279.76246368056</v>
      </c>
      <c r="D58" s="18">
        <v>23</v>
      </c>
      <c r="E58" s="21" t="s">
        <v>206</v>
      </c>
      <c r="F58" s="21" t="s">
        <v>195</v>
      </c>
      <c r="G58" s="17" t="s">
        <v>247</v>
      </c>
      <c r="H58" s="21" t="s">
        <v>197</v>
      </c>
      <c r="I58" s="18">
        <f>SUM(BL58:BU58)</f>
        <v>4</v>
      </c>
      <c r="J58" s="18">
        <f>IF(COUNT(BV58:CD58)=9,SUM(BV58:CD58),"")</f>
        <v>6</v>
      </c>
      <c r="K58" s="18">
        <f>SUM(BL58:CD58)</f>
        <v>10</v>
      </c>
      <c r="L58" s="18">
        <f>--(K58&gt;='Codebook'!$C$8)</f>
        <v>0</v>
      </c>
      <c r="M58" s="18">
        <f>--(COUNT(BL58:CD58)=19)</f>
        <v>1</v>
      </c>
      <c r="N58" s="18">
        <f>SUM(CE58:CL58)</f>
        <v>3</v>
      </c>
      <c r="O58" s="18">
        <f>SUM(CM58:CR58)</f>
        <v>1</v>
      </c>
      <c r="P58" s="18">
        <f>N58+O58</f>
        <v>4</v>
      </c>
      <c r="Q58" s="21" t="s">
        <v>198</v>
      </c>
      <c r="R58" s="17" t="s">
        <v>152</v>
      </c>
      <c r="S58" s="18">
        <f>--OR(Overview!$B$6="All",E58=Overview!$B$6)*--OR(Overview!$F$6="All",F58=Overview!$F$6)*--OR(Overview!$J$6="All",G58=Overview!$J$6)*--OR(Overview!$N$6="All",H58=Overview!$N$6)</f>
        <v>1</v>
      </c>
      <c r="T58" s="21" t="s">
        <v>26</v>
      </c>
      <c r="U58" s="21" t="s">
        <v>22</v>
      </c>
      <c r="V58" s="21" t="s">
        <v>22</v>
      </c>
      <c r="W58" s="21" t="s">
        <v>26</v>
      </c>
      <c r="X58" s="21" t="s">
        <v>22</v>
      </c>
      <c r="Y58" s="21" t="s">
        <v>198</v>
      </c>
      <c r="Z58" s="21" t="s">
        <v>22</v>
      </c>
      <c r="AA58" s="21" t="s">
        <v>22</v>
      </c>
      <c r="AB58" s="21" t="s">
        <v>26</v>
      </c>
      <c r="AC58" s="21" t="s">
        <v>26</v>
      </c>
      <c r="AD58" s="21" t="s">
        <v>22</v>
      </c>
      <c r="AE58" s="21" t="s">
        <v>22</v>
      </c>
      <c r="AF58" s="21" t="s">
        <v>22</v>
      </c>
      <c r="AG58" s="21" t="s">
        <v>26</v>
      </c>
      <c r="AH58" s="21" t="s">
        <v>22</v>
      </c>
      <c r="AI58" s="21" t="s">
        <v>26</v>
      </c>
      <c r="AJ58" s="21" t="s">
        <v>22</v>
      </c>
      <c r="AK58" s="21" t="s">
        <v>22</v>
      </c>
      <c r="AL58" s="21" t="s">
        <v>26</v>
      </c>
      <c r="AM58" s="21" t="s">
        <v>83</v>
      </c>
      <c r="AN58" s="21" t="s">
        <v>109</v>
      </c>
      <c r="AO58" s="21" t="s">
        <v>198</v>
      </c>
      <c r="AP58" s="21" t="s">
        <v>83</v>
      </c>
      <c r="AQ58" s="21" t="s">
        <v>109</v>
      </c>
      <c r="AR58" s="21" t="s">
        <v>198</v>
      </c>
      <c r="AS58" s="21" t="s">
        <v>83</v>
      </c>
      <c r="AT58" s="21" t="s">
        <v>109</v>
      </c>
      <c r="AU58" s="21" t="s">
        <v>83</v>
      </c>
      <c r="AV58" s="21" t="s">
        <v>83</v>
      </c>
      <c r="AW58" s="21" t="s">
        <v>83</v>
      </c>
      <c r="AX58" s="21" t="s">
        <v>109</v>
      </c>
      <c r="AY58" s="21" t="s">
        <v>198</v>
      </c>
      <c r="AZ58" s="21" t="s">
        <v>198</v>
      </c>
      <c r="BA58" s="17" t="s">
        <v>246</v>
      </c>
      <c r="BB58" s="17" t="s">
        <v>240</v>
      </c>
      <c r="BC58" s="18">
        <f>--ISNUMBER(SEARCH("Radio or television",BA58))</f>
        <v>1</v>
      </c>
      <c r="BD58" s="18">
        <f>--ISNUMBER(SEARCH("Newspapers or print media",BA58))</f>
        <v>0</v>
      </c>
      <c r="BE58" s="18">
        <f>--ISNUMBER(SEARCH("Social media (e.g. Facebook, WhatsApp, YouTube, X/Twitter)",BA58))</f>
        <v>1</v>
      </c>
      <c r="BF58" s="18">
        <f>--ISNUMBER(SEARCH("Family members",BA58))</f>
        <v>0</v>
      </c>
      <c r="BG58" s="18">
        <f>--ISNUMBER(SEARCH("Friends or fellow students",BA58))</f>
        <v>0</v>
      </c>
      <c r="BH58" s="18">
        <f>--ISNUMBER(SEARCH("School coursework or lectures",BA58))</f>
        <v>0</v>
      </c>
      <c r="BI58" s="18">
        <f>--ISNUMBER(SEARCH("NHIMA outreach activities or NHIMA offices",BA58))</f>
        <v>0</v>
      </c>
      <c r="BJ58" s="18">
        <f>--ISNUMBER(SEARCH("Health facility staff",BA58))</f>
        <v>0</v>
      </c>
      <c r="BK58" s="18">
        <f>--ISNUMBER(SEARCH("not received information",BA58))</f>
        <v>0</v>
      </c>
      <c r="BL58" s="18">
        <f>IF(T58="","",--(T58='Codebook'!$F$13))</f>
        <v>0</v>
      </c>
      <c r="BM58" s="18">
        <f>IF(U58="","",--(U58='Codebook'!$F$14))</f>
        <v>0</v>
      </c>
      <c r="BN58" s="18">
        <f>IF(V58="","",--(V58='Codebook'!$F$15))</f>
        <v>0</v>
      </c>
      <c r="BO58" s="18">
        <f>IF(W58="","",--(W58='Codebook'!$F$16))</f>
        <v>0</v>
      </c>
      <c r="BP58" s="18">
        <f>IF(X58="","",--(X58='Codebook'!$F$17))</f>
        <v>1</v>
      </c>
      <c r="BQ58" s="18">
        <f>IF(Y58="","",--(Y58='Codebook'!$F$18))</f>
        <v>0</v>
      </c>
      <c r="BR58" s="18">
        <f>IF(Z58="","",--(Z58='Codebook'!$F$19))</f>
        <v>1</v>
      </c>
      <c r="BS58" s="18">
        <f>IF(AA58="","",--(AA58='Codebook'!$F$20))</f>
        <v>1</v>
      </c>
      <c r="BT58" s="18">
        <f>IF(AB58="","",--(AB58='Codebook'!$F$21))</f>
        <v>1</v>
      </c>
      <c r="BU58" s="18">
        <f>IF(AC58="","",--(AC58='Codebook'!$F$22))</f>
        <v>0</v>
      </c>
      <c r="BV58" s="18">
        <f>IF(AD58="","",--(AD58='Codebook'!$F$23))</f>
        <v>1</v>
      </c>
      <c r="BW58" s="18">
        <f>IF(AE58="","",--(AE58='Codebook'!$F$24))</f>
        <v>1</v>
      </c>
      <c r="BX58" s="18">
        <f>IF(AF58="","",--(AF58='Codebook'!$F$25))</f>
        <v>0</v>
      </c>
      <c r="BY58" s="18">
        <f>IF(AG58="","",--(AG58='Codebook'!$F$26))</f>
        <v>0</v>
      </c>
      <c r="BZ58" s="18">
        <f>IF(AH58="","",--(AH58='Codebook'!$F$27))</f>
        <v>1</v>
      </c>
      <c r="CA58" s="18">
        <f>IF(AI58="","",--(AI58='Codebook'!$F$28))</f>
        <v>1</v>
      </c>
      <c r="CB58" s="18">
        <f>IF(AJ58="","",--(AJ58='Codebook'!$F$29))</f>
        <v>0</v>
      </c>
      <c r="CC58" s="18">
        <f>IF(AK58="","",--(AK58='Codebook'!$F$30))</f>
        <v>1</v>
      </c>
      <c r="CD58" s="18">
        <f>IF(AL58="","",--(AL58='Codebook'!$F$31))</f>
        <v>1</v>
      </c>
      <c r="CE58" s="18">
        <f>IF(AM58="","",--(AM58='Codebook'!$F$32))</f>
        <v>1</v>
      </c>
      <c r="CF58" s="18">
        <f>IF(AN58="","",--(AN58='Codebook'!$F$33))</f>
        <v>0</v>
      </c>
      <c r="CG58" s="18">
        <f>IF(AO58="","",--(AO58='Codebook'!$F$34))</f>
        <v>0</v>
      </c>
      <c r="CH58" s="18">
        <f>IF(AP58="","",--(AP58='Codebook'!$F$35))</f>
        <v>1</v>
      </c>
      <c r="CI58" s="18">
        <f>IF(AQ58="","",--(AQ58='Codebook'!$F$36))</f>
        <v>0</v>
      </c>
      <c r="CJ58" s="18">
        <f>IF(AR58="","",--(AR58='Codebook'!$F$37))</f>
        <v>0</v>
      </c>
      <c r="CK58" s="18">
        <f>IF(AS58="","",--(AS58='Codebook'!$F$38))</f>
        <v>1</v>
      </c>
      <c r="CL58" s="18">
        <f>IF(AT58="","",--(AT58='Codebook'!$F$39))</f>
        <v>0</v>
      </c>
      <c r="CM58" s="18">
        <f>IF(AU58="","",--(AU58='Codebook'!$F$40))</f>
        <v>0</v>
      </c>
      <c r="CN58" s="18">
        <f>IF(AV58="","",--(AV58='Codebook'!$F$41))</f>
        <v>0</v>
      </c>
      <c r="CO58" s="18">
        <f>IF(AW58="","",--(AW58='Codebook'!$F$42))</f>
        <v>0</v>
      </c>
      <c r="CP58" s="18">
        <f>IF(AX58="","",--(AX58='Codebook'!$F$43))</f>
        <v>1</v>
      </c>
      <c r="CQ58" s="18">
        <f>IF(AY58="","",--(AY58='Codebook'!$F$44))</f>
        <v>0</v>
      </c>
      <c r="CR58" s="18">
        <f>IF(AZ58="","",--(AZ58='Codebook'!$F$45))</f>
        <v>0</v>
      </c>
    </row>
    <row r="59" spans="2:96" ht="24" customHeight="1">
      <c r="B59" s="18">
        <v>54</v>
      </c>
      <c r="C59" s="23">
        <v>46280.43001091435</v>
      </c>
      <c r="D59" s="18">
        <v>22</v>
      </c>
      <c r="E59" s="21" t="s">
        <v>206</v>
      </c>
      <c r="F59" s="21" t="s">
        <v>201</v>
      </c>
      <c r="G59" s="17" t="s">
        <v>202</v>
      </c>
      <c r="H59" s="21" t="s">
        <v>207</v>
      </c>
      <c r="I59" s="18">
        <f>SUM(BL59:BU59)</f>
        <v>8</v>
      </c>
      <c r="J59" s="18">
        <f>IF(COUNT(BV59:CD59)=9,SUM(BV59:CD59),"")</f>
        <v>7</v>
      </c>
      <c r="K59" s="18">
        <f>SUM(BL59:CD59)</f>
        <v>15</v>
      </c>
      <c r="L59" s="18">
        <f>--(K59&gt;='Codebook'!$C$8)</f>
        <v>1</v>
      </c>
      <c r="M59" s="18">
        <f>--(COUNT(BL59:CD59)=19)</f>
        <v>1</v>
      </c>
      <c r="N59" s="18">
        <f>SUM(CE59:CL59)</f>
        <v>3</v>
      </c>
      <c r="O59" s="18">
        <f>SUM(CM59:CR59)</f>
        <v>4</v>
      </c>
      <c r="P59" s="18">
        <f>N59+O59</f>
        <v>7</v>
      </c>
      <c r="Q59" s="21" t="s">
        <v>197</v>
      </c>
      <c r="R59" s="17" t="s">
        <v>222</v>
      </c>
      <c r="S59" s="18">
        <f>--OR(Overview!$B$6="All",E59=Overview!$B$6)*--OR(Overview!$F$6="All",F59=Overview!$F$6)*--OR(Overview!$J$6="All",G59=Overview!$J$6)*--OR(Overview!$N$6="All",H59=Overview!$N$6)</f>
        <v>1</v>
      </c>
      <c r="T59" s="21" t="s">
        <v>22</v>
      </c>
      <c r="U59" s="21" t="s">
        <v>198</v>
      </c>
      <c r="V59" s="21" t="s">
        <v>26</v>
      </c>
      <c r="W59" s="21" t="s">
        <v>22</v>
      </c>
      <c r="X59" s="21" t="s">
        <v>22</v>
      </c>
      <c r="Y59" s="21" t="s">
        <v>26</v>
      </c>
      <c r="Z59" s="21" t="s">
        <v>22</v>
      </c>
      <c r="AA59" s="21" t="s">
        <v>22</v>
      </c>
      <c r="AB59" s="21" t="s">
        <v>198</v>
      </c>
      <c r="AC59" s="21" t="s">
        <v>22</v>
      </c>
      <c r="AD59" s="21" t="s">
        <v>22</v>
      </c>
      <c r="AE59" s="21" t="s">
        <v>22</v>
      </c>
      <c r="AF59" s="21" t="s">
        <v>26</v>
      </c>
      <c r="AG59" s="21" t="s">
        <v>198</v>
      </c>
      <c r="AH59" s="21" t="s">
        <v>22</v>
      </c>
      <c r="AI59" s="21" t="s">
        <v>26</v>
      </c>
      <c r="AJ59" s="21" t="s">
        <v>198</v>
      </c>
      <c r="AK59" s="21" t="s">
        <v>22</v>
      </c>
      <c r="AL59" s="21" t="s">
        <v>26</v>
      </c>
      <c r="AM59" s="21" t="s">
        <v>198</v>
      </c>
      <c r="AN59" s="21" t="s">
        <v>83</v>
      </c>
      <c r="AO59" s="21" t="s">
        <v>198</v>
      </c>
      <c r="AP59" s="21" t="s">
        <v>83</v>
      </c>
      <c r="AQ59" s="21" t="s">
        <v>198</v>
      </c>
      <c r="AR59" s="21" t="s">
        <v>83</v>
      </c>
      <c r="AS59" s="21" t="s">
        <v>198</v>
      </c>
      <c r="AT59" s="21" t="s">
        <v>198</v>
      </c>
      <c r="AU59" s="21" t="s">
        <v>109</v>
      </c>
      <c r="AV59" s="21" t="s">
        <v>109</v>
      </c>
      <c r="AW59" s="21" t="s">
        <v>109</v>
      </c>
      <c r="AX59" s="21" t="s">
        <v>198</v>
      </c>
      <c r="AY59" s="21" t="s">
        <v>109</v>
      </c>
      <c r="AZ59" s="21" t="s">
        <v>198</v>
      </c>
      <c r="BA59" s="17" t="s">
        <v>262</v>
      </c>
      <c r="BB59" s="21"/>
      <c r="BC59" s="18">
        <f>--ISNUMBER(SEARCH("Radio or television",BA59))</f>
        <v>0</v>
      </c>
      <c r="BD59" s="18">
        <f>--ISNUMBER(SEARCH("Newspapers or print media",BA59))</f>
        <v>0</v>
      </c>
      <c r="BE59" s="18">
        <f>--ISNUMBER(SEARCH("Social media (e.g. Facebook, WhatsApp, YouTube, X/Twitter)",BA59))</f>
        <v>1</v>
      </c>
      <c r="BF59" s="18">
        <f>--ISNUMBER(SEARCH("Family members",BA59))</f>
        <v>1</v>
      </c>
      <c r="BG59" s="18">
        <f>--ISNUMBER(SEARCH("Friends or fellow students",BA59))</f>
        <v>0</v>
      </c>
      <c r="BH59" s="18">
        <f>--ISNUMBER(SEARCH("School coursework or lectures",BA59))</f>
        <v>0</v>
      </c>
      <c r="BI59" s="18">
        <f>--ISNUMBER(SEARCH("NHIMA outreach activities or NHIMA offices",BA59))</f>
        <v>1</v>
      </c>
      <c r="BJ59" s="18">
        <f>--ISNUMBER(SEARCH("Health facility staff",BA59))</f>
        <v>0</v>
      </c>
      <c r="BK59" s="18">
        <f>--ISNUMBER(SEARCH("not received information",BA59))</f>
        <v>0</v>
      </c>
      <c r="BL59" s="18">
        <f>IF(T59="","",--(T59='Codebook'!$F$13))</f>
        <v>1</v>
      </c>
      <c r="BM59" s="18">
        <f>IF(U59="","",--(U59='Codebook'!$F$14))</f>
        <v>0</v>
      </c>
      <c r="BN59" s="18">
        <f>IF(V59="","",--(V59='Codebook'!$F$15))</f>
        <v>1</v>
      </c>
      <c r="BO59" s="18">
        <f>IF(W59="","",--(W59='Codebook'!$F$16))</f>
        <v>1</v>
      </c>
      <c r="BP59" s="18">
        <f>IF(X59="","",--(X59='Codebook'!$F$17))</f>
        <v>1</v>
      </c>
      <c r="BQ59" s="18">
        <f>IF(Y59="","",--(Y59='Codebook'!$F$18))</f>
        <v>1</v>
      </c>
      <c r="BR59" s="18">
        <f>IF(Z59="","",--(Z59='Codebook'!$F$19))</f>
        <v>1</v>
      </c>
      <c r="BS59" s="18">
        <f>IF(AA59="","",--(AA59='Codebook'!$F$20))</f>
        <v>1</v>
      </c>
      <c r="BT59" s="18">
        <f>IF(AB59="","",--(AB59='Codebook'!$F$21))</f>
        <v>0</v>
      </c>
      <c r="BU59" s="18">
        <f>IF(AC59="","",--(AC59='Codebook'!$F$22))</f>
        <v>1</v>
      </c>
      <c r="BV59" s="18">
        <f>IF(AD59="","",--(AD59='Codebook'!$F$23))</f>
        <v>1</v>
      </c>
      <c r="BW59" s="18">
        <f>IF(AE59="","",--(AE59='Codebook'!$F$24))</f>
        <v>1</v>
      </c>
      <c r="BX59" s="18">
        <f>IF(AF59="","",--(AF59='Codebook'!$F$25))</f>
        <v>1</v>
      </c>
      <c r="BY59" s="18">
        <f>IF(AG59="","",--(AG59='Codebook'!$F$26))</f>
        <v>0</v>
      </c>
      <c r="BZ59" s="18">
        <f>IF(AH59="","",--(AH59='Codebook'!$F$27))</f>
        <v>1</v>
      </c>
      <c r="CA59" s="18">
        <f>IF(AI59="","",--(AI59='Codebook'!$F$28))</f>
        <v>1</v>
      </c>
      <c r="CB59" s="18">
        <f>IF(AJ59="","",--(AJ59='Codebook'!$F$29))</f>
        <v>0</v>
      </c>
      <c r="CC59" s="18">
        <f>IF(AK59="","",--(AK59='Codebook'!$F$30))</f>
        <v>1</v>
      </c>
      <c r="CD59" s="18">
        <f>IF(AL59="","",--(AL59='Codebook'!$F$31))</f>
        <v>1</v>
      </c>
      <c r="CE59" s="18">
        <f>IF(AM59="","",--(AM59='Codebook'!$F$32))</f>
        <v>0</v>
      </c>
      <c r="CF59" s="18">
        <f>IF(AN59="","",--(AN59='Codebook'!$F$33))</f>
        <v>1</v>
      </c>
      <c r="CG59" s="18">
        <f>IF(AO59="","",--(AO59='Codebook'!$F$34))</f>
        <v>0</v>
      </c>
      <c r="CH59" s="18">
        <f>IF(AP59="","",--(AP59='Codebook'!$F$35))</f>
        <v>1</v>
      </c>
      <c r="CI59" s="18">
        <f>IF(AQ59="","",--(AQ59='Codebook'!$F$36))</f>
        <v>0</v>
      </c>
      <c r="CJ59" s="18">
        <f>IF(AR59="","",--(AR59='Codebook'!$F$37))</f>
        <v>1</v>
      </c>
      <c r="CK59" s="18">
        <f>IF(AS59="","",--(AS59='Codebook'!$F$38))</f>
        <v>0</v>
      </c>
      <c r="CL59" s="18">
        <f>IF(AT59="","",--(AT59='Codebook'!$F$39))</f>
        <v>0</v>
      </c>
      <c r="CM59" s="18">
        <f>IF(AU59="","",--(AU59='Codebook'!$F$40))</f>
        <v>1</v>
      </c>
      <c r="CN59" s="18">
        <f>IF(AV59="","",--(AV59='Codebook'!$F$41))</f>
        <v>1</v>
      </c>
      <c r="CO59" s="18">
        <f>IF(AW59="","",--(AW59='Codebook'!$F$42))</f>
        <v>1</v>
      </c>
      <c r="CP59" s="18">
        <f>IF(AX59="","",--(AX59='Codebook'!$F$43))</f>
        <v>0</v>
      </c>
      <c r="CQ59" s="18">
        <f>IF(AY59="","",--(AY59='Codebook'!$F$44))</f>
        <v>1</v>
      </c>
      <c r="CR59" s="18">
        <f>IF(AZ59="","",--(AZ59='Codebook'!$F$45))</f>
        <v>0</v>
      </c>
    </row>
    <row r="60" spans="2:96" ht="24" customHeight="1">
      <c r="B60" s="18">
        <v>55</v>
      </c>
      <c r="C60" s="23">
        <v>46280.72391418982</v>
      </c>
      <c r="D60" s="18">
        <v>25</v>
      </c>
      <c r="E60" s="21" t="s">
        <v>194</v>
      </c>
      <c r="F60" s="21" t="s">
        <v>201</v>
      </c>
      <c r="G60" s="17" t="s">
        <v>202</v>
      </c>
      <c r="H60" s="21" t="s">
        <v>207</v>
      </c>
      <c r="I60" s="18">
        <f>SUM(BL60:BU60)</f>
        <v>10</v>
      </c>
      <c r="J60" s="18">
        <f>IF(COUNT(BV60:CD60)=9,SUM(BV60:CD60),"")</f>
        <v>6</v>
      </c>
      <c r="K60" s="18">
        <f>SUM(BL60:CD60)</f>
        <v>16</v>
      </c>
      <c r="L60" s="18">
        <f>--(K60&gt;='Codebook'!$C$8)</f>
        <v>1</v>
      </c>
      <c r="M60" s="18">
        <f>--(COUNT(BL60:CD60)=19)</f>
        <v>1</v>
      </c>
      <c r="N60" s="18">
        <f>SUM(CE60:CL60)</f>
        <v>4</v>
      </c>
      <c r="O60" s="18">
        <f>SUM(CM60:CR60)</f>
        <v>6</v>
      </c>
      <c r="P60" s="18">
        <f>N60+O60</f>
        <v>10</v>
      </c>
      <c r="Q60" s="21" t="s">
        <v>197</v>
      </c>
      <c r="R60" s="17" t="s">
        <v>156</v>
      </c>
      <c r="S60" s="18">
        <f>--OR(Overview!$B$6="All",E60=Overview!$B$6)*--OR(Overview!$F$6="All",F60=Overview!$F$6)*--OR(Overview!$J$6="All",G60=Overview!$J$6)*--OR(Overview!$N$6="All",H60=Overview!$N$6)</f>
        <v>1</v>
      </c>
      <c r="T60" s="21" t="s">
        <v>22</v>
      </c>
      <c r="U60" s="21" t="s">
        <v>26</v>
      </c>
      <c r="V60" s="21" t="s">
        <v>26</v>
      </c>
      <c r="W60" s="21" t="s">
        <v>22</v>
      </c>
      <c r="X60" s="21" t="s">
        <v>22</v>
      </c>
      <c r="Y60" s="21" t="s">
        <v>26</v>
      </c>
      <c r="Z60" s="21" t="s">
        <v>22</v>
      </c>
      <c r="AA60" s="21" t="s">
        <v>22</v>
      </c>
      <c r="AB60" s="21" t="s">
        <v>26</v>
      </c>
      <c r="AC60" s="21" t="s">
        <v>22</v>
      </c>
      <c r="AD60" s="21" t="s">
        <v>26</v>
      </c>
      <c r="AE60" s="21" t="s">
        <v>22</v>
      </c>
      <c r="AF60" s="21" t="s">
        <v>26</v>
      </c>
      <c r="AG60" s="21" t="s">
        <v>26</v>
      </c>
      <c r="AH60" s="21" t="s">
        <v>22</v>
      </c>
      <c r="AI60" s="21" t="s">
        <v>26</v>
      </c>
      <c r="AJ60" s="21" t="s">
        <v>22</v>
      </c>
      <c r="AK60" s="21" t="s">
        <v>22</v>
      </c>
      <c r="AL60" s="21" t="s">
        <v>26</v>
      </c>
      <c r="AM60" s="21" t="s">
        <v>109</v>
      </c>
      <c r="AN60" s="21" t="s">
        <v>83</v>
      </c>
      <c r="AO60" s="21" t="s">
        <v>109</v>
      </c>
      <c r="AP60" s="21" t="s">
        <v>83</v>
      </c>
      <c r="AQ60" s="21" t="s">
        <v>83</v>
      </c>
      <c r="AR60" s="21" t="s">
        <v>83</v>
      </c>
      <c r="AS60" s="21" t="s">
        <v>109</v>
      </c>
      <c r="AT60" s="21" t="s">
        <v>109</v>
      </c>
      <c r="AU60" s="21" t="s">
        <v>109</v>
      </c>
      <c r="AV60" s="21" t="s">
        <v>109</v>
      </c>
      <c r="AW60" s="21" t="s">
        <v>109</v>
      </c>
      <c r="AX60" s="21" t="s">
        <v>109</v>
      </c>
      <c r="AY60" s="21" t="s">
        <v>109</v>
      </c>
      <c r="AZ60" s="21" t="s">
        <v>109</v>
      </c>
      <c r="BA60" s="17" t="s">
        <v>263</v>
      </c>
      <c r="BB60" s="17" t="s">
        <v>230</v>
      </c>
      <c r="BC60" s="18">
        <f>--ISNUMBER(SEARCH("Radio or television",BA60))</f>
        <v>0</v>
      </c>
      <c r="BD60" s="18">
        <f>--ISNUMBER(SEARCH("Newspapers or print media",BA60))</f>
        <v>1</v>
      </c>
      <c r="BE60" s="18">
        <f>--ISNUMBER(SEARCH("Social media (e.g. Facebook, WhatsApp, YouTube, X/Twitter)",BA60))</f>
        <v>1</v>
      </c>
      <c r="BF60" s="18">
        <f>--ISNUMBER(SEARCH("Family members",BA60))</f>
        <v>0</v>
      </c>
      <c r="BG60" s="18">
        <f>--ISNUMBER(SEARCH("Friends or fellow students",BA60))</f>
        <v>1</v>
      </c>
      <c r="BH60" s="18">
        <f>--ISNUMBER(SEARCH("School coursework or lectures",BA60))</f>
        <v>0</v>
      </c>
      <c r="BI60" s="18">
        <f>--ISNUMBER(SEARCH("NHIMA outreach activities or NHIMA offices",BA60))</f>
        <v>0</v>
      </c>
      <c r="BJ60" s="18">
        <f>--ISNUMBER(SEARCH("Health facility staff",BA60))</f>
        <v>0</v>
      </c>
      <c r="BK60" s="18">
        <f>--ISNUMBER(SEARCH("not received information",BA60))</f>
        <v>0</v>
      </c>
      <c r="BL60" s="18">
        <f>IF(T60="","",--(T60='Codebook'!$F$13))</f>
        <v>1</v>
      </c>
      <c r="BM60" s="18">
        <f>IF(U60="","",--(U60='Codebook'!$F$14))</f>
        <v>1</v>
      </c>
      <c r="BN60" s="18">
        <f>IF(V60="","",--(V60='Codebook'!$F$15))</f>
        <v>1</v>
      </c>
      <c r="BO60" s="18">
        <f>IF(W60="","",--(W60='Codebook'!$F$16))</f>
        <v>1</v>
      </c>
      <c r="BP60" s="18">
        <f>IF(X60="","",--(X60='Codebook'!$F$17))</f>
        <v>1</v>
      </c>
      <c r="BQ60" s="18">
        <f>IF(Y60="","",--(Y60='Codebook'!$F$18))</f>
        <v>1</v>
      </c>
      <c r="BR60" s="18">
        <f>IF(Z60="","",--(Z60='Codebook'!$F$19))</f>
        <v>1</v>
      </c>
      <c r="BS60" s="18">
        <f>IF(AA60="","",--(AA60='Codebook'!$F$20))</f>
        <v>1</v>
      </c>
      <c r="BT60" s="18">
        <f>IF(AB60="","",--(AB60='Codebook'!$F$21))</f>
        <v>1</v>
      </c>
      <c r="BU60" s="18">
        <f>IF(AC60="","",--(AC60='Codebook'!$F$22))</f>
        <v>1</v>
      </c>
      <c r="BV60" s="18">
        <f>IF(AD60="","",--(AD60='Codebook'!$F$23))</f>
        <v>0</v>
      </c>
      <c r="BW60" s="18">
        <f>IF(AE60="","",--(AE60='Codebook'!$F$24))</f>
        <v>1</v>
      </c>
      <c r="BX60" s="18">
        <f>IF(AF60="","",--(AF60='Codebook'!$F$25))</f>
        <v>1</v>
      </c>
      <c r="BY60" s="18">
        <f>IF(AG60="","",--(AG60='Codebook'!$F$26))</f>
        <v>0</v>
      </c>
      <c r="BZ60" s="18">
        <f>IF(AH60="","",--(AH60='Codebook'!$F$27))</f>
        <v>1</v>
      </c>
      <c r="CA60" s="18">
        <f>IF(AI60="","",--(AI60='Codebook'!$F$28))</f>
        <v>1</v>
      </c>
      <c r="CB60" s="18">
        <f>IF(AJ60="","",--(AJ60='Codebook'!$F$29))</f>
        <v>0</v>
      </c>
      <c r="CC60" s="18">
        <f>IF(AK60="","",--(AK60='Codebook'!$F$30))</f>
        <v>1</v>
      </c>
      <c r="CD60" s="18">
        <f>IF(AL60="","",--(AL60='Codebook'!$F$31))</f>
        <v>1</v>
      </c>
      <c r="CE60" s="18">
        <f>IF(AM60="","",--(AM60='Codebook'!$F$32))</f>
        <v>0</v>
      </c>
      <c r="CF60" s="18">
        <f>IF(AN60="","",--(AN60='Codebook'!$F$33))</f>
        <v>1</v>
      </c>
      <c r="CG60" s="18">
        <f>IF(AO60="","",--(AO60='Codebook'!$F$34))</f>
        <v>0</v>
      </c>
      <c r="CH60" s="18">
        <f>IF(AP60="","",--(AP60='Codebook'!$F$35))</f>
        <v>1</v>
      </c>
      <c r="CI60" s="18">
        <f>IF(AQ60="","",--(AQ60='Codebook'!$F$36))</f>
        <v>1</v>
      </c>
      <c r="CJ60" s="18">
        <f>IF(AR60="","",--(AR60='Codebook'!$F$37))</f>
        <v>1</v>
      </c>
      <c r="CK60" s="18">
        <f>IF(AS60="","",--(AS60='Codebook'!$F$38))</f>
        <v>0</v>
      </c>
      <c r="CL60" s="18">
        <f>IF(AT60="","",--(AT60='Codebook'!$F$39))</f>
        <v>0</v>
      </c>
      <c r="CM60" s="18">
        <f>IF(AU60="","",--(AU60='Codebook'!$F$40))</f>
        <v>1</v>
      </c>
      <c r="CN60" s="18">
        <f>IF(AV60="","",--(AV60='Codebook'!$F$41))</f>
        <v>1</v>
      </c>
      <c r="CO60" s="18">
        <f>IF(AW60="","",--(AW60='Codebook'!$F$42))</f>
        <v>1</v>
      </c>
      <c r="CP60" s="18">
        <f>IF(AX60="","",--(AX60='Codebook'!$F$43))</f>
        <v>1</v>
      </c>
      <c r="CQ60" s="18">
        <f>IF(AY60="","",--(AY60='Codebook'!$F$44))</f>
        <v>1</v>
      </c>
      <c r="CR60" s="18">
        <f>IF(AZ60="","",--(AZ60='Codebook'!$F$45))</f>
        <v>1</v>
      </c>
    </row>
    <row r="61" spans="2:96" ht="24" customHeight="1">
      <c r="B61" s="18">
        <v>56</v>
      </c>
      <c r="C61" s="23">
        <v>46281.23722722222</v>
      </c>
      <c r="D61" s="18">
        <v>23</v>
      </c>
      <c r="E61" s="21" t="s">
        <v>206</v>
      </c>
      <c r="F61" s="21" t="s">
        <v>201</v>
      </c>
      <c r="G61" s="17" t="s">
        <v>202</v>
      </c>
      <c r="H61" s="21" t="s">
        <v>197</v>
      </c>
      <c r="I61" s="18">
        <f>SUM(BL61:BU61)</f>
        <v>8</v>
      </c>
      <c r="J61" s="18">
        <f>IF(COUNT(BV61:CD61)=9,SUM(BV61:CD61),"")</f>
        <v>5</v>
      </c>
      <c r="K61" s="18">
        <f>SUM(BL61:CD61)</f>
        <v>13</v>
      </c>
      <c r="L61" s="18">
        <f>--(K61&gt;='Codebook'!$C$8)</f>
        <v>1</v>
      </c>
      <c r="M61" s="18">
        <f>--(COUNT(BL61:CD61)=19)</f>
        <v>1</v>
      </c>
      <c r="N61" s="18">
        <f>SUM(CE61:CL61)</f>
        <v>8</v>
      </c>
      <c r="O61" s="18">
        <f>SUM(CM61:CR61)</f>
        <v>2</v>
      </c>
      <c r="P61" s="18">
        <f>N61+O61</f>
        <v>10</v>
      </c>
      <c r="Q61" s="21" t="s">
        <v>197</v>
      </c>
      <c r="R61" s="17" t="s">
        <v>155</v>
      </c>
      <c r="S61" s="18">
        <f>--OR(Overview!$B$6="All",E61=Overview!$B$6)*--OR(Overview!$F$6="All",F61=Overview!$F$6)*--OR(Overview!$J$6="All",G61=Overview!$J$6)*--OR(Overview!$N$6="All",H61=Overview!$N$6)</f>
        <v>1</v>
      </c>
      <c r="T61" s="21" t="s">
        <v>22</v>
      </c>
      <c r="U61" s="21" t="s">
        <v>22</v>
      </c>
      <c r="V61" s="21" t="s">
        <v>26</v>
      </c>
      <c r="W61" s="21" t="s">
        <v>22</v>
      </c>
      <c r="X61" s="21" t="s">
        <v>22</v>
      </c>
      <c r="Y61" s="21" t="s">
        <v>26</v>
      </c>
      <c r="Z61" s="21" t="s">
        <v>22</v>
      </c>
      <c r="AA61" s="21" t="s">
        <v>22</v>
      </c>
      <c r="AB61" s="21" t="s">
        <v>26</v>
      </c>
      <c r="AC61" s="21" t="s">
        <v>26</v>
      </c>
      <c r="AD61" s="21" t="s">
        <v>198</v>
      </c>
      <c r="AE61" s="21" t="s">
        <v>198</v>
      </c>
      <c r="AF61" s="21" t="s">
        <v>26</v>
      </c>
      <c r="AG61" s="21" t="s">
        <v>198</v>
      </c>
      <c r="AH61" s="21" t="s">
        <v>198</v>
      </c>
      <c r="AI61" s="21" t="s">
        <v>26</v>
      </c>
      <c r="AJ61" s="21" t="s">
        <v>26</v>
      </c>
      <c r="AK61" s="21" t="s">
        <v>22</v>
      </c>
      <c r="AL61" s="21" t="s">
        <v>26</v>
      </c>
      <c r="AM61" s="21" t="s">
        <v>83</v>
      </c>
      <c r="AN61" s="21" t="s">
        <v>83</v>
      </c>
      <c r="AO61" s="21" t="s">
        <v>83</v>
      </c>
      <c r="AP61" s="21" t="s">
        <v>83</v>
      </c>
      <c r="AQ61" s="21" t="s">
        <v>83</v>
      </c>
      <c r="AR61" s="21" t="s">
        <v>83</v>
      </c>
      <c r="AS61" s="21" t="s">
        <v>83</v>
      </c>
      <c r="AT61" s="21" t="s">
        <v>83</v>
      </c>
      <c r="AU61" s="21" t="s">
        <v>83</v>
      </c>
      <c r="AV61" s="21" t="s">
        <v>109</v>
      </c>
      <c r="AW61" s="21" t="s">
        <v>198</v>
      </c>
      <c r="AX61" s="21" t="s">
        <v>198</v>
      </c>
      <c r="AY61" s="21" t="s">
        <v>83</v>
      </c>
      <c r="AZ61" s="21" t="s">
        <v>109</v>
      </c>
      <c r="BA61" s="17" t="s">
        <v>264</v>
      </c>
      <c r="BB61" s="17" t="s">
        <v>155</v>
      </c>
      <c r="BC61" s="18">
        <f>--ISNUMBER(SEARCH("Radio or television",BA61))</f>
        <v>1</v>
      </c>
      <c r="BD61" s="18">
        <f>--ISNUMBER(SEARCH("Newspapers or print media",BA61))</f>
        <v>0</v>
      </c>
      <c r="BE61" s="18">
        <f>--ISNUMBER(SEARCH("Social media (e.g. Facebook, WhatsApp, YouTube, X/Twitter)",BA61))</f>
        <v>1</v>
      </c>
      <c r="BF61" s="18">
        <f>--ISNUMBER(SEARCH("Family members",BA61))</f>
        <v>1</v>
      </c>
      <c r="BG61" s="18">
        <f>--ISNUMBER(SEARCH("Friends or fellow students",BA61))</f>
        <v>1</v>
      </c>
      <c r="BH61" s="18">
        <f>--ISNUMBER(SEARCH("School coursework or lectures",BA61))</f>
        <v>0</v>
      </c>
      <c r="BI61" s="18">
        <f>--ISNUMBER(SEARCH("NHIMA outreach activities or NHIMA offices",BA61))</f>
        <v>0</v>
      </c>
      <c r="BJ61" s="18">
        <f>--ISNUMBER(SEARCH("Health facility staff",BA61))</f>
        <v>0</v>
      </c>
      <c r="BK61" s="18">
        <f>--ISNUMBER(SEARCH("not received information",BA61))</f>
        <v>0</v>
      </c>
      <c r="BL61" s="18">
        <f>IF(T61="","",--(T61='Codebook'!$F$13))</f>
        <v>1</v>
      </c>
      <c r="BM61" s="18">
        <f>IF(U61="","",--(U61='Codebook'!$F$14))</f>
        <v>0</v>
      </c>
      <c r="BN61" s="18">
        <f>IF(V61="","",--(V61='Codebook'!$F$15))</f>
        <v>1</v>
      </c>
      <c r="BO61" s="18">
        <f>IF(W61="","",--(W61='Codebook'!$F$16))</f>
        <v>1</v>
      </c>
      <c r="BP61" s="18">
        <f>IF(X61="","",--(X61='Codebook'!$F$17))</f>
        <v>1</v>
      </c>
      <c r="BQ61" s="18">
        <f>IF(Y61="","",--(Y61='Codebook'!$F$18))</f>
        <v>1</v>
      </c>
      <c r="BR61" s="18">
        <f>IF(Z61="","",--(Z61='Codebook'!$F$19))</f>
        <v>1</v>
      </c>
      <c r="BS61" s="18">
        <f>IF(AA61="","",--(AA61='Codebook'!$F$20))</f>
        <v>1</v>
      </c>
      <c r="BT61" s="18">
        <f>IF(AB61="","",--(AB61='Codebook'!$F$21))</f>
        <v>1</v>
      </c>
      <c r="BU61" s="18">
        <f>IF(AC61="","",--(AC61='Codebook'!$F$22))</f>
        <v>0</v>
      </c>
      <c r="BV61" s="18">
        <f>IF(AD61="","",--(AD61='Codebook'!$F$23))</f>
        <v>0</v>
      </c>
      <c r="BW61" s="18">
        <f>IF(AE61="","",--(AE61='Codebook'!$F$24))</f>
        <v>0</v>
      </c>
      <c r="BX61" s="18">
        <f>IF(AF61="","",--(AF61='Codebook'!$F$25))</f>
        <v>1</v>
      </c>
      <c r="BY61" s="18">
        <f>IF(AG61="","",--(AG61='Codebook'!$F$26))</f>
        <v>0</v>
      </c>
      <c r="BZ61" s="18">
        <f>IF(AH61="","",--(AH61='Codebook'!$F$27))</f>
        <v>0</v>
      </c>
      <c r="CA61" s="18">
        <f>IF(AI61="","",--(AI61='Codebook'!$F$28))</f>
        <v>1</v>
      </c>
      <c r="CB61" s="18">
        <f>IF(AJ61="","",--(AJ61='Codebook'!$F$29))</f>
        <v>1</v>
      </c>
      <c r="CC61" s="18">
        <f>IF(AK61="","",--(AK61='Codebook'!$F$30))</f>
        <v>1</v>
      </c>
      <c r="CD61" s="18">
        <f>IF(AL61="","",--(AL61='Codebook'!$F$31))</f>
        <v>1</v>
      </c>
      <c r="CE61" s="18">
        <f>IF(AM61="","",--(AM61='Codebook'!$F$32))</f>
        <v>1</v>
      </c>
      <c r="CF61" s="18">
        <f>IF(AN61="","",--(AN61='Codebook'!$F$33))</f>
        <v>1</v>
      </c>
      <c r="CG61" s="18">
        <f>IF(AO61="","",--(AO61='Codebook'!$F$34))</f>
        <v>1</v>
      </c>
      <c r="CH61" s="18">
        <f>IF(AP61="","",--(AP61='Codebook'!$F$35))</f>
        <v>1</v>
      </c>
      <c r="CI61" s="18">
        <f>IF(AQ61="","",--(AQ61='Codebook'!$F$36))</f>
        <v>1</v>
      </c>
      <c r="CJ61" s="18">
        <f>IF(AR61="","",--(AR61='Codebook'!$F$37))</f>
        <v>1</v>
      </c>
      <c r="CK61" s="18">
        <f>IF(AS61="","",--(AS61='Codebook'!$F$38))</f>
        <v>1</v>
      </c>
      <c r="CL61" s="18">
        <f>IF(AT61="","",--(AT61='Codebook'!$F$39))</f>
        <v>1</v>
      </c>
      <c r="CM61" s="18">
        <f>IF(AU61="","",--(AU61='Codebook'!$F$40))</f>
        <v>0</v>
      </c>
      <c r="CN61" s="18">
        <f>IF(AV61="","",--(AV61='Codebook'!$F$41))</f>
        <v>1</v>
      </c>
      <c r="CO61" s="18">
        <f>IF(AW61="","",--(AW61='Codebook'!$F$42))</f>
        <v>0</v>
      </c>
      <c r="CP61" s="18">
        <f>IF(AX61="","",--(AX61='Codebook'!$F$43))</f>
        <v>0</v>
      </c>
      <c r="CQ61" s="18">
        <f>IF(AY61="","",--(AY61='Codebook'!$F$44))</f>
        <v>0</v>
      </c>
      <c r="CR61" s="18">
        <f>IF(AZ61="","",--(AZ61='Codebook'!$F$45))</f>
        <v>1</v>
      </c>
    </row>
    <row r="62" spans="2:96" ht="24" customHeight="1">
      <c r="B62" s="18">
        <v>57</v>
      </c>
      <c r="C62" s="23">
        <v>46281.5477378588</v>
      </c>
      <c r="D62" s="18">
        <v>23</v>
      </c>
      <c r="E62" s="21" t="s">
        <v>194</v>
      </c>
      <c r="F62" s="21" t="s">
        <v>201</v>
      </c>
      <c r="G62" s="17" t="s">
        <v>247</v>
      </c>
      <c r="H62" s="21" t="s">
        <v>207</v>
      </c>
      <c r="I62" s="18">
        <f>SUM(BL62:BU62)</f>
        <v>6</v>
      </c>
      <c r="J62" s="18">
        <f>IF(COUNT(BV62:CD62)=9,SUM(BV62:CD62),"")</f>
        <v>4</v>
      </c>
      <c r="K62" s="18">
        <f>SUM(BL62:CD62)</f>
        <v>10</v>
      </c>
      <c r="L62" s="18">
        <f>--(K62&gt;='Codebook'!$C$8)</f>
        <v>0</v>
      </c>
      <c r="M62" s="18">
        <f>--(COUNT(BL62:CD62)=19)</f>
        <v>1</v>
      </c>
      <c r="N62" s="18">
        <f>SUM(CE62:CL62)</f>
        <v>6</v>
      </c>
      <c r="O62" s="18">
        <f>SUM(CM62:CR62)</f>
        <v>4</v>
      </c>
      <c r="P62" s="18">
        <f>N62+O62</f>
        <v>10</v>
      </c>
      <c r="Q62" s="21" t="s">
        <v>207</v>
      </c>
      <c r="R62" s="17" t="s">
        <v>152</v>
      </c>
      <c r="S62" s="18">
        <f>--OR(Overview!$B$6="All",E62=Overview!$B$6)*--OR(Overview!$F$6="All",F62=Overview!$F$6)*--OR(Overview!$J$6="All",G62=Overview!$J$6)*--OR(Overview!$N$6="All",H62=Overview!$N$6)</f>
        <v>1</v>
      </c>
      <c r="T62" s="21" t="s">
        <v>22</v>
      </c>
      <c r="U62" s="21" t="s">
        <v>22</v>
      </c>
      <c r="V62" s="21" t="s">
        <v>22</v>
      </c>
      <c r="W62" s="21" t="s">
        <v>22</v>
      </c>
      <c r="X62" s="21" t="s">
        <v>22</v>
      </c>
      <c r="Y62" s="21" t="s">
        <v>22</v>
      </c>
      <c r="Z62" s="21" t="s">
        <v>22</v>
      </c>
      <c r="AA62" s="21" t="s">
        <v>22</v>
      </c>
      <c r="AB62" s="21" t="s">
        <v>22</v>
      </c>
      <c r="AC62" s="21" t="s">
        <v>22</v>
      </c>
      <c r="AD62" s="21" t="s">
        <v>22</v>
      </c>
      <c r="AE62" s="21" t="s">
        <v>22</v>
      </c>
      <c r="AF62" s="21" t="s">
        <v>22</v>
      </c>
      <c r="AG62" s="21" t="s">
        <v>198</v>
      </c>
      <c r="AH62" s="21" t="s">
        <v>22</v>
      </c>
      <c r="AI62" s="21" t="s">
        <v>198</v>
      </c>
      <c r="AJ62" s="21" t="s">
        <v>198</v>
      </c>
      <c r="AK62" s="21" t="s">
        <v>22</v>
      </c>
      <c r="AL62" s="21" t="s">
        <v>198</v>
      </c>
      <c r="AM62" s="21" t="s">
        <v>83</v>
      </c>
      <c r="AN62" s="21" t="s">
        <v>109</v>
      </c>
      <c r="AO62" s="21" t="s">
        <v>83</v>
      </c>
      <c r="AP62" s="21" t="s">
        <v>109</v>
      </c>
      <c r="AQ62" s="21" t="s">
        <v>83</v>
      </c>
      <c r="AR62" s="21" t="s">
        <v>83</v>
      </c>
      <c r="AS62" s="21" t="s">
        <v>83</v>
      </c>
      <c r="AT62" s="21" t="s">
        <v>83</v>
      </c>
      <c r="AU62" s="21" t="s">
        <v>109</v>
      </c>
      <c r="AV62" s="21" t="s">
        <v>83</v>
      </c>
      <c r="AW62" s="21" t="s">
        <v>109</v>
      </c>
      <c r="AX62" s="21" t="s">
        <v>109</v>
      </c>
      <c r="AY62" s="21" t="s">
        <v>83</v>
      </c>
      <c r="AZ62" s="21" t="s">
        <v>109</v>
      </c>
      <c r="BA62" s="17" t="s">
        <v>246</v>
      </c>
      <c r="BB62" s="17" t="s">
        <v>240</v>
      </c>
      <c r="BC62" s="18">
        <f>--ISNUMBER(SEARCH("Radio or television",BA62))</f>
        <v>1</v>
      </c>
      <c r="BD62" s="18">
        <f>--ISNUMBER(SEARCH("Newspapers or print media",BA62))</f>
        <v>0</v>
      </c>
      <c r="BE62" s="18">
        <f>--ISNUMBER(SEARCH("Social media (e.g. Facebook, WhatsApp, YouTube, X/Twitter)",BA62))</f>
        <v>1</v>
      </c>
      <c r="BF62" s="18">
        <f>--ISNUMBER(SEARCH("Family members",BA62))</f>
        <v>0</v>
      </c>
      <c r="BG62" s="18">
        <f>--ISNUMBER(SEARCH("Friends or fellow students",BA62))</f>
        <v>0</v>
      </c>
      <c r="BH62" s="18">
        <f>--ISNUMBER(SEARCH("School coursework or lectures",BA62))</f>
        <v>0</v>
      </c>
      <c r="BI62" s="18">
        <f>--ISNUMBER(SEARCH("NHIMA outreach activities or NHIMA offices",BA62))</f>
        <v>0</v>
      </c>
      <c r="BJ62" s="18">
        <f>--ISNUMBER(SEARCH("Health facility staff",BA62))</f>
        <v>0</v>
      </c>
      <c r="BK62" s="18">
        <f>--ISNUMBER(SEARCH("not received information",BA62))</f>
        <v>0</v>
      </c>
      <c r="BL62" s="18">
        <f>IF(T62="","",--(T62='Codebook'!$F$13))</f>
        <v>1</v>
      </c>
      <c r="BM62" s="18">
        <f>IF(U62="","",--(U62='Codebook'!$F$14))</f>
        <v>0</v>
      </c>
      <c r="BN62" s="18">
        <f>IF(V62="","",--(V62='Codebook'!$F$15))</f>
        <v>0</v>
      </c>
      <c r="BO62" s="18">
        <f>IF(W62="","",--(W62='Codebook'!$F$16))</f>
        <v>1</v>
      </c>
      <c r="BP62" s="18">
        <f>IF(X62="","",--(X62='Codebook'!$F$17))</f>
        <v>1</v>
      </c>
      <c r="BQ62" s="18">
        <f>IF(Y62="","",--(Y62='Codebook'!$F$18))</f>
        <v>0</v>
      </c>
      <c r="BR62" s="18">
        <f>IF(Z62="","",--(Z62='Codebook'!$F$19))</f>
        <v>1</v>
      </c>
      <c r="BS62" s="18">
        <f>IF(AA62="","",--(AA62='Codebook'!$F$20))</f>
        <v>1</v>
      </c>
      <c r="BT62" s="18">
        <f>IF(AB62="","",--(AB62='Codebook'!$F$21))</f>
        <v>0</v>
      </c>
      <c r="BU62" s="18">
        <f>IF(AC62="","",--(AC62='Codebook'!$F$22))</f>
        <v>1</v>
      </c>
      <c r="BV62" s="18">
        <f>IF(AD62="","",--(AD62='Codebook'!$F$23))</f>
        <v>1</v>
      </c>
      <c r="BW62" s="18">
        <f>IF(AE62="","",--(AE62='Codebook'!$F$24))</f>
        <v>1</v>
      </c>
      <c r="BX62" s="18">
        <f>IF(AF62="","",--(AF62='Codebook'!$F$25))</f>
        <v>0</v>
      </c>
      <c r="BY62" s="18">
        <f>IF(AG62="","",--(AG62='Codebook'!$F$26))</f>
        <v>0</v>
      </c>
      <c r="BZ62" s="18">
        <f>IF(AH62="","",--(AH62='Codebook'!$F$27))</f>
        <v>1</v>
      </c>
      <c r="CA62" s="18">
        <f>IF(AI62="","",--(AI62='Codebook'!$F$28))</f>
        <v>0</v>
      </c>
      <c r="CB62" s="18">
        <f>IF(AJ62="","",--(AJ62='Codebook'!$F$29))</f>
        <v>0</v>
      </c>
      <c r="CC62" s="18">
        <f>IF(AK62="","",--(AK62='Codebook'!$F$30))</f>
        <v>1</v>
      </c>
      <c r="CD62" s="18">
        <f>IF(AL62="","",--(AL62='Codebook'!$F$31))</f>
        <v>0</v>
      </c>
      <c r="CE62" s="18">
        <f>IF(AM62="","",--(AM62='Codebook'!$F$32))</f>
        <v>1</v>
      </c>
      <c r="CF62" s="18">
        <f>IF(AN62="","",--(AN62='Codebook'!$F$33))</f>
        <v>0</v>
      </c>
      <c r="CG62" s="18">
        <f>IF(AO62="","",--(AO62='Codebook'!$F$34))</f>
        <v>1</v>
      </c>
      <c r="CH62" s="18">
        <f>IF(AP62="","",--(AP62='Codebook'!$F$35))</f>
        <v>0</v>
      </c>
      <c r="CI62" s="18">
        <f>IF(AQ62="","",--(AQ62='Codebook'!$F$36))</f>
        <v>1</v>
      </c>
      <c r="CJ62" s="18">
        <f>IF(AR62="","",--(AR62='Codebook'!$F$37))</f>
        <v>1</v>
      </c>
      <c r="CK62" s="18">
        <f>IF(AS62="","",--(AS62='Codebook'!$F$38))</f>
        <v>1</v>
      </c>
      <c r="CL62" s="18">
        <f>IF(AT62="","",--(AT62='Codebook'!$F$39))</f>
        <v>1</v>
      </c>
      <c r="CM62" s="18">
        <f>IF(AU62="","",--(AU62='Codebook'!$F$40))</f>
        <v>1</v>
      </c>
      <c r="CN62" s="18">
        <f>IF(AV62="","",--(AV62='Codebook'!$F$41))</f>
        <v>0</v>
      </c>
      <c r="CO62" s="18">
        <f>IF(AW62="","",--(AW62='Codebook'!$F$42))</f>
        <v>1</v>
      </c>
      <c r="CP62" s="18">
        <f>IF(AX62="","",--(AX62='Codebook'!$F$43))</f>
        <v>1</v>
      </c>
      <c r="CQ62" s="18">
        <f>IF(AY62="","",--(AY62='Codebook'!$F$44))</f>
        <v>0</v>
      </c>
      <c r="CR62" s="18">
        <f>IF(AZ62="","",--(AZ62='Codebook'!$F$45))</f>
        <v>1</v>
      </c>
    </row>
    <row r="63" spans="2:96" ht="24" customHeight="1">
      <c r="B63" s="18">
        <v>58</v>
      </c>
      <c r="C63" s="23">
        <v>46281.55721224537</v>
      </c>
      <c r="D63" s="18">
        <v>23</v>
      </c>
      <c r="E63" s="21" t="s">
        <v>194</v>
      </c>
      <c r="F63" s="21" t="s">
        <v>195</v>
      </c>
      <c r="G63" s="17" t="s">
        <v>196</v>
      </c>
      <c r="H63" s="21" t="s">
        <v>207</v>
      </c>
      <c r="I63" s="18">
        <f>SUM(BL63:BU63)</f>
        <v>5</v>
      </c>
      <c r="J63" s="18">
        <f>IF(COUNT(BV63:CD63)=9,SUM(BV63:CD63),"")</f>
        <v>4</v>
      </c>
      <c r="K63" s="18">
        <f>SUM(BL63:CD63)</f>
        <v>9</v>
      </c>
      <c r="L63" s="18">
        <f>--(K63&gt;='Codebook'!$C$8)</f>
        <v>0</v>
      </c>
      <c r="M63" s="18">
        <f>--(COUNT(BL63:CD63)=19)</f>
        <v>1</v>
      </c>
      <c r="N63" s="18">
        <f>SUM(CE63:CL63)</f>
        <v>5</v>
      </c>
      <c r="O63" s="18">
        <f>SUM(CM63:CR63)</f>
        <v>2</v>
      </c>
      <c r="P63" s="18">
        <f>N63+O63</f>
        <v>7</v>
      </c>
      <c r="Q63" s="21" t="s">
        <v>198</v>
      </c>
      <c r="R63" s="17" t="s">
        <v>152</v>
      </c>
      <c r="S63" s="18">
        <f>--OR(Overview!$B$6="All",E63=Overview!$B$6)*--OR(Overview!$F$6="All",F63=Overview!$F$6)*--OR(Overview!$J$6="All",G63=Overview!$J$6)*--OR(Overview!$N$6="All",H63=Overview!$N$6)</f>
        <v>1</v>
      </c>
      <c r="T63" s="21" t="s">
        <v>22</v>
      </c>
      <c r="U63" s="21" t="s">
        <v>26</v>
      </c>
      <c r="V63" s="21" t="s">
        <v>26</v>
      </c>
      <c r="W63" s="21" t="s">
        <v>26</v>
      </c>
      <c r="X63" s="21" t="s">
        <v>198</v>
      </c>
      <c r="Y63" s="21" t="s">
        <v>26</v>
      </c>
      <c r="Z63" s="21" t="s">
        <v>26</v>
      </c>
      <c r="AA63" s="21" t="s">
        <v>22</v>
      </c>
      <c r="AB63" s="21" t="s">
        <v>198</v>
      </c>
      <c r="AC63" s="21" t="s">
        <v>198</v>
      </c>
      <c r="AD63" s="21" t="s">
        <v>22</v>
      </c>
      <c r="AE63" s="21" t="s">
        <v>26</v>
      </c>
      <c r="AF63" s="21" t="s">
        <v>198</v>
      </c>
      <c r="AG63" s="21" t="s">
        <v>22</v>
      </c>
      <c r="AH63" s="21" t="s">
        <v>22</v>
      </c>
      <c r="AI63" s="21" t="s">
        <v>22</v>
      </c>
      <c r="AJ63" s="21" t="s">
        <v>26</v>
      </c>
      <c r="AK63" s="21" t="s">
        <v>198</v>
      </c>
      <c r="AL63" s="21" t="s">
        <v>198</v>
      </c>
      <c r="AM63" s="21" t="s">
        <v>83</v>
      </c>
      <c r="AN63" s="21" t="s">
        <v>83</v>
      </c>
      <c r="AO63" s="21" t="s">
        <v>109</v>
      </c>
      <c r="AP63" s="21" t="s">
        <v>83</v>
      </c>
      <c r="AQ63" s="21" t="s">
        <v>109</v>
      </c>
      <c r="AR63" s="21" t="s">
        <v>83</v>
      </c>
      <c r="AS63" s="21" t="s">
        <v>109</v>
      </c>
      <c r="AT63" s="21" t="s">
        <v>83</v>
      </c>
      <c r="AU63" s="21" t="s">
        <v>83</v>
      </c>
      <c r="AV63" s="21" t="s">
        <v>83</v>
      </c>
      <c r="AW63" s="21" t="s">
        <v>109</v>
      </c>
      <c r="AX63" s="21" t="s">
        <v>198</v>
      </c>
      <c r="AY63" s="21" t="s">
        <v>83</v>
      </c>
      <c r="AZ63" s="21" t="s">
        <v>109</v>
      </c>
      <c r="BA63" s="17" t="s">
        <v>265</v>
      </c>
      <c r="BB63" s="17" t="s">
        <v>240</v>
      </c>
      <c r="BC63" s="18">
        <f>--ISNUMBER(SEARCH("Radio or television",BA63))</f>
        <v>1</v>
      </c>
      <c r="BD63" s="18">
        <f>--ISNUMBER(SEARCH("Newspapers or print media",BA63))</f>
        <v>1</v>
      </c>
      <c r="BE63" s="18">
        <f>--ISNUMBER(SEARCH("Social media (e.g. Facebook, WhatsApp, YouTube, X/Twitter)",BA63))</f>
        <v>0</v>
      </c>
      <c r="BF63" s="18">
        <f>--ISNUMBER(SEARCH("Family members",BA63))</f>
        <v>1</v>
      </c>
      <c r="BG63" s="18">
        <f>--ISNUMBER(SEARCH("Friends or fellow students",BA63))</f>
        <v>0</v>
      </c>
      <c r="BH63" s="18">
        <f>--ISNUMBER(SEARCH("School coursework or lectures",BA63))</f>
        <v>1</v>
      </c>
      <c r="BI63" s="18">
        <f>--ISNUMBER(SEARCH("NHIMA outreach activities or NHIMA offices",BA63))</f>
        <v>0</v>
      </c>
      <c r="BJ63" s="18">
        <f>--ISNUMBER(SEARCH("Health facility staff",BA63))</f>
        <v>1</v>
      </c>
      <c r="BK63" s="18">
        <f>--ISNUMBER(SEARCH("not received information",BA63))</f>
        <v>0</v>
      </c>
      <c r="BL63" s="18">
        <f>IF(T63="","",--(T63='Codebook'!$F$13))</f>
        <v>1</v>
      </c>
      <c r="BM63" s="18">
        <f>IF(U63="","",--(U63='Codebook'!$F$14))</f>
        <v>1</v>
      </c>
      <c r="BN63" s="18">
        <f>IF(V63="","",--(V63='Codebook'!$F$15))</f>
        <v>1</v>
      </c>
      <c r="BO63" s="18">
        <f>IF(W63="","",--(W63='Codebook'!$F$16))</f>
        <v>0</v>
      </c>
      <c r="BP63" s="18">
        <f>IF(X63="","",--(X63='Codebook'!$F$17))</f>
        <v>0</v>
      </c>
      <c r="BQ63" s="18">
        <f>IF(Y63="","",--(Y63='Codebook'!$F$18))</f>
        <v>1</v>
      </c>
      <c r="BR63" s="18">
        <f>IF(Z63="","",--(Z63='Codebook'!$F$19))</f>
        <v>0</v>
      </c>
      <c r="BS63" s="18">
        <f>IF(AA63="","",--(AA63='Codebook'!$F$20))</f>
        <v>1</v>
      </c>
      <c r="BT63" s="18">
        <f>IF(AB63="","",--(AB63='Codebook'!$F$21))</f>
        <v>0</v>
      </c>
      <c r="BU63" s="18">
        <f>IF(AC63="","",--(AC63='Codebook'!$F$22))</f>
        <v>0</v>
      </c>
      <c r="BV63" s="18">
        <f>IF(AD63="","",--(AD63='Codebook'!$F$23))</f>
        <v>1</v>
      </c>
      <c r="BW63" s="18">
        <f>IF(AE63="","",--(AE63='Codebook'!$F$24))</f>
        <v>0</v>
      </c>
      <c r="BX63" s="18">
        <f>IF(AF63="","",--(AF63='Codebook'!$F$25))</f>
        <v>0</v>
      </c>
      <c r="BY63" s="18">
        <f>IF(AG63="","",--(AG63='Codebook'!$F$26))</f>
        <v>1</v>
      </c>
      <c r="BZ63" s="18">
        <f>IF(AH63="","",--(AH63='Codebook'!$F$27))</f>
        <v>1</v>
      </c>
      <c r="CA63" s="18">
        <f>IF(AI63="","",--(AI63='Codebook'!$F$28))</f>
        <v>0</v>
      </c>
      <c r="CB63" s="18">
        <f>IF(AJ63="","",--(AJ63='Codebook'!$F$29))</f>
        <v>1</v>
      </c>
      <c r="CC63" s="18">
        <f>IF(AK63="","",--(AK63='Codebook'!$F$30))</f>
        <v>0</v>
      </c>
      <c r="CD63" s="18">
        <f>IF(AL63="","",--(AL63='Codebook'!$F$31))</f>
        <v>0</v>
      </c>
      <c r="CE63" s="18">
        <f>IF(AM63="","",--(AM63='Codebook'!$F$32))</f>
        <v>1</v>
      </c>
      <c r="CF63" s="18">
        <f>IF(AN63="","",--(AN63='Codebook'!$F$33))</f>
        <v>1</v>
      </c>
      <c r="CG63" s="18">
        <f>IF(AO63="","",--(AO63='Codebook'!$F$34))</f>
        <v>0</v>
      </c>
      <c r="CH63" s="18">
        <f>IF(AP63="","",--(AP63='Codebook'!$F$35))</f>
        <v>1</v>
      </c>
      <c r="CI63" s="18">
        <f>IF(AQ63="","",--(AQ63='Codebook'!$F$36))</f>
        <v>0</v>
      </c>
      <c r="CJ63" s="18">
        <f>IF(AR63="","",--(AR63='Codebook'!$F$37))</f>
        <v>1</v>
      </c>
      <c r="CK63" s="18">
        <f>IF(AS63="","",--(AS63='Codebook'!$F$38))</f>
        <v>0</v>
      </c>
      <c r="CL63" s="18">
        <f>IF(AT63="","",--(AT63='Codebook'!$F$39))</f>
        <v>1</v>
      </c>
      <c r="CM63" s="18">
        <f>IF(AU63="","",--(AU63='Codebook'!$F$40))</f>
        <v>0</v>
      </c>
      <c r="CN63" s="18">
        <f>IF(AV63="","",--(AV63='Codebook'!$F$41))</f>
        <v>0</v>
      </c>
      <c r="CO63" s="18">
        <f>IF(AW63="","",--(AW63='Codebook'!$F$42))</f>
        <v>1</v>
      </c>
      <c r="CP63" s="18">
        <f>IF(AX63="","",--(AX63='Codebook'!$F$43))</f>
        <v>0</v>
      </c>
      <c r="CQ63" s="18">
        <f>IF(AY63="","",--(AY63='Codebook'!$F$44))</f>
        <v>0</v>
      </c>
      <c r="CR63" s="18">
        <f>IF(AZ63="","",--(AZ63='Codebook'!$F$45))</f>
        <v>1</v>
      </c>
    </row>
    <row r="64" spans="2:96" ht="24" customHeight="1">
      <c r="B64" s="18">
        <v>59</v>
      </c>
      <c r="C64" s="23">
        <v>46281.61703777777</v>
      </c>
      <c r="D64" s="21" t="s">
        <v>266</v>
      </c>
      <c r="E64" s="21" t="s">
        <v>194</v>
      </c>
      <c r="F64" s="21" t="s">
        <v>195</v>
      </c>
      <c r="G64" s="17" t="s">
        <v>196</v>
      </c>
      <c r="H64" s="21" t="s">
        <v>207</v>
      </c>
      <c r="I64" s="18">
        <f>SUM(BL64:BU64)</f>
        <v>4</v>
      </c>
      <c r="J64" s="18">
        <f>IF(COUNT(BV64:CD64)=9,SUM(BV64:CD64),"")</f>
        <v>2</v>
      </c>
      <c r="K64" s="18">
        <f>SUM(BL64:CD64)</f>
        <v>6</v>
      </c>
      <c r="L64" s="18">
        <f>--(K64&gt;='Codebook'!$C$8)</f>
        <v>0</v>
      </c>
      <c r="M64" s="18">
        <f>--(COUNT(BL64:CD64)=19)</f>
        <v>1</v>
      </c>
      <c r="N64" s="18">
        <f>SUM(CE64:CL64)</f>
        <v>3</v>
      </c>
      <c r="O64" s="18">
        <f>SUM(CM64:CR64)</f>
        <v>4</v>
      </c>
      <c r="P64" s="18">
        <f>N64+O64</f>
        <v>7</v>
      </c>
      <c r="Q64" s="21" t="s">
        <v>197</v>
      </c>
      <c r="R64" s="17" t="s">
        <v>216</v>
      </c>
      <c r="S64" s="18">
        <f>--OR(Overview!$B$6="All",E64=Overview!$B$6)*--OR(Overview!$F$6="All",F64=Overview!$F$6)*--OR(Overview!$J$6="All",G64=Overview!$J$6)*--OR(Overview!$N$6="All",H64=Overview!$N$6)</f>
        <v>1</v>
      </c>
      <c r="T64" s="21" t="s">
        <v>26</v>
      </c>
      <c r="U64" s="21" t="s">
        <v>26</v>
      </c>
      <c r="V64" s="21" t="s">
        <v>26</v>
      </c>
      <c r="W64" s="21" t="s">
        <v>26</v>
      </c>
      <c r="X64" s="21" t="s">
        <v>26</v>
      </c>
      <c r="Y64" s="21" t="s">
        <v>22</v>
      </c>
      <c r="Z64" s="21" t="s">
        <v>26</v>
      </c>
      <c r="AA64" s="21" t="s">
        <v>26</v>
      </c>
      <c r="AB64" s="21" t="s">
        <v>26</v>
      </c>
      <c r="AC64" s="21" t="s">
        <v>22</v>
      </c>
      <c r="AD64" s="21" t="s">
        <v>22</v>
      </c>
      <c r="AE64" s="21" t="s">
        <v>26</v>
      </c>
      <c r="AF64" s="21" t="s">
        <v>198</v>
      </c>
      <c r="AG64" s="21" t="s">
        <v>198</v>
      </c>
      <c r="AH64" s="21" t="s">
        <v>26</v>
      </c>
      <c r="AI64" s="21" t="s">
        <v>22</v>
      </c>
      <c r="AJ64" s="21" t="s">
        <v>198</v>
      </c>
      <c r="AK64" s="21" t="s">
        <v>22</v>
      </c>
      <c r="AL64" s="21" t="s">
        <v>22</v>
      </c>
      <c r="AM64" s="21" t="s">
        <v>83</v>
      </c>
      <c r="AN64" s="21" t="s">
        <v>83</v>
      </c>
      <c r="AO64" s="21" t="s">
        <v>83</v>
      </c>
      <c r="AP64" s="21" t="s">
        <v>109</v>
      </c>
      <c r="AQ64" s="21" t="s">
        <v>198</v>
      </c>
      <c r="AR64" s="21" t="s">
        <v>109</v>
      </c>
      <c r="AS64" s="21" t="s">
        <v>198</v>
      </c>
      <c r="AT64" s="21" t="s">
        <v>109</v>
      </c>
      <c r="AU64" s="21" t="s">
        <v>109</v>
      </c>
      <c r="AV64" s="21" t="s">
        <v>109</v>
      </c>
      <c r="AW64" s="21" t="s">
        <v>198</v>
      </c>
      <c r="AX64" s="21" t="s">
        <v>83</v>
      </c>
      <c r="AY64" s="21" t="s">
        <v>109</v>
      </c>
      <c r="AZ64" s="21" t="s">
        <v>109</v>
      </c>
      <c r="BA64" s="17" t="s">
        <v>267</v>
      </c>
      <c r="BB64" s="17" t="s">
        <v>246</v>
      </c>
      <c r="BC64" s="18">
        <f>--ISNUMBER(SEARCH("Radio or television",BA64))</f>
        <v>0</v>
      </c>
      <c r="BD64" s="18">
        <f>--ISNUMBER(SEARCH("Newspapers or print media",BA64))</f>
        <v>0</v>
      </c>
      <c r="BE64" s="18">
        <f>--ISNUMBER(SEARCH("Social media (e.g. Facebook, WhatsApp, YouTube, X/Twitter)",BA64))</f>
        <v>1</v>
      </c>
      <c r="BF64" s="18">
        <f>--ISNUMBER(SEARCH("Family members",BA64))</f>
        <v>0</v>
      </c>
      <c r="BG64" s="18">
        <f>--ISNUMBER(SEARCH("Friends or fellow students",BA64))</f>
        <v>0</v>
      </c>
      <c r="BH64" s="18">
        <f>--ISNUMBER(SEARCH("School coursework or lectures",BA64))</f>
        <v>1</v>
      </c>
      <c r="BI64" s="18">
        <f>--ISNUMBER(SEARCH("NHIMA outreach activities or NHIMA offices",BA64))</f>
        <v>1</v>
      </c>
      <c r="BJ64" s="18">
        <f>--ISNUMBER(SEARCH("Health facility staff",BA64))</f>
        <v>0</v>
      </c>
      <c r="BK64" s="18">
        <f>--ISNUMBER(SEARCH("not received information",BA64))</f>
        <v>0</v>
      </c>
      <c r="BL64" s="18">
        <f>IF(T64="","",--(T64='Codebook'!$F$13))</f>
        <v>0</v>
      </c>
      <c r="BM64" s="18">
        <f>IF(U64="","",--(U64='Codebook'!$F$14))</f>
        <v>1</v>
      </c>
      <c r="BN64" s="18">
        <f>IF(V64="","",--(V64='Codebook'!$F$15))</f>
        <v>1</v>
      </c>
      <c r="BO64" s="18">
        <f>IF(W64="","",--(W64='Codebook'!$F$16))</f>
        <v>0</v>
      </c>
      <c r="BP64" s="18">
        <f>IF(X64="","",--(X64='Codebook'!$F$17))</f>
        <v>0</v>
      </c>
      <c r="BQ64" s="18">
        <f>IF(Y64="","",--(Y64='Codebook'!$F$18))</f>
        <v>0</v>
      </c>
      <c r="BR64" s="18">
        <f>IF(Z64="","",--(Z64='Codebook'!$F$19))</f>
        <v>0</v>
      </c>
      <c r="BS64" s="18">
        <f>IF(AA64="","",--(AA64='Codebook'!$F$20))</f>
        <v>0</v>
      </c>
      <c r="BT64" s="18">
        <f>IF(AB64="","",--(AB64='Codebook'!$F$21))</f>
        <v>1</v>
      </c>
      <c r="BU64" s="18">
        <f>IF(AC64="","",--(AC64='Codebook'!$F$22))</f>
        <v>1</v>
      </c>
      <c r="BV64" s="18">
        <f>IF(AD64="","",--(AD64='Codebook'!$F$23))</f>
        <v>1</v>
      </c>
      <c r="BW64" s="18">
        <f>IF(AE64="","",--(AE64='Codebook'!$F$24))</f>
        <v>0</v>
      </c>
      <c r="BX64" s="18">
        <f>IF(AF64="","",--(AF64='Codebook'!$F$25))</f>
        <v>0</v>
      </c>
      <c r="BY64" s="18">
        <f>IF(AG64="","",--(AG64='Codebook'!$F$26))</f>
        <v>0</v>
      </c>
      <c r="BZ64" s="18">
        <f>IF(AH64="","",--(AH64='Codebook'!$F$27))</f>
        <v>0</v>
      </c>
      <c r="CA64" s="18">
        <f>IF(AI64="","",--(AI64='Codebook'!$F$28))</f>
        <v>0</v>
      </c>
      <c r="CB64" s="18">
        <f>IF(AJ64="","",--(AJ64='Codebook'!$F$29))</f>
        <v>0</v>
      </c>
      <c r="CC64" s="18">
        <f>IF(AK64="","",--(AK64='Codebook'!$F$30))</f>
        <v>1</v>
      </c>
      <c r="CD64" s="18">
        <f>IF(AL64="","",--(AL64='Codebook'!$F$31))</f>
        <v>0</v>
      </c>
      <c r="CE64" s="18">
        <f>IF(AM64="","",--(AM64='Codebook'!$F$32))</f>
        <v>1</v>
      </c>
      <c r="CF64" s="18">
        <f>IF(AN64="","",--(AN64='Codebook'!$F$33))</f>
        <v>1</v>
      </c>
      <c r="CG64" s="18">
        <f>IF(AO64="","",--(AO64='Codebook'!$F$34))</f>
        <v>1</v>
      </c>
      <c r="CH64" s="18">
        <f>IF(AP64="","",--(AP64='Codebook'!$F$35))</f>
        <v>0</v>
      </c>
      <c r="CI64" s="18">
        <f>IF(AQ64="","",--(AQ64='Codebook'!$F$36))</f>
        <v>0</v>
      </c>
      <c r="CJ64" s="18">
        <f>IF(AR64="","",--(AR64='Codebook'!$F$37))</f>
        <v>0</v>
      </c>
      <c r="CK64" s="18">
        <f>IF(AS64="","",--(AS64='Codebook'!$F$38))</f>
        <v>0</v>
      </c>
      <c r="CL64" s="18">
        <f>IF(AT64="","",--(AT64='Codebook'!$F$39))</f>
        <v>0</v>
      </c>
      <c r="CM64" s="18">
        <f>IF(AU64="","",--(AU64='Codebook'!$F$40))</f>
        <v>1</v>
      </c>
      <c r="CN64" s="18">
        <f>IF(AV64="","",--(AV64='Codebook'!$F$41))</f>
        <v>1</v>
      </c>
      <c r="CO64" s="18">
        <f>IF(AW64="","",--(AW64='Codebook'!$F$42))</f>
        <v>0</v>
      </c>
      <c r="CP64" s="18">
        <f>IF(AX64="","",--(AX64='Codebook'!$F$43))</f>
        <v>0</v>
      </c>
      <c r="CQ64" s="18">
        <f>IF(AY64="","",--(AY64='Codebook'!$F$44))</f>
        <v>1</v>
      </c>
      <c r="CR64" s="18">
        <f>IF(AZ64="","",--(AZ64='Codebook'!$F$45))</f>
        <v>1</v>
      </c>
    </row>
    <row r="65" spans="2:96" ht="24" customHeight="1">
      <c r="B65" s="18">
        <v>60</v>
      </c>
      <c r="C65" s="23">
        <v>46281.61866252315</v>
      </c>
      <c r="D65" s="21" t="s">
        <v>268</v>
      </c>
      <c r="E65" s="21" t="s">
        <v>194</v>
      </c>
      <c r="F65" s="21" t="s">
        <v>195</v>
      </c>
      <c r="G65" s="17" t="s">
        <v>202</v>
      </c>
      <c r="H65" s="21" t="s">
        <v>197</v>
      </c>
      <c r="I65" s="18">
        <f>SUM(BL65:BU65)</f>
        <v>7</v>
      </c>
      <c r="J65" s="18">
        <f>IF(COUNT(BV65:CD65)=9,SUM(BV65:CD65),"")</f>
        <v>3</v>
      </c>
      <c r="K65" s="18">
        <f>SUM(BL65:CD65)</f>
        <v>10</v>
      </c>
      <c r="L65" s="18">
        <f>--(K65&gt;='Codebook'!$C$8)</f>
        <v>0</v>
      </c>
      <c r="M65" s="18">
        <f>--(COUNT(BL65:CD65)=19)</f>
        <v>1</v>
      </c>
      <c r="N65" s="18">
        <f>SUM(CE65:CL65)</f>
        <v>4</v>
      </c>
      <c r="O65" s="18">
        <f>SUM(CM65:CR65)</f>
        <v>5</v>
      </c>
      <c r="P65" s="18">
        <f>N65+O65</f>
        <v>9</v>
      </c>
      <c r="Q65" s="21" t="s">
        <v>197</v>
      </c>
      <c r="R65" s="17" t="s">
        <v>216</v>
      </c>
      <c r="S65" s="18">
        <f>--OR(Overview!$B$6="All",E65=Overview!$B$6)*--OR(Overview!$F$6="All",F65=Overview!$F$6)*--OR(Overview!$J$6="All",G65=Overview!$J$6)*--OR(Overview!$N$6="All",H65=Overview!$N$6)</f>
        <v>1</v>
      </c>
      <c r="T65" s="21" t="s">
        <v>22</v>
      </c>
      <c r="U65" s="21" t="s">
        <v>22</v>
      </c>
      <c r="V65" s="21" t="s">
        <v>22</v>
      </c>
      <c r="W65" s="21" t="s">
        <v>22</v>
      </c>
      <c r="X65" s="21" t="s">
        <v>22</v>
      </c>
      <c r="Y65" s="21" t="s">
        <v>26</v>
      </c>
      <c r="Z65" s="21" t="s">
        <v>22</v>
      </c>
      <c r="AA65" s="21" t="s">
        <v>22</v>
      </c>
      <c r="AB65" s="21" t="s">
        <v>26</v>
      </c>
      <c r="AC65" s="21" t="s">
        <v>26</v>
      </c>
      <c r="AD65" s="21" t="s">
        <v>26</v>
      </c>
      <c r="AE65" s="21" t="s">
        <v>26</v>
      </c>
      <c r="AF65" s="21" t="s">
        <v>26</v>
      </c>
      <c r="AG65" s="21" t="s">
        <v>26</v>
      </c>
      <c r="AH65" s="21" t="s">
        <v>26</v>
      </c>
      <c r="AI65" s="21" t="s">
        <v>26</v>
      </c>
      <c r="AJ65" s="21" t="s">
        <v>26</v>
      </c>
      <c r="AK65" s="21" t="s">
        <v>26</v>
      </c>
      <c r="AL65" s="21" t="s">
        <v>22</v>
      </c>
      <c r="AM65" s="21" t="s">
        <v>83</v>
      </c>
      <c r="AN65" s="21" t="s">
        <v>83</v>
      </c>
      <c r="AO65" s="21" t="s">
        <v>109</v>
      </c>
      <c r="AP65" s="21" t="s">
        <v>83</v>
      </c>
      <c r="AQ65" s="21" t="s">
        <v>109</v>
      </c>
      <c r="AR65" s="21" t="s">
        <v>109</v>
      </c>
      <c r="AS65" s="21" t="s">
        <v>83</v>
      </c>
      <c r="AT65" s="21" t="s">
        <v>109</v>
      </c>
      <c r="AU65" s="21" t="s">
        <v>109</v>
      </c>
      <c r="AV65" s="21" t="s">
        <v>83</v>
      </c>
      <c r="AW65" s="21" t="s">
        <v>109</v>
      </c>
      <c r="AX65" s="21" t="s">
        <v>109</v>
      </c>
      <c r="AY65" s="21" t="s">
        <v>109</v>
      </c>
      <c r="AZ65" s="21" t="s">
        <v>109</v>
      </c>
      <c r="BA65" s="17" t="s">
        <v>269</v>
      </c>
      <c r="BB65" s="17" t="s">
        <v>269</v>
      </c>
      <c r="BC65" s="18">
        <f>--ISNUMBER(SEARCH("Radio or television",BA65))</f>
        <v>1</v>
      </c>
      <c r="BD65" s="18">
        <f>--ISNUMBER(SEARCH("Newspapers or print media",BA65))</f>
        <v>1</v>
      </c>
      <c r="BE65" s="18">
        <f>--ISNUMBER(SEARCH("Social media (e.g. Facebook, WhatsApp, YouTube, X/Twitter)",BA65))</f>
        <v>1</v>
      </c>
      <c r="BF65" s="18">
        <f>--ISNUMBER(SEARCH("Family members",BA65))</f>
        <v>0</v>
      </c>
      <c r="BG65" s="18">
        <f>--ISNUMBER(SEARCH("Friends or fellow students",BA65))</f>
        <v>0</v>
      </c>
      <c r="BH65" s="18">
        <f>--ISNUMBER(SEARCH("School coursework or lectures",BA65))</f>
        <v>0</v>
      </c>
      <c r="BI65" s="18">
        <f>--ISNUMBER(SEARCH("NHIMA outreach activities or NHIMA offices",BA65))</f>
        <v>0</v>
      </c>
      <c r="BJ65" s="18">
        <f>--ISNUMBER(SEARCH("Health facility staff",BA65))</f>
        <v>0</v>
      </c>
      <c r="BK65" s="18">
        <f>--ISNUMBER(SEARCH("not received information",BA65))</f>
        <v>0</v>
      </c>
      <c r="BL65" s="18">
        <f>IF(T65="","",--(T65='Codebook'!$F$13))</f>
        <v>1</v>
      </c>
      <c r="BM65" s="18">
        <f>IF(U65="","",--(U65='Codebook'!$F$14))</f>
        <v>0</v>
      </c>
      <c r="BN65" s="18">
        <f>IF(V65="","",--(V65='Codebook'!$F$15))</f>
        <v>0</v>
      </c>
      <c r="BO65" s="18">
        <f>IF(W65="","",--(W65='Codebook'!$F$16))</f>
        <v>1</v>
      </c>
      <c r="BP65" s="18">
        <f>IF(X65="","",--(X65='Codebook'!$F$17))</f>
        <v>1</v>
      </c>
      <c r="BQ65" s="18">
        <f>IF(Y65="","",--(Y65='Codebook'!$F$18))</f>
        <v>1</v>
      </c>
      <c r="BR65" s="18">
        <f>IF(Z65="","",--(Z65='Codebook'!$F$19))</f>
        <v>1</v>
      </c>
      <c r="BS65" s="18">
        <f>IF(AA65="","",--(AA65='Codebook'!$F$20))</f>
        <v>1</v>
      </c>
      <c r="BT65" s="18">
        <f>IF(AB65="","",--(AB65='Codebook'!$F$21))</f>
        <v>1</v>
      </c>
      <c r="BU65" s="18">
        <f>IF(AC65="","",--(AC65='Codebook'!$F$22))</f>
        <v>0</v>
      </c>
      <c r="BV65" s="18">
        <f>IF(AD65="","",--(AD65='Codebook'!$F$23))</f>
        <v>0</v>
      </c>
      <c r="BW65" s="18">
        <f>IF(AE65="","",--(AE65='Codebook'!$F$24))</f>
        <v>0</v>
      </c>
      <c r="BX65" s="18">
        <f>IF(AF65="","",--(AF65='Codebook'!$F$25))</f>
        <v>1</v>
      </c>
      <c r="BY65" s="18">
        <f>IF(AG65="","",--(AG65='Codebook'!$F$26))</f>
        <v>0</v>
      </c>
      <c r="BZ65" s="18">
        <f>IF(AH65="","",--(AH65='Codebook'!$F$27))</f>
        <v>0</v>
      </c>
      <c r="CA65" s="18">
        <f>IF(AI65="","",--(AI65='Codebook'!$F$28))</f>
        <v>1</v>
      </c>
      <c r="CB65" s="18">
        <f>IF(AJ65="","",--(AJ65='Codebook'!$F$29))</f>
        <v>1</v>
      </c>
      <c r="CC65" s="18">
        <f>IF(AK65="","",--(AK65='Codebook'!$F$30))</f>
        <v>0</v>
      </c>
      <c r="CD65" s="18">
        <f>IF(AL65="","",--(AL65='Codebook'!$F$31))</f>
        <v>0</v>
      </c>
      <c r="CE65" s="18">
        <f>IF(AM65="","",--(AM65='Codebook'!$F$32))</f>
        <v>1</v>
      </c>
      <c r="CF65" s="18">
        <f>IF(AN65="","",--(AN65='Codebook'!$F$33))</f>
        <v>1</v>
      </c>
      <c r="CG65" s="18">
        <f>IF(AO65="","",--(AO65='Codebook'!$F$34))</f>
        <v>0</v>
      </c>
      <c r="CH65" s="18">
        <f>IF(AP65="","",--(AP65='Codebook'!$F$35))</f>
        <v>1</v>
      </c>
      <c r="CI65" s="18">
        <f>IF(AQ65="","",--(AQ65='Codebook'!$F$36))</f>
        <v>0</v>
      </c>
      <c r="CJ65" s="18">
        <f>IF(AR65="","",--(AR65='Codebook'!$F$37))</f>
        <v>0</v>
      </c>
      <c r="CK65" s="18">
        <f>IF(AS65="","",--(AS65='Codebook'!$F$38))</f>
        <v>1</v>
      </c>
      <c r="CL65" s="18">
        <f>IF(AT65="","",--(AT65='Codebook'!$F$39))</f>
        <v>0</v>
      </c>
      <c r="CM65" s="18">
        <f>IF(AU65="","",--(AU65='Codebook'!$F$40))</f>
        <v>1</v>
      </c>
      <c r="CN65" s="18">
        <f>IF(AV65="","",--(AV65='Codebook'!$F$41))</f>
        <v>0</v>
      </c>
      <c r="CO65" s="18">
        <f>IF(AW65="","",--(AW65='Codebook'!$F$42))</f>
        <v>1</v>
      </c>
      <c r="CP65" s="18">
        <f>IF(AX65="","",--(AX65='Codebook'!$F$43))</f>
        <v>1</v>
      </c>
      <c r="CQ65" s="18">
        <f>IF(AY65="","",--(AY65='Codebook'!$F$44))</f>
        <v>1</v>
      </c>
      <c r="CR65" s="18">
        <f>IF(AZ65="","",--(AZ65='Codebook'!$F$45))</f>
        <v>1</v>
      </c>
    </row>
    <row r="66" spans="2:96" ht="24" customHeight="1">
      <c r="B66" s="18">
        <v>61</v>
      </c>
      <c r="C66" s="23">
        <v>46282.37536306713</v>
      </c>
      <c r="D66" s="21" t="s">
        <v>270</v>
      </c>
      <c r="E66" s="21" t="s">
        <v>206</v>
      </c>
      <c r="F66" s="21" t="s">
        <v>195</v>
      </c>
      <c r="G66" s="17" t="s">
        <v>202</v>
      </c>
      <c r="H66" s="21" t="s">
        <v>207</v>
      </c>
      <c r="I66" s="18">
        <f>SUM(BL66:BU66)</f>
        <v>9</v>
      </c>
      <c r="J66" s="18">
        <f>IF(COUNT(BV66:CD66)=9,SUM(BV66:CD66),"")</f>
        <v>5</v>
      </c>
      <c r="K66" s="18">
        <f>SUM(BL66:CD66)</f>
        <v>14</v>
      </c>
      <c r="L66" s="18">
        <f>--(K66&gt;='Codebook'!$C$8)</f>
        <v>1</v>
      </c>
      <c r="M66" s="18">
        <f>--(COUNT(BL66:CD66)=19)</f>
        <v>1</v>
      </c>
      <c r="N66" s="18">
        <f>SUM(CE66:CL66)</f>
        <v>8</v>
      </c>
      <c r="O66" s="18">
        <f>SUM(CM66:CR66)</f>
        <v>3</v>
      </c>
      <c r="P66" s="18">
        <f>N66+O66</f>
        <v>11</v>
      </c>
      <c r="Q66" s="21" t="s">
        <v>197</v>
      </c>
      <c r="R66" s="17" t="s">
        <v>216</v>
      </c>
      <c r="S66" s="18">
        <f>--OR(Overview!$B$6="All",E66=Overview!$B$6)*--OR(Overview!$F$6="All",F66=Overview!$F$6)*--OR(Overview!$J$6="All",G66=Overview!$J$6)*--OR(Overview!$N$6="All",H66=Overview!$N$6)</f>
        <v>1</v>
      </c>
      <c r="T66" s="21" t="s">
        <v>22</v>
      </c>
      <c r="U66" s="21" t="s">
        <v>26</v>
      </c>
      <c r="V66" s="21" t="s">
        <v>26</v>
      </c>
      <c r="W66" s="21" t="s">
        <v>22</v>
      </c>
      <c r="X66" s="21" t="s">
        <v>22</v>
      </c>
      <c r="Y66" s="21" t="s">
        <v>26</v>
      </c>
      <c r="Z66" s="21" t="s">
        <v>22</v>
      </c>
      <c r="AA66" s="21" t="s">
        <v>22</v>
      </c>
      <c r="AB66" s="21" t="s">
        <v>26</v>
      </c>
      <c r="AC66" s="21" t="s">
        <v>198</v>
      </c>
      <c r="AD66" s="21" t="s">
        <v>198</v>
      </c>
      <c r="AE66" s="21" t="s">
        <v>198</v>
      </c>
      <c r="AF66" s="21" t="s">
        <v>26</v>
      </c>
      <c r="AG66" s="21" t="s">
        <v>198</v>
      </c>
      <c r="AH66" s="21" t="s">
        <v>22</v>
      </c>
      <c r="AI66" s="21" t="s">
        <v>26</v>
      </c>
      <c r="AJ66" s="21" t="s">
        <v>26</v>
      </c>
      <c r="AK66" s="21" t="s">
        <v>198</v>
      </c>
      <c r="AL66" s="21" t="s">
        <v>26</v>
      </c>
      <c r="AM66" s="21" t="s">
        <v>83</v>
      </c>
      <c r="AN66" s="21" t="s">
        <v>83</v>
      </c>
      <c r="AO66" s="21" t="s">
        <v>83</v>
      </c>
      <c r="AP66" s="21" t="s">
        <v>83</v>
      </c>
      <c r="AQ66" s="21" t="s">
        <v>83</v>
      </c>
      <c r="AR66" s="21" t="s">
        <v>83</v>
      </c>
      <c r="AS66" s="21" t="s">
        <v>83</v>
      </c>
      <c r="AT66" s="21" t="s">
        <v>83</v>
      </c>
      <c r="AU66" s="21" t="s">
        <v>109</v>
      </c>
      <c r="AV66" s="21" t="s">
        <v>198</v>
      </c>
      <c r="AW66" s="21" t="s">
        <v>198</v>
      </c>
      <c r="AX66" s="21" t="s">
        <v>198</v>
      </c>
      <c r="AY66" s="21" t="s">
        <v>109</v>
      </c>
      <c r="AZ66" s="21" t="s">
        <v>109</v>
      </c>
      <c r="BA66" s="17" t="s">
        <v>264</v>
      </c>
      <c r="BB66" s="17" t="s">
        <v>246</v>
      </c>
      <c r="BC66" s="18">
        <f>--ISNUMBER(SEARCH("Radio or television",BA66))</f>
        <v>1</v>
      </c>
      <c r="BD66" s="18">
        <f>--ISNUMBER(SEARCH("Newspapers or print media",BA66))</f>
        <v>0</v>
      </c>
      <c r="BE66" s="18">
        <f>--ISNUMBER(SEARCH("Social media (e.g. Facebook, WhatsApp, YouTube, X/Twitter)",BA66))</f>
        <v>1</v>
      </c>
      <c r="BF66" s="18">
        <f>--ISNUMBER(SEARCH("Family members",BA66))</f>
        <v>1</v>
      </c>
      <c r="BG66" s="18">
        <f>--ISNUMBER(SEARCH("Friends or fellow students",BA66))</f>
        <v>1</v>
      </c>
      <c r="BH66" s="18">
        <f>--ISNUMBER(SEARCH("School coursework or lectures",BA66))</f>
        <v>0</v>
      </c>
      <c r="BI66" s="18">
        <f>--ISNUMBER(SEARCH("NHIMA outreach activities or NHIMA offices",BA66))</f>
        <v>0</v>
      </c>
      <c r="BJ66" s="18">
        <f>--ISNUMBER(SEARCH("Health facility staff",BA66))</f>
        <v>0</v>
      </c>
      <c r="BK66" s="18">
        <f>--ISNUMBER(SEARCH("not received information",BA66))</f>
        <v>0</v>
      </c>
      <c r="BL66" s="18">
        <f>IF(T66="","",--(T66='Codebook'!$F$13))</f>
        <v>1</v>
      </c>
      <c r="BM66" s="18">
        <f>IF(U66="","",--(U66='Codebook'!$F$14))</f>
        <v>1</v>
      </c>
      <c r="BN66" s="18">
        <f>IF(V66="","",--(V66='Codebook'!$F$15))</f>
        <v>1</v>
      </c>
      <c r="BO66" s="18">
        <f>IF(W66="","",--(W66='Codebook'!$F$16))</f>
        <v>1</v>
      </c>
      <c r="BP66" s="18">
        <f>IF(X66="","",--(X66='Codebook'!$F$17))</f>
        <v>1</v>
      </c>
      <c r="BQ66" s="18">
        <f>IF(Y66="","",--(Y66='Codebook'!$F$18))</f>
        <v>1</v>
      </c>
      <c r="BR66" s="18">
        <f>IF(Z66="","",--(Z66='Codebook'!$F$19))</f>
        <v>1</v>
      </c>
      <c r="BS66" s="18">
        <f>IF(AA66="","",--(AA66='Codebook'!$F$20))</f>
        <v>1</v>
      </c>
      <c r="BT66" s="18">
        <f>IF(AB66="","",--(AB66='Codebook'!$F$21))</f>
        <v>1</v>
      </c>
      <c r="BU66" s="18">
        <f>IF(AC66="","",--(AC66='Codebook'!$F$22))</f>
        <v>0</v>
      </c>
      <c r="BV66" s="18">
        <f>IF(AD66="","",--(AD66='Codebook'!$F$23))</f>
        <v>0</v>
      </c>
      <c r="BW66" s="18">
        <f>IF(AE66="","",--(AE66='Codebook'!$F$24))</f>
        <v>0</v>
      </c>
      <c r="BX66" s="18">
        <f>IF(AF66="","",--(AF66='Codebook'!$F$25))</f>
        <v>1</v>
      </c>
      <c r="BY66" s="18">
        <f>IF(AG66="","",--(AG66='Codebook'!$F$26))</f>
        <v>0</v>
      </c>
      <c r="BZ66" s="18">
        <f>IF(AH66="","",--(AH66='Codebook'!$F$27))</f>
        <v>1</v>
      </c>
      <c r="CA66" s="18">
        <f>IF(AI66="","",--(AI66='Codebook'!$F$28))</f>
        <v>1</v>
      </c>
      <c r="CB66" s="18">
        <f>IF(AJ66="","",--(AJ66='Codebook'!$F$29))</f>
        <v>1</v>
      </c>
      <c r="CC66" s="18">
        <f>IF(AK66="","",--(AK66='Codebook'!$F$30))</f>
        <v>0</v>
      </c>
      <c r="CD66" s="18">
        <f>IF(AL66="","",--(AL66='Codebook'!$F$31))</f>
        <v>1</v>
      </c>
      <c r="CE66" s="18">
        <f>IF(AM66="","",--(AM66='Codebook'!$F$32))</f>
        <v>1</v>
      </c>
      <c r="CF66" s="18">
        <f>IF(AN66="","",--(AN66='Codebook'!$F$33))</f>
        <v>1</v>
      </c>
      <c r="CG66" s="18">
        <f>IF(AO66="","",--(AO66='Codebook'!$F$34))</f>
        <v>1</v>
      </c>
      <c r="CH66" s="18">
        <f>IF(AP66="","",--(AP66='Codebook'!$F$35))</f>
        <v>1</v>
      </c>
      <c r="CI66" s="18">
        <f>IF(AQ66="","",--(AQ66='Codebook'!$F$36))</f>
        <v>1</v>
      </c>
      <c r="CJ66" s="18">
        <f>IF(AR66="","",--(AR66='Codebook'!$F$37))</f>
        <v>1</v>
      </c>
      <c r="CK66" s="18">
        <f>IF(AS66="","",--(AS66='Codebook'!$F$38))</f>
        <v>1</v>
      </c>
      <c r="CL66" s="18">
        <f>IF(AT66="","",--(AT66='Codebook'!$F$39))</f>
        <v>1</v>
      </c>
      <c r="CM66" s="18">
        <f>IF(AU66="","",--(AU66='Codebook'!$F$40))</f>
        <v>1</v>
      </c>
      <c r="CN66" s="18">
        <f>IF(AV66="","",--(AV66='Codebook'!$F$41))</f>
        <v>0</v>
      </c>
      <c r="CO66" s="18">
        <f>IF(AW66="","",--(AW66='Codebook'!$F$42))</f>
        <v>0</v>
      </c>
      <c r="CP66" s="18">
        <f>IF(AX66="","",--(AX66='Codebook'!$F$43))</f>
        <v>0</v>
      </c>
      <c r="CQ66" s="18">
        <f>IF(AY66="","",--(AY66='Codebook'!$F$44))</f>
        <v>1</v>
      </c>
      <c r="CR66" s="18">
        <f>IF(AZ66="","",--(AZ66='Codebook'!$F$45))</f>
        <v>1</v>
      </c>
    </row>
    <row r="67" spans="2:96" ht="24" customHeight="1">
      <c r="B67" s="18">
        <v>62</v>
      </c>
      <c r="C67" s="23">
        <v>46282.51127370371</v>
      </c>
      <c r="D67" s="21" t="s">
        <v>268</v>
      </c>
      <c r="E67" s="21" t="s">
        <v>194</v>
      </c>
      <c r="F67" s="21" t="s">
        <v>195</v>
      </c>
      <c r="G67" s="17" t="s">
        <v>196</v>
      </c>
      <c r="H67" s="21" t="s">
        <v>207</v>
      </c>
      <c r="I67" s="18">
        <f>SUM(BL67:BU67)</f>
        <v>6</v>
      </c>
      <c r="J67" s="18">
        <f>IF(COUNT(BV67:CD67)=9,SUM(BV67:CD67),"")</f>
        <v>4</v>
      </c>
      <c r="K67" s="18">
        <f>SUM(BL67:CD67)</f>
        <v>10</v>
      </c>
      <c r="L67" s="18">
        <f>--(K67&gt;='Codebook'!$C$8)</f>
        <v>0</v>
      </c>
      <c r="M67" s="18">
        <f>--(COUNT(BL67:CD67)=19)</f>
        <v>1</v>
      </c>
      <c r="N67" s="18">
        <f>SUM(CE67:CL67)</f>
        <v>4</v>
      </c>
      <c r="O67" s="18">
        <f>SUM(CM67:CR67)</f>
        <v>3</v>
      </c>
      <c r="P67" s="18">
        <f>N67+O67</f>
        <v>7</v>
      </c>
      <c r="Q67" s="21" t="s">
        <v>198</v>
      </c>
      <c r="R67" s="17" t="s">
        <v>216</v>
      </c>
      <c r="S67" s="18">
        <f>--OR(Overview!$B$6="All",E67=Overview!$B$6)*--OR(Overview!$F$6="All",F67=Overview!$F$6)*--OR(Overview!$J$6="All",G67=Overview!$J$6)*--OR(Overview!$N$6="All",H67=Overview!$N$6)</f>
        <v>1</v>
      </c>
      <c r="T67" s="21" t="s">
        <v>22</v>
      </c>
      <c r="U67" s="21" t="s">
        <v>22</v>
      </c>
      <c r="V67" s="21" t="s">
        <v>22</v>
      </c>
      <c r="W67" s="21" t="s">
        <v>22</v>
      </c>
      <c r="X67" s="21" t="s">
        <v>22</v>
      </c>
      <c r="Y67" s="21" t="s">
        <v>22</v>
      </c>
      <c r="Z67" s="21" t="s">
        <v>22</v>
      </c>
      <c r="AA67" s="21" t="s">
        <v>22</v>
      </c>
      <c r="AB67" s="21" t="s">
        <v>22</v>
      </c>
      <c r="AC67" s="21" t="s">
        <v>22</v>
      </c>
      <c r="AD67" s="21" t="s">
        <v>22</v>
      </c>
      <c r="AE67" s="21" t="s">
        <v>198</v>
      </c>
      <c r="AF67" s="21" t="s">
        <v>22</v>
      </c>
      <c r="AG67" s="21" t="s">
        <v>22</v>
      </c>
      <c r="AH67" s="21" t="s">
        <v>22</v>
      </c>
      <c r="AI67" s="21" t="s">
        <v>22</v>
      </c>
      <c r="AJ67" s="21" t="s">
        <v>22</v>
      </c>
      <c r="AK67" s="21" t="s">
        <v>22</v>
      </c>
      <c r="AL67" s="21" t="s">
        <v>22</v>
      </c>
      <c r="AM67" s="21" t="s">
        <v>83</v>
      </c>
      <c r="AN67" s="21" t="s">
        <v>83</v>
      </c>
      <c r="AO67" s="21" t="s">
        <v>109</v>
      </c>
      <c r="AP67" s="21" t="s">
        <v>109</v>
      </c>
      <c r="AQ67" s="21" t="s">
        <v>109</v>
      </c>
      <c r="AR67" s="21" t="s">
        <v>83</v>
      </c>
      <c r="AS67" s="21" t="s">
        <v>83</v>
      </c>
      <c r="AT67" s="21" t="s">
        <v>109</v>
      </c>
      <c r="AU67" s="21" t="s">
        <v>109</v>
      </c>
      <c r="AV67" s="21" t="s">
        <v>83</v>
      </c>
      <c r="AW67" s="21" t="s">
        <v>83</v>
      </c>
      <c r="AX67" s="21" t="s">
        <v>109</v>
      </c>
      <c r="AY67" s="21" t="s">
        <v>83</v>
      </c>
      <c r="AZ67" s="21" t="s">
        <v>109</v>
      </c>
      <c r="BA67" s="17" t="s">
        <v>236</v>
      </c>
      <c r="BB67" s="17" t="s">
        <v>271</v>
      </c>
      <c r="BC67" s="18">
        <f>--ISNUMBER(SEARCH("Radio or television",BA67))</f>
        <v>1</v>
      </c>
      <c r="BD67" s="18">
        <f>--ISNUMBER(SEARCH("Newspapers or print media",BA67))</f>
        <v>1</v>
      </c>
      <c r="BE67" s="18">
        <f>--ISNUMBER(SEARCH("Social media (e.g. Facebook, WhatsApp, YouTube, X/Twitter)",BA67))</f>
        <v>1</v>
      </c>
      <c r="BF67" s="18">
        <f>--ISNUMBER(SEARCH("Family members",BA67))</f>
        <v>1</v>
      </c>
      <c r="BG67" s="18">
        <f>--ISNUMBER(SEARCH("Friends or fellow students",BA67))</f>
        <v>1</v>
      </c>
      <c r="BH67" s="18">
        <f>--ISNUMBER(SEARCH("School coursework or lectures",BA67))</f>
        <v>0</v>
      </c>
      <c r="BI67" s="18">
        <f>--ISNUMBER(SEARCH("NHIMA outreach activities or NHIMA offices",BA67))</f>
        <v>0</v>
      </c>
      <c r="BJ67" s="18">
        <f>--ISNUMBER(SEARCH("Health facility staff",BA67))</f>
        <v>0</v>
      </c>
      <c r="BK67" s="18">
        <f>--ISNUMBER(SEARCH("not received information",BA67))</f>
        <v>0</v>
      </c>
      <c r="BL67" s="18">
        <f>IF(T67="","",--(T67='Codebook'!$F$13))</f>
        <v>1</v>
      </c>
      <c r="BM67" s="18">
        <f>IF(U67="","",--(U67='Codebook'!$F$14))</f>
        <v>0</v>
      </c>
      <c r="BN67" s="18">
        <f>IF(V67="","",--(V67='Codebook'!$F$15))</f>
        <v>0</v>
      </c>
      <c r="BO67" s="18">
        <f>IF(W67="","",--(W67='Codebook'!$F$16))</f>
        <v>1</v>
      </c>
      <c r="BP67" s="18">
        <f>IF(X67="","",--(X67='Codebook'!$F$17))</f>
        <v>1</v>
      </c>
      <c r="BQ67" s="18">
        <f>IF(Y67="","",--(Y67='Codebook'!$F$18))</f>
        <v>0</v>
      </c>
      <c r="BR67" s="18">
        <f>IF(Z67="","",--(Z67='Codebook'!$F$19))</f>
        <v>1</v>
      </c>
      <c r="BS67" s="18">
        <f>IF(AA67="","",--(AA67='Codebook'!$F$20))</f>
        <v>1</v>
      </c>
      <c r="BT67" s="18">
        <f>IF(AB67="","",--(AB67='Codebook'!$F$21))</f>
        <v>0</v>
      </c>
      <c r="BU67" s="18">
        <f>IF(AC67="","",--(AC67='Codebook'!$F$22))</f>
        <v>1</v>
      </c>
      <c r="BV67" s="18">
        <f>IF(AD67="","",--(AD67='Codebook'!$F$23))</f>
        <v>1</v>
      </c>
      <c r="BW67" s="18">
        <f>IF(AE67="","",--(AE67='Codebook'!$F$24))</f>
        <v>0</v>
      </c>
      <c r="BX67" s="18">
        <f>IF(AF67="","",--(AF67='Codebook'!$F$25))</f>
        <v>0</v>
      </c>
      <c r="BY67" s="18">
        <f>IF(AG67="","",--(AG67='Codebook'!$F$26))</f>
        <v>1</v>
      </c>
      <c r="BZ67" s="18">
        <f>IF(AH67="","",--(AH67='Codebook'!$F$27))</f>
        <v>1</v>
      </c>
      <c r="CA67" s="18">
        <f>IF(AI67="","",--(AI67='Codebook'!$F$28))</f>
        <v>0</v>
      </c>
      <c r="CB67" s="18">
        <f>IF(AJ67="","",--(AJ67='Codebook'!$F$29))</f>
        <v>0</v>
      </c>
      <c r="CC67" s="18">
        <f>IF(AK67="","",--(AK67='Codebook'!$F$30))</f>
        <v>1</v>
      </c>
      <c r="CD67" s="18">
        <f>IF(AL67="","",--(AL67='Codebook'!$F$31))</f>
        <v>0</v>
      </c>
      <c r="CE67" s="18">
        <f>IF(AM67="","",--(AM67='Codebook'!$F$32))</f>
        <v>1</v>
      </c>
      <c r="CF67" s="18">
        <f>IF(AN67="","",--(AN67='Codebook'!$F$33))</f>
        <v>1</v>
      </c>
      <c r="CG67" s="18">
        <f>IF(AO67="","",--(AO67='Codebook'!$F$34))</f>
        <v>0</v>
      </c>
      <c r="CH67" s="18">
        <f>IF(AP67="","",--(AP67='Codebook'!$F$35))</f>
        <v>0</v>
      </c>
      <c r="CI67" s="18">
        <f>IF(AQ67="","",--(AQ67='Codebook'!$F$36))</f>
        <v>0</v>
      </c>
      <c r="CJ67" s="18">
        <f>IF(AR67="","",--(AR67='Codebook'!$F$37))</f>
        <v>1</v>
      </c>
      <c r="CK67" s="18">
        <f>IF(AS67="","",--(AS67='Codebook'!$F$38))</f>
        <v>1</v>
      </c>
      <c r="CL67" s="18">
        <f>IF(AT67="","",--(AT67='Codebook'!$F$39))</f>
        <v>0</v>
      </c>
      <c r="CM67" s="18">
        <f>IF(AU67="","",--(AU67='Codebook'!$F$40))</f>
        <v>1</v>
      </c>
      <c r="CN67" s="18">
        <f>IF(AV67="","",--(AV67='Codebook'!$F$41))</f>
        <v>0</v>
      </c>
      <c r="CO67" s="18">
        <f>IF(AW67="","",--(AW67='Codebook'!$F$42))</f>
        <v>0</v>
      </c>
      <c r="CP67" s="18">
        <f>IF(AX67="","",--(AX67='Codebook'!$F$43))</f>
        <v>1</v>
      </c>
      <c r="CQ67" s="18">
        <f>IF(AY67="","",--(AY67='Codebook'!$F$44))</f>
        <v>0</v>
      </c>
      <c r="CR67" s="18">
        <f>IF(AZ67="","",--(AZ67='Codebook'!$F$45))</f>
        <v>1</v>
      </c>
    </row>
    <row r="68" spans="2:96" ht="24" customHeight="1">
      <c r="B68" s="18">
        <v>63</v>
      </c>
      <c r="C68" s="23">
        <v>46282.51204519676</v>
      </c>
      <c r="D68" s="21" t="s">
        <v>272</v>
      </c>
      <c r="E68" s="21" t="s">
        <v>206</v>
      </c>
      <c r="F68" s="21" t="s">
        <v>201</v>
      </c>
      <c r="G68" s="17" t="s">
        <v>247</v>
      </c>
      <c r="H68" s="21" t="s">
        <v>207</v>
      </c>
      <c r="I68" s="18">
        <f>SUM(BL68:BU68)</f>
        <v>4</v>
      </c>
      <c r="J68" s="18">
        <f>IF(COUNT(BV68:CD68)=9,SUM(BV68:CD68),"")</f>
        <v>3</v>
      </c>
      <c r="K68" s="18">
        <f>SUM(BL68:CD68)</f>
        <v>7</v>
      </c>
      <c r="L68" s="18">
        <f>--(K68&gt;='Codebook'!$C$8)</f>
        <v>0</v>
      </c>
      <c r="M68" s="18">
        <f>--(COUNT(BL68:CD68)=19)</f>
        <v>1</v>
      </c>
      <c r="N68" s="18">
        <f>SUM(CE68:CL68)</f>
        <v>4</v>
      </c>
      <c r="O68" s="18">
        <f>SUM(CM68:CR68)</f>
        <v>2</v>
      </c>
      <c r="P68" s="18">
        <f>N68+O68</f>
        <v>6</v>
      </c>
      <c r="Q68" s="21" t="s">
        <v>197</v>
      </c>
      <c r="R68" s="17" t="s">
        <v>216</v>
      </c>
      <c r="S68" s="18">
        <f>--OR(Overview!$B$6="All",E68=Overview!$B$6)*--OR(Overview!$F$6="All",F68=Overview!$F$6)*--OR(Overview!$J$6="All",G68=Overview!$J$6)*--OR(Overview!$N$6="All",H68=Overview!$N$6)</f>
        <v>1</v>
      </c>
      <c r="T68" s="21" t="s">
        <v>22</v>
      </c>
      <c r="U68" s="21" t="s">
        <v>22</v>
      </c>
      <c r="V68" s="21" t="s">
        <v>22</v>
      </c>
      <c r="W68" s="21" t="s">
        <v>22</v>
      </c>
      <c r="X68" s="21" t="s">
        <v>22</v>
      </c>
      <c r="Y68" s="21" t="s">
        <v>22</v>
      </c>
      <c r="Z68" s="21" t="s">
        <v>26</v>
      </c>
      <c r="AA68" s="21" t="s">
        <v>22</v>
      </c>
      <c r="AB68" s="21" t="s">
        <v>22</v>
      </c>
      <c r="AC68" s="21" t="s">
        <v>26</v>
      </c>
      <c r="AD68" s="21" t="s">
        <v>26</v>
      </c>
      <c r="AE68" s="21" t="s">
        <v>198</v>
      </c>
      <c r="AF68" s="21" t="s">
        <v>26</v>
      </c>
      <c r="AG68" s="21" t="s">
        <v>26</v>
      </c>
      <c r="AH68" s="21" t="s">
        <v>22</v>
      </c>
      <c r="AI68" s="21" t="s">
        <v>22</v>
      </c>
      <c r="AJ68" s="21" t="s">
        <v>22</v>
      </c>
      <c r="AK68" s="21" t="s">
        <v>22</v>
      </c>
      <c r="AL68" s="21" t="s">
        <v>22</v>
      </c>
      <c r="AM68" s="21" t="s">
        <v>83</v>
      </c>
      <c r="AN68" s="21" t="s">
        <v>109</v>
      </c>
      <c r="AO68" s="21" t="s">
        <v>109</v>
      </c>
      <c r="AP68" s="21" t="s">
        <v>109</v>
      </c>
      <c r="AQ68" s="21" t="s">
        <v>109</v>
      </c>
      <c r="AR68" s="21" t="s">
        <v>83</v>
      </c>
      <c r="AS68" s="21" t="s">
        <v>83</v>
      </c>
      <c r="AT68" s="21" t="s">
        <v>83</v>
      </c>
      <c r="AU68" s="21" t="s">
        <v>109</v>
      </c>
      <c r="AV68" s="21" t="s">
        <v>109</v>
      </c>
      <c r="AW68" s="21" t="s">
        <v>83</v>
      </c>
      <c r="AX68" s="21" t="s">
        <v>83</v>
      </c>
      <c r="AY68" s="21" t="s">
        <v>83</v>
      </c>
      <c r="AZ68" s="21" t="s">
        <v>83</v>
      </c>
      <c r="BA68" s="17" t="s">
        <v>273</v>
      </c>
      <c r="BB68" s="17" t="s">
        <v>271</v>
      </c>
      <c r="BC68" s="18">
        <f>--ISNUMBER(SEARCH("Radio or television",BA68))</f>
        <v>1</v>
      </c>
      <c r="BD68" s="18">
        <f>--ISNUMBER(SEARCH("Newspapers or print media",BA68))</f>
        <v>1</v>
      </c>
      <c r="BE68" s="18">
        <f>--ISNUMBER(SEARCH("Social media (e.g. Facebook, WhatsApp, YouTube, X/Twitter)",BA68))</f>
        <v>1</v>
      </c>
      <c r="BF68" s="18">
        <f>--ISNUMBER(SEARCH("Family members",BA68))</f>
        <v>1</v>
      </c>
      <c r="BG68" s="18">
        <f>--ISNUMBER(SEARCH("Friends or fellow students",BA68))</f>
        <v>1</v>
      </c>
      <c r="BH68" s="18">
        <f>--ISNUMBER(SEARCH("School coursework or lectures",BA68))</f>
        <v>1</v>
      </c>
      <c r="BI68" s="18">
        <f>--ISNUMBER(SEARCH("NHIMA outreach activities or NHIMA offices",BA68))</f>
        <v>0</v>
      </c>
      <c r="BJ68" s="18">
        <f>--ISNUMBER(SEARCH("Health facility staff",BA68))</f>
        <v>0</v>
      </c>
      <c r="BK68" s="18">
        <f>--ISNUMBER(SEARCH("not received information",BA68))</f>
        <v>0</v>
      </c>
      <c r="BL68" s="18">
        <f>IF(T68="","",--(T68='Codebook'!$F$13))</f>
        <v>1</v>
      </c>
      <c r="BM68" s="18">
        <f>IF(U68="","",--(U68='Codebook'!$F$14))</f>
        <v>0</v>
      </c>
      <c r="BN68" s="18">
        <f>IF(V68="","",--(V68='Codebook'!$F$15))</f>
        <v>0</v>
      </c>
      <c r="BO68" s="18">
        <f>IF(W68="","",--(W68='Codebook'!$F$16))</f>
        <v>1</v>
      </c>
      <c r="BP68" s="18">
        <f>IF(X68="","",--(X68='Codebook'!$F$17))</f>
        <v>1</v>
      </c>
      <c r="BQ68" s="18">
        <f>IF(Y68="","",--(Y68='Codebook'!$F$18))</f>
        <v>0</v>
      </c>
      <c r="BR68" s="18">
        <f>IF(Z68="","",--(Z68='Codebook'!$F$19))</f>
        <v>0</v>
      </c>
      <c r="BS68" s="18">
        <f>IF(AA68="","",--(AA68='Codebook'!$F$20))</f>
        <v>1</v>
      </c>
      <c r="BT68" s="18">
        <f>IF(AB68="","",--(AB68='Codebook'!$F$21))</f>
        <v>0</v>
      </c>
      <c r="BU68" s="18">
        <f>IF(AC68="","",--(AC68='Codebook'!$F$22))</f>
        <v>0</v>
      </c>
      <c r="BV68" s="18">
        <f>IF(AD68="","",--(AD68='Codebook'!$F$23))</f>
        <v>0</v>
      </c>
      <c r="BW68" s="18">
        <f>IF(AE68="","",--(AE68='Codebook'!$F$24))</f>
        <v>0</v>
      </c>
      <c r="BX68" s="18">
        <f>IF(AF68="","",--(AF68='Codebook'!$F$25))</f>
        <v>1</v>
      </c>
      <c r="BY68" s="18">
        <f>IF(AG68="","",--(AG68='Codebook'!$F$26))</f>
        <v>0</v>
      </c>
      <c r="BZ68" s="18">
        <f>IF(AH68="","",--(AH68='Codebook'!$F$27))</f>
        <v>1</v>
      </c>
      <c r="CA68" s="18">
        <f>IF(AI68="","",--(AI68='Codebook'!$F$28))</f>
        <v>0</v>
      </c>
      <c r="CB68" s="18">
        <f>IF(AJ68="","",--(AJ68='Codebook'!$F$29))</f>
        <v>0</v>
      </c>
      <c r="CC68" s="18">
        <f>IF(AK68="","",--(AK68='Codebook'!$F$30))</f>
        <v>1</v>
      </c>
      <c r="CD68" s="18">
        <f>IF(AL68="","",--(AL68='Codebook'!$F$31))</f>
        <v>0</v>
      </c>
      <c r="CE68" s="18">
        <f>IF(AM68="","",--(AM68='Codebook'!$F$32))</f>
        <v>1</v>
      </c>
      <c r="CF68" s="18">
        <f>IF(AN68="","",--(AN68='Codebook'!$F$33))</f>
        <v>0</v>
      </c>
      <c r="CG68" s="18">
        <f>IF(AO68="","",--(AO68='Codebook'!$F$34))</f>
        <v>0</v>
      </c>
      <c r="CH68" s="18">
        <f>IF(AP68="","",--(AP68='Codebook'!$F$35))</f>
        <v>0</v>
      </c>
      <c r="CI68" s="18">
        <f>IF(AQ68="","",--(AQ68='Codebook'!$F$36))</f>
        <v>0</v>
      </c>
      <c r="CJ68" s="18">
        <f>IF(AR68="","",--(AR68='Codebook'!$F$37))</f>
        <v>1</v>
      </c>
      <c r="CK68" s="18">
        <f>IF(AS68="","",--(AS68='Codebook'!$F$38))</f>
        <v>1</v>
      </c>
      <c r="CL68" s="18">
        <f>IF(AT68="","",--(AT68='Codebook'!$F$39))</f>
        <v>1</v>
      </c>
      <c r="CM68" s="18">
        <f>IF(AU68="","",--(AU68='Codebook'!$F$40))</f>
        <v>1</v>
      </c>
      <c r="CN68" s="18">
        <f>IF(AV68="","",--(AV68='Codebook'!$F$41))</f>
        <v>1</v>
      </c>
      <c r="CO68" s="18">
        <f>IF(AW68="","",--(AW68='Codebook'!$F$42))</f>
        <v>0</v>
      </c>
      <c r="CP68" s="18">
        <f>IF(AX68="","",--(AX68='Codebook'!$F$43))</f>
        <v>0</v>
      </c>
      <c r="CQ68" s="18">
        <f>IF(AY68="","",--(AY68='Codebook'!$F$44))</f>
        <v>0</v>
      </c>
      <c r="CR68" s="18">
        <f>IF(AZ68="","",--(AZ68='Codebook'!$F$45))</f>
        <v>0</v>
      </c>
    </row>
    <row r="69" spans="2:96" ht="24" customHeight="1">
      <c r="B69" s="18">
        <v>64</v>
      </c>
      <c r="C69" s="23">
        <v>46282.51265006945</v>
      </c>
      <c r="D69" s="21" t="s">
        <v>268</v>
      </c>
      <c r="E69" s="21" t="s">
        <v>194</v>
      </c>
      <c r="F69" s="21" t="s">
        <v>212</v>
      </c>
      <c r="G69" s="17" t="s">
        <v>224</v>
      </c>
      <c r="H69" s="21" t="s">
        <v>197</v>
      </c>
      <c r="I69" s="18">
        <f>SUM(BL69:BU69)</f>
        <v>6</v>
      </c>
      <c r="J69" s="18">
        <f>IF(COUNT(BV69:CD69)=9,SUM(BV69:CD69),"")</f>
        <v>5</v>
      </c>
      <c r="K69" s="18">
        <f>SUM(BL69:CD69)</f>
        <v>11</v>
      </c>
      <c r="L69" s="18">
        <f>--(K69&gt;='Codebook'!$C$8)</f>
        <v>0</v>
      </c>
      <c r="M69" s="18">
        <f>--(COUNT(BL69:CD69)=19)</f>
        <v>1</v>
      </c>
      <c r="N69" s="18">
        <f>SUM(CE69:CL69)</f>
        <v>8</v>
      </c>
      <c r="O69" s="18">
        <f>SUM(CM69:CR69)</f>
        <v>0</v>
      </c>
      <c r="P69" s="18">
        <f>N69+O69</f>
        <v>8</v>
      </c>
      <c r="Q69" s="21" t="s">
        <v>197</v>
      </c>
      <c r="R69" s="17" t="s">
        <v>152</v>
      </c>
      <c r="S69" s="18">
        <f>--OR(Overview!$B$6="All",E69=Overview!$B$6)*--OR(Overview!$F$6="All",F69=Overview!$F$6)*--OR(Overview!$J$6="All",G69=Overview!$J$6)*--OR(Overview!$N$6="All",H69=Overview!$N$6)</f>
        <v>1</v>
      </c>
      <c r="T69" s="21" t="s">
        <v>22</v>
      </c>
      <c r="U69" s="21" t="s">
        <v>22</v>
      </c>
      <c r="V69" s="21" t="s">
        <v>22</v>
      </c>
      <c r="W69" s="21" t="s">
        <v>22</v>
      </c>
      <c r="X69" s="21" t="s">
        <v>22</v>
      </c>
      <c r="Y69" s="21" t="s">
        <v>22</v>
      </c>
      <c r="Z69" s="21" t="s">
        <v>22</v>
      </c>
      <c r="AA69" s="21" t="s">
        <v>22</v>
      </c>
      <c r="AB69" s="21" t="s">
        <v>22</v>
      </c>
      <c r="AC69" s="21" t="s">
        <v>22</v>
      </c>
      <c r="AD69" s="21" t="s">
        <v>22</v>
      </c>
      <c r="AE69" s="21" t="s">
        <v>22</v>
      </c>
      <c r="AF69" s="21" t="s">
        <v>22</v>
      </c>
      <c r="AG69" s="21" t="s">
        <v>22</v>
      </c>
      <c r="AH69" s="21" t="s">
        <v>22</v>
      </c>
      <c r="AI69" s="21" t="s">
        <v>22</v>
      </c>
      <c r="AJ69" s="21" t="s">
        <v>22</v>
      </c>
      <c r="AK69" s="21" t="s">
        <v>22</v>
      </c>
      <c r="AL69" s="21" t="s">
        <v>22</v>
      </c>
      <c r="AM69" s="21" t="s">
        <v>83</v>
      </c>
      <c r="AN69" s="21" t="s">
        <v>83</v>
      </c>
      <c r="AO69" s="21" t="s">
        <v>83</v>
      </c>
      <c r="AP69" s="21" t="s">
        <v>83</v>
      </c>
      <c r="AQ69" s="21" t="s">
        <v>83</v>
      </c>
      <c r="AR69" s="21" t="s">
        <v>83</v>
      </c>
      <c r="AS69" s="21" t="s">
        <v>83</v>
      </c>
      <c r="AT69" s="21" t="s">
        <v>83</v>
      </c>
      <c r="AU69" s="21" t="s">
        <v>83</v>
      </c>
      <c r="AV69" s="21" t="s">
        <v>83</v>
      </c>
      <c r="AW69" s="21" t="s">
        <v>83</v>
      </c>
      <c r="AX69" s="21" t="s">
        <v>83</v>
      </c>
      <c r="AY69" s="21" t="s">
        <v>83</v>
      </c>
      <c r="AZ69" s="21" t="s">
        <v>83</v>
      </c>
      <c r="BA69" s="17" t="s">
        <v>274</v>
      </c>
      <c r="BB69" s="17" t="s">
        <v>223</v>
      </c>
      <c r="BC69" s="18">
        <f>--ISNUMBER(SEARCH("Radio or television",BA69))</f>
        <v>1</v>
      </c>
      <c r="BD69" s="18">
        <f>--ISNUMBER(SEARCH("Newspapers or print media",BA69))</f>
        <v>1</v>
      </c>
      <c r="BE69" s="18">
        <f>--ISNUMBER(SEARCH("Social media (e.g. Facebook, WhatsApp, YouTube, X/Twitter)",BA69))</f>
        <v>1</v>
      </c>
      <c r="BF69" s="18">
        <f>--ISNUMBER(SEARCH("Family members",BA69))</f>
        <v>1</v>
      </c>
      <c r="BG69" s="18">
        <f>--ISNUMBER(SEARCH("Friends or fellow students",BA69))</f>
        <v>0</v>
      </c>
      <c r="BH69" s="18">
        <f>--ISNUMBER(SEARCH("School coursework or lectures",BA69))</f>
        <v>0</v>
      </c>
      <c r="BI69" s="18">
        <f>--ISNUMBER(SEARCH("NHIMA outreach activities or NHIMA offices",BA69))</f>
        <v>0</v>
      </c>
      <c r="BJ69" s="18">
        <f>--ISNUMBER(SEARCH("Health facility staff",BA69))</f>
        <v>0</v>
      </c>
      <c r="BK69" s="18">
        <f>--ISNUMBER(SEARCH("not received information",BA69))</f>
        <v>0</v>
      </c>
      <c r="BL69" s="18">
        <f>IF(T69="","",--(T69='Codebook'!$F$13))</f>
        <v>1</v>
      </c>
      <c r="BM69" s="18">
        <f>IF(U69="","",--(U69='Codebook'!$F$14))</f>
        <v>0</v>
      </c>
      <c r="BN69" s="18">
        <f>IF(V69="","",--(V69='Codebook'!$F$15))</f>
        <v>0</v>
      </c>
      <c r="BO69" s="18">
        <f>IF(W69="","",--(W69='Codebook'!$F$16))</f>
        <v>1</v>
      </c>
      <c r="BP69" s="18">
        <f>IF(X69="","",--(X69='Codebook'!$F$17))</f>
        <v>1</v>
      </c>
      <c r="BQ69" s="18">
        <f>IF(Y69="","",--(Y69='Codebook'!$F$18))</f>
        <v>0</v>
      </c>
      <c r="BR69" s="18">
        <f>IF(Z69="","",--(Z69='Codebook'!$F$19))</f>
        <v>1</v>
      </c>
      <c r="BS69" s="18">
        <f>IF(AA69="","",--(AA69='Codebook'!$F$20))</f>
        <v>1</v>
      </c>
      <c r="BT69" s="18">
        <f>IF(AB69="","",--(AB69='Codebook'!$F$21))</f>
        <v>0</v>
      </c>
      <c r="BU69" s="18">
        <f>IF(AC69="","",--(AC69='Codebook'!$F$22))</f>
        <v>1</v>
      </c>
      <c r="BV69" s="18">
        <f>IF(AD69="","",--(AD69='Codebook'!$F$23))</f>
        <v>1</v>
      </c>
      <c r="BW69" s="18">
        <f>IF(AE69="","",--(AE69='Codebook'!$F$24))</f>
        <v>1</v>
      </c>
      <c r="BX69" s="18">
        <f>IF(AF69="","",--(AF69='Codebook'!$F$25))</f>
        <v>0</v>
      </c>
      <c r="BY69" s="18">
        <f>IF(AG69="","",--(AG69='Codebook'!$F$26))</f>
        <v>1</v>
      </c>
      <c r="BZ69" s="18">
        <f>IF(AH69="","",--(AH69='Codebook'!$F$27))</f>
        <v>1</v>
      </c>
      <c r="CA69" s="18">
        <f>IF(AI69="","",--(AI69='Codebook'!$F$28))</f>
        <v>0</v>
      </c>
      <c r="CB69" s="18">
        <f>IF(AJ69="","",--(AJ69='Codebook'!$F$29))</f>
        <v>0</v>
      </c>
      <c r="CC69" s="18">
        <f>IF(AK69="","",--(AK69='Codebook'!$F$30))</f>
        <v>1</v>
      </c>
      <c r="CD69" s="18">
        <f>IF(AL69="","",--(AL69='Codebook'!$F$31))</f>
        <v>0</v>
      </c>
      <c r="CE69" s="18">
        <f>IF(AM69="","",--(AM69='Codebook'!$F$32))</f>
        <v>1</v>
      </c>
      <c r="CF69" s="18">
        <f>IF(AN69="","",--(AN69='Codebook'!$F$33))</f>
        <v>1</v>
      </c>
      <c r="CG69" s="18">
        <f>IF(AO69="","",--(AO69='Codebook'!$F$34))</f>
        <v>1</v>
      </c>
      <c r="CH69" s="18">
        <f>IF(AP69="","",--(AP69='Codebook'!$F$35))</f>
        <v>1</v>
      </c>
      <c r="CI69" s="18">
        <f>IF(AQ69="","",--(AQ69='Codebook'!$F$36))</f>
        <v>1</v>
      </c>
      <c r="CJ69" s="18">
        <f>IF(AR69="","",--(AR69='Codebook'!$F$37))</f>
        <v>1</v>
      </c>
      <c r="CK69" s="18">
        <f>IF(AS69="","",--(AS69='Codebook'!$F$38))</f>
        <v>1</v>
      </c>
      <c r="CL69" s="18">
        <f>IF(AT69="","",--(AT69='Codebook'!$F$39))</f>
        <v>1</v>
      </c>
      <c r="CM69" s="18">
        <f>IF(AU69="","",--(AU69='Codebook'!$F$40))</f>
        <v>0</v>
      </c>
      <c r="CN69" s="18">
        <f>IF(AV69="","",--(AV69='Codebook'!$F$41))</f>
        <v>0</v>
      </c>
      <c r="CO69" s="18">
        <f>IF(AW69="","",--(AW69='Codebook'!$F$42))</f>
        <v>0</v>
      </c>
      <c r="CP69" s="18">
        <f>IF(AX69="","",--(AX69='Codebook'!$F$43))</f>
        <v>0</v>
      </c>
      <c r="CQ69" s="18">
        <f>IF(AY69="","",--(AY69='Codebook'!$F$44))</f>
        <v>0</v>
      </c>
      <c r="CR69" s="18">
        <f>IF(AZ69="","",--(AZ69='Codebook'!$F$45))</f>
        <v>0</v>
      </c>
    </row>
    <row r="70" spans="2:96" ht="24" customHeight="1">
      <c r="B70" s="18">
        <v>65</v>
      </c>
      <c r="C70" s="23">
        <v>46282.51335604167</v>
      </c>
      <c r="D70" s="21" t="s">
        <v>275</v>
      </c>
      <c r="E70" s="21" t="s">
        <v>206</v>
      </c>
      <c r="F70" s="21" t="s">
        <v>195</v>
      </c>
      <c r="G70" s="17" t="s">
        <v>202</v>
      </c>
      <c r="H70" s="21" t="s">
        <v>207</v>
      </c>
      <c r="I70" s="18">
        <f>SUM(BL70:BU70)</f>
        <v>5</v>
      </c>
      <c r="J70" s="18">
        <f>IF(COUNT(BV70:CD70)=9,SUM(BV70:CD70),"")</f>
        <v>5</v>
      </c>
      <c r="K70" s="18">
        <f>SUM(BL70:CD70)</f>
        <v>10</v>
      </c>
      <c r="L70" s="18">
        <f>--(K70&gt;='Codebook'!$C$8)</f>
        <v>0</v>
      </c>
      <c r="M70" s="18">
        <f>--(COUNT(BL70:CD70)=19)</f>
        <v>1</v>
      </c>
      <c r="N70" s="18">
        <f>SUM(CE70:CL70)</f>
        <v>0</v>
      </c>
      <c r="O70" s="18">
        <f>SUM(CM70:CR70)</f>
        <v>5</v>
      </c>
      <c r="P70" s="18">
        <f>N70+O70</f>
        <v>5</v>
      </c>
      <c r="Q70" s="21" t="s">
        <v>197</v>
      </c>
      <c r="R70" s="17" t="s">
        <v>152</v>
      </c>
      <c r="S70" s="18">
        <f>--OR(Overview!$B$6="All",E70=Overview!$B$6)*--OR(Overview!$F$6="All",F70=Overview!$F$6)*--OR(Overview!$J$6="All",G70=Overview!$J$6)*--OR(Overview!$N$6="All",H70=Overview!$N$6)</f>
        <v>1</v>
      </c>
      <c r="T70" s="21" t="s">
        <v>26</v>
      </c>
      <c r="U70" s="21" t="s">
        <v>26</v>
      </c>
      <c r="V70" s="21" t="s">
        <v>26</v>
      </c>
      <c r="W70" s="21" t="s">
        <v>26</v>
      </c>
      <c r="X70" s="21" t="s">
        <v>26</v>
      </c>
      <c r="Y70" s="21" t="s">
        <v>26</v>
      </c>
      <c r="Z70" s="21" t="s">
        <v>26</v>
      </c>
      <c r="AA70" s="21" t="s">
        <v>26</v>
      </c>
      <c r="AB70" s="21" t="s">
        <v>26</v>
      </c>
      <c r="AC70" s="21" t="s">
        <v>22</v>
      </c>
      <c r="AD70" s="21" t="s">
        <v>22</v>
      </c>
      <c r="AE70" s="21" t="s">
        <v>26</v>
      </c>
      <c r="AF70" s="21" t="s">
        <v>22</v>
      </c>
      <c r="AG70" s="21" t="s">
        <v>26</v>
      </c>
      <c r="AH70" s="21" t="s">
        <v>22</v>
      </c>
      <c r="AI70" s="21" t="s">
        <v>26</v>
      </c>
      <c r="AJ70" s="21" t="s">
        <v>26</v>
      </c>
      <c r="AK70" s="21" t="s">
        <v>22</v>
      </c>
      <c r="AL70" s="21" t="s">
        <v>22</v>
      </c>
      <c r="AM70" s="21" t="s">
        <v>109</v>
      </c>
      <c r="AN70" s="21" t="s">
        <v>109</v>
      </c>
      <c r="AO70" s="21" t="s">
        <v>109</v>
      </c>
      <c r="AP70" s="21" t="s">
        <v>109</v>
      </c>
      <c r="AQ70" s="21" t="s">
        <v>109</v>
      </c>
      <c r="AR70" s="21" t="s">
        <v>109</v>
      </c>
      <c r="AS70" s="21" t="s">
        <v>109</v>
      </c>
      <c r="AT70" s="21" t="s">
        <v>109</v>
      </c>
      <c r="AU70" s="21" t="s">
        <v>198</v>
      </c>
      <c r="AV70" s="21" t="s">
        <v>109</v>
      </c>
      <c r="AW70" s="21" t="s">
        <v>109</v>
      </c>
      <c r="AX70" s="21" t="s">
        <v>109</v>
      </c>
      <c r="AY70" s="21" t="s">
        <v>109</v>
      </c>
      <c r="AZ70" s="21" t="s">
        <v>109</v>
      </c>
      <c r="BA70" s="17" t="s">
        <v>236</v>
      </c>
      <c r="BB70" s="17" t="s">
        <v>223</v>
      </c>
      <c r="BC70" s="18">
        <f>--ISNUMBER(SEARCH("Radio or television",BA70))</f>
        <v>1</v>
      </c>
      <c r="BD70" s="18">
        <f>--ISNUMBER(SEARCH("Newspapers or print media",BA70))</f>
        <v>1</v>
      </c>
      <c r="BE70" s="18">
        <f>--ISNUMBER(SEARCH("Social media (e.g. Facebook, WhatsApp, YouTube, X/Twitter)",BA70))</f>
        <v>1</v>
      </c>
      <c r="BF70" s="18">
        <f>--ISNUMBER(SEARCH("Family members",BA70))</f>
        <v>1</v>
      </c>
      <c r="BG70" s="18">
        <f>--ISNUMBER(SEARCH("Friends or fellow students",BA70))</f>
        <v>1</v>
      </c>
      <c r="BH70" s="18">
        <f>--ISNUMBER(SEARCH("School coursework or lectures",BA70))</f>
        <v>0</v>
      </c>
      <c r="BI70" s="18">
        <f>--ISNUMBER(SEARCH("NHIMA outreach activities or NHIMA offices",BA70))</f>
        <v>0</v>
      </c>
      <c r="BJ70" s="18">
        <f>--ISNUMBER(SEARCH("Health facility staff",BA70))</f>
        <v>0</v>
      </c>
      <c r="BK70" s="18">
        <f>--ISNUMBER(SEARCH("not received information",BA70))</f>
        <v>0</v>
      </c>
      <c r="BL70" s="18">
        <f>IF(T70="","",--(T70='Codebook'!$F$13))</f>
        <v>0</v>
      </c>
      <c r="BM70" s="18">
        <f>IF(U70="","",--(U70='Codebook'!$F$14))</f>
        <v>1</v>
      </c>
      <c r="BN70" s="18">
        <f>IF(V70="","",--(V70='Codebook'!$F$15))</f>
        <v>1</v>
      </c>
      <c r="BO70" s="18">
        <f>IF(W70="","",--(W70='Codebook'!$F$16))</f>
        <v>0</v>
      </c>
      <c r="BP70" s="18">
        <f>IF(X70="","",--(X70='Codebook'!$F$17))</f>
        <v>0</v>
      </c>
      <c r="BQ70" s="18">
        <f>IF(Y70="","",--(Y70='Codebook'!$F$18))</f>
        <v>1</v>
      </c>
      <c r="BR70" s="18">
        <f>IF(Z70="","",--(Z70='Codebook'!$F$19))</f>
        <v>0</v>
      </c>
      <c r="BS70" s="18">
        <f>IF(AA70="","",--(AA70='Codebook'!$F$20))</f>
        <v>0</v>
      </c>
      <c r="BT70" s="18">
        <f>IF(AB70="","",--(AB70='Codebook'!$F$21))</f>
        <v>1</v>
      </c>
      <c r="BU70" s="18">
        <f>IF(AC70="","",--(AC70='Codebook'!$F$22))</f>
        <v>1</v>
      </c>
      <c r="BV70" s="18">
        <f>IF(AD70="","",--(AD70='Codebook'!$F$23))</f>
        <v>1</v>
      </c>
      <c r="BW70" s="18">
        <f>IF(AE70="","",--(AE70='Codebook'!$F$24))</f>
        <v>0</v>
      </c>
      <c r="BX70" s="18">
        <f>IF(AF70="","",--(AF70='Codebook'!$F$25))</f>
        <v>0</v>
      </c>
      <c r="BY70" s="18">
        <f>IF(AG70="","",--(AG70='Codebook'!$F$26))</f>
        <v>0</v>
      </c>
      <c r="BZ70" s="18">
        <f>IF(AH70="","",--(AH70='Codebook'!$F$27))</f>
        <v>1</v>
      </c>
      <c r="CA70" s="18">
        <f>IF(AI70="","",--(AI70='Codebook'!$F$28))</f>
        <v>1</v>
      </c>
      <c r="CB70" s="18">
        <f>IF(AJ70="","",--(AJ70='Codebook'!$F$29))</f>
        <v>1</v>
      </c>
      <c r="CC70" s="18">
        <f>IF(AK70="","",--(AK70='Codebook'!$F$30))</f>
        <v>1</v>
      </c>
      <c r="CD70" s="18">
        <f>IF(AL70="","",--(AL70='Codebook'!$F$31))</f>
        <v>0</v>
      </c>
      <c r="CE70" s="18">
        <f>IF(AM70="","",--(AM70='Codebook'!$F$32))</f>
        <v>0</v>
      </c>
      <c r="CF70" s="18">
        <f>IF(AN70="","",--(AN70='Codebook'!$F$33))</f>
        <v>0</v>
      </c>
      <c r="CG70" s="18">
        <f>IF(AO70="","",--(AO70='Codebook'!$F$34))</f>
        <v>0</v>
      </c>
      <c r="CH70" s="18">
        <f>IF(AP70="","",--(AP70='Codebook'!$F$35))</f>
        <v>0</v>
      </c>
      <c r="CI70" s="18">
        <f>IF(AQ70="","",--(AQ70='Codebook'!$F$36))</f>
        <v>0</v>
      </c>
      <c r="CJ70" s="18">
        <f>IF(AR70="","",--(AR70='Codebook'!$F$37))</f>
        <v>0</v>
      </c>
      <c r="CK70" s="18">
        <f>IF(AS70="","",--(AS70='Codebook'!$F$38))</f>
        <v>0</v>
      </c>
      <c r="CL70" s="18">
        <f>IF(AT70="","",--(AT70='Codebook'!$F$39))</f>
        <v>0</v>
      </c>
      <c r="CM70" s="18">
        <f>IF(AU70="","",--(AU70='Codebook'!$F$40))</f>
        <v>0</v>
      </c>
      <c r="CN70" s="18">
        <f>IF(AV70="","",--(AV70='Codebook'!$F$41))</f>
        <v>1</v>
      </c>
      <c r="CO70" s="18">
        <f>IF(AW70="","",--(AW70='Codebook'!$F$42))</f>
        <v>1</v>
      </c>
      <c r="CP70" s="18">
        <f>IF(AX70="","",--(AX70='Codebook'!$F$43))</f>
        <v>1</v>
      </c>
      <c r="CQ70" s="18">
        <f>IF(AY70="","",--(AY70='Codebook'!$F$44))</f>
        <v>1</v>
      </c>
      <c r="CR70" s="18">
        <f>IF(AZ70="","",--(AZ70='Codebook'!$F$45))</f>
        <v>1</v>
      </c>
    </row>
    <row r="71" spans="2:96" ht="24" customHeight="1">
      <c r="B71" s="18">
        <v>66</v>
      </c>
      <c r="C71" s="23">
        <v>46282.51408259259</v>
      </c>
      <c r="D71" s="21" t="s">
        <v>275</v>
      </c>
      <c r="E71" s="21" t="s">
        <v>194</v>
      </c>
      <c r="F71" s="21" t="s">
        <v>201</v>
      </c>
      <c r="G71" s="17" t="s">
        <v>196</v>
      </c>
      <c r="H71" s="21" t="s">
        <v>207</v>
      </c>
      <c r="I71" s="18">
        <f>SUM(BL71:BU71)</f>
        <v>5</v>
      </c>
      <c r="J71" s="18">
        <f>IF(COUNT(BV71:CD71)=9,SUM(BV71:CD71),"")</f>
        <v>4</v>
      </c>
      <c r="K71" s="18">
        <f>SUM(BL71:CD71)</f>
        <v>9</v>
      </c>
      <c r="L71" s="18">
        <f>--(K71&gt;='Codebook'!$C$8)</f>
        <v>0</v>
      </c>
      <c r="M71" s="18">
        <f>--(COUNT(BL71:CD71)=19)</f>
        <v>1</v>
      </c>
      <c r="N71" s="18">
        <f>SUM(CE71:CL71)</f>
        <v>1</v>
      </c>
      <c r="O71" s="18">
        <f>SUM(CM71:CR71)</f>
        <v>1</v>
      </c>
      <c r="P71" s="18">
        <f>N71+O71</f>
        <v>2</v>
      </c>
      <c r="Q71" s="21" t="s">
        <v>197</v>
      </c>
      <c r="R71" s="17" t="s">
        <v>152</v>
      </c>
      <c r="S71" s="18">
        <f>--OR(Overview!$B$6="All",E71=Overview!$B$6)*--OR(Overview!$F$6="All",F71=Overview!$F$6)*--OR(Overview!$J$6="All",G71=Overview!$J$6)*--OR(Overview!$N$6="All",H71=Overview!$N$6)</f>
        <v>1</v>
      </c>
      <c r="T71" s="21" t="s">
        <v>22</v>
      </c>
      <c r="U71" s="21" t="s">
        <v>22</v>
      </c>
      <c r="V71" s="21" t="s">
        <v>22</v>
      </c>
      <c r="W71" s="21" t="s">
        <v>22</v>
      </c>
      <c r="X71" s="21" t="s">
        <v>22</v>
      </c>
      <c r="Y71" s="21" t="s">
        <v>22</v>
      </c>
      <c r="Z71" s="21" t="s">
        <v>22</v>
      </c>
      <c r="AA71" s="21" t="s">
        <v>22</v>
      </c>
      <c r="AB71" s="21" t="s">
        <v>22</v>
      </c>
      <c r="AC71" s="21" t="s">
        <v>26</v>
      </c>
      <c r="AD71" s="21" t="s">
        <v>22</v>
      </c>
      <c r="AE71" s="21" t="s">
        <v>22</v>
      </c>
      <c r="AF71" s="21" t="s">
        <v>22</v>
      </c>
      <c r="AG71" s="21" t="s">
        <v>22</v>
      </c>
      <c r="AH71" s="21" t="s">
        <v>22</v>
      </c>
      <c r="AI71" s="21" t="s">
        <v>22</v>
      </c>
      <c r="AJ71" s="21" t="s">
        <v>22</v>
      </c>
      <c r="AK71" s="21" t="s">
        <v>198</v>
      </c>
      <c r="AL71" s="21" t="s">
        <v>198</v>
      </c>
      <c r="AM71" s="21" t="s">
        <v>198</v>
      </c>
      <c r="AN71" s="21" t="s">
        <v>198</v>
      </c>
      <c r="AO71" s="21" t="s">
        <v>109</v>
      </c>
      <c r="AP71" s="21" t="s">
        <v>198</v>
      </c>
      <c r="AQ71" s="21" t="s">
        <v>109</v>
      </c>
      <c r="AR71" s="21" t="s">
        <v>198</v>
      </c>
      <c r="AS71" s="21" t="s">
        <v>109</v>
      </c>
      <c r="AT71" s="21" t="s">
        <v>83</v>
      </c>
      <c r="AU71" s="21" t="s">
        <v>109</v>
      </c>
      <c r="AV71" s="21" t="s">
        <v>198</v>
      </c>
      <c r="AW71" s="21" t="s">
        <v>198</v>
      </c>
      <c r="AX71" s="21" t="s">
        <v>198</v>
      </c>
      <c r="AY71" s="21" t="s">
        <v>198</v>
      </c>
      <c r="AZ71" s="21" t="s">
        <v>198</v>
      </c>
      <c r="BA71" s="17" t="s">
        <v>223</v>
      </c>
      <c r="BB71" s="17" t="s">
        <v>223</v>
      </c>
      <c r="BC71" s="18">
        <f>--ISNUMBER(SEARCH("Radio or television",BA71))</f>
        <v>1</v>
      </c>
      <c r="BD71" s="18">
        <f>--ISNUMBER(SEARCH("Newspapers or print media",BA71))</f>
        <v>0</v>
      </c>
      <c r="BE71" s="18">
        <f>--ISNUMBER(SEARCH("Social media (e.g. Facebook, WhatsApp, YouTube, X/Twitter)",BA71))</f>
        <v>0</v>
      </c>
      <c r="BF71" s="18">
        <f>--ISNUMBER(SEARCH("Family members",BA71))</f>
        <v>0</v>
      </c>
      <c r="BG71" s="18">
        <f>--ISNUMBER(SEARCH("Friends or fellow students",BA71))</f>
        <v>0</v>
      </c>
      <c r="BH71" s="18">
        <f>--ISNUMBER(SEARCH("School coursework or lectures",BA71))</f>
        <v>0</v>
      </c>
      <c r="BI71" s="18">
        <f>--ISNUMBER(SEARCH("NHIMA outreach activities or NHIMA offices",BA71))</f>
        <v>0</v>
      </c>
      <c r="BJ71" s="18">
        <f>--ISNUMBER(SEARCH("Health facility staff",BA71))</f>
        <v>0</v>
      </c>
      <c r="BK71" s="18">
        <f>--ISNUMBER(SEARCH("not received information",BA71))</f>
        <v>0</v>
      </c>
      <c r="BL71" s="18">
        <f>IF(T71="","",--(T71='Codebook'!$F$13))</f>
        <v>1</v>
      </c>
      <c r="BM71" s="18">
        <f>IF(U71="","",--(U71='Codebook'!$F$14))</f>
        <v>0</v>
      </c>
      <c r="BN71" s="18">
        <f>IF(V71="","",--(V71='Codebook'!$F$15))</f>
        <v>0</v>
      </c>
      <c r="BO71" s="18">
        <f>IF(W71="","",--(W71='Codebook'!$F$16))</f>
        <v>1</v>
      </c>
      <c r="BP71" s="18">
        <f>IF(X71="","",--(X71='Codebook'!$F$17))</f>
        <v>1</v>
      </c>
      <c r="BQ71" s="18">
        <f>IF(Y71="","",--(Y71='Codebook'!$F$18))</f>
        <v>0</v>
      </c>
      <c r="BR71" s="18">
        <f>IF(Z71="","",--(Z71='Codebook'!$F$19))</f>
        <v>1</v>
      </c>
      <c r="BS71" s="18">
        <f>IF(AA71="","",--(AA71='Codebook'!$F$20))</f>
        <v>1</v>
      </c>
      <c r="BT71" s="18">
        <f>IF(AB71="","",--(AB71='Codebook'!$F$21))</f>
        <v>0</v>
      </c>
      <c r="BU71" s="18">
        <f>IF(AC71="","",--(AC71='Codebook'!$F$22))</f>
        <v>0</v>
      </c>
      <c r="BV71" s="18">
        <f>IF(AD71="","",--(AD71='Codebook'!$F$23))</f>
        <v>1</v>
      </c>
      <c r="BW71" s="18">
        <f>IF(AE71="","",--(AE71='Codebook'!$F$24))</f>
        <v>1</v>
      </c>
      <c r="BX71" s="18">
        <f>IF(AF71="","",--(AF71='Codebook'!$F$25))</f>
        <v>0</v>
      </c>
      <c r="BY71" s="18">
        <f>IF(AG71="","",--(AG71='Codebook'!$F$26))</f>
        <v>1</v>
      </c>
      <c r="BZ71" s="18">
        <f>IF(AH71="","",--(AH71='Codebook'!$F$27))</f>
        <v>1</v>
      </c>
      <c r="CA71" s="18">
        <f>IF(AI71="","",--(AI71='Codebook'!$F$28))</f>
        <v>0</v>
      </c>
      <c r="CB71" s="18">
        <f>IF(AJ71="","",--(AJ71='Codebook'!$F$29))</f>
        <v>0</v>
      </c>
      <c r="CC71" s="18">
        <f>IF(AK71="","",--(AK71='Codebook'!$F$30))</f>
        <v>0</v>
      </c>
      <c r="CD71" s="18">
        <f>IF(AL71="","",--(AL71='Codebook'!$F$31))</f>
        <v>0</v>
      </c>
      <c r="CE71" s="18">
        <f>IF(AM71="","",--(AM71='Codebook'!$F$32))</f>
        <v>0</v>
      </c>
      <c r="CF71" s="18">
        <f>IF(AN71="","",--(AN71='Codebook'!$F$33))</f>
        <v>0</v>
      </c>
      <c r="CG71" s="18">
        <f>IF(AO71="","",--(AO71='Codebook'!$F$34))</f>
        <v>0</v>
      </c>
      <c r="CH71" s="18">
        <f>IF(AP71="","",--(AP71='Codebook'!$F$35))</f>
        <v>0</v>
      </c>
      <c r="CI71" s="18">
        <f>IF(AQ71="","",--(AQ71='Codebook'!$F$36))</f>
        <v>0</v>
      </c>
      <c r="CJ71" s="18">
        <f>IF(AR71="","",--(AR71='Codebook'!$F$37))</f>
        <v>0</v>
      </c>
      <c r="CK71" s="18">
        <f>IF(AS71="","",--(AS71='Codebook'!$F$38))</f>
        <v>0</v>
      </c>
      <c r="CL71" s="18">
        <f>IF(AT71="","",--(AT71='Codebook'!$F$39))</f>
        <v>1</v>
      </c>
      <c r="CM71" s="18">
        <f>IF(AU71="","",--(AU71='Codebook'!$F$40))</f>
        <v>1</v>
      </c>
      <c r="CN71" s="18">
        <f>IF(AV71="","",--(AV71='Codebook'!$F$41))</f>
        <v>0</v>
      </c>
      <c r="CO71" s="18">
        <f>IF(AW71="","",--(AW71='Codebook'!$F$42))</f>
        <v>0</v>
      </c>
      <c r="CP71" s="18">
        <f>IF(AX71="","",--(AX71='Codebook'!$F$43))</f>
        <v>0</v>
      </c>
      <c r="CQ71" s="18">
        <f>IF(AY71="","",--(AY71='Codebook'!$F$44))</f>
        <v>0</v>
      </c>
      <c r="CR71" s="18">
        <f>IF(AZ71="","",--(AZ71='Codebook'!$F$45))</f>
        <v>0</v>
      </c>
    </row>
    <row r="72" spans="2:96" ht="24" customHeight="1">
      <c r="B72" s="18">
        <v>67</v>
      </c>
      <c r="C72" s="23">
        <v>46282.51479516204</v>
      </c>
      <c r="D72" s="21" t="s">
        <v>275</v>
      </c>
      <c r="E72" s="21" t="s">
        <v>194</v>
      </c>
      <c r="F72" s="21" t="s">
        <v>201</v>
      </c>
      <c r="G72" s="17" t="s">
        <v>215</v>
      </c>
      <c r="H72" s="21" t="s">
        <v>207</v>
      </c>
      <c r="I72" s="18">
        <f>SUM(BL72:BU72)</f>
        <v>6</v>
      </c>
      <c r="J72" s="18">
        <f>IF(COUNT(BV72:CD72)=9,SUM(BV72:CD72),"")</f>
        <v>6</v>
      </c>
      <c r="K72" s="18">
        <f>SUM(BL72:CD72)</f>
        <v>12</v>
      </c>
      <c r="L72" s="18">
        <f>--(K72&gt;='Codebook'!$C$8)</f>
        <v>1</v>
      </c>
      <c r="M72" s="18">
        <f>--(COUNT(BL72:CD72)=19)</f>
        <v>1</v>
      </c>
      <c r="N72" s="18">
        <f>SUM(CE72:CL72)</f>
        <v>4</v>
      </c>
      <c r="O72" s="18">
        <f>SUM(CM72:CR72)</f>
        <v>3</v>
      </c>
      <c r="P72" s="18">
        <f>N72+O72</f>
        <v>7</v>
      </c>
      <c r="Q72" s="21" t="s">
        <v>198</v>
      </c>
      <c r="R72" s="17" t="s">
        <v>152</v>
      </c>
      <c r="S72" s="18">
        <f>--OR(Overview!$B$6="All",E72=Overview!$B$6)*--OR(Overview!$F$6="All",F72=Overview!$F$6)*--OR(Overview!$J$6="All",G72=Overview!$J$6)*--OR(Overview!$N$6="All",H72=Overview!$N$6)</f>
        <v>1</v>
      </c>
      <c r="T72" s="21" t="s">
        <v>22</v>
      </c>
      <c r="U72" s="21" t="s">
        <v>22</v>
      </c>
      <c r="V72" s="21" t="s">
        <v>22</v>
      </c>
      <c r="W72" s="21" t="s">
        <v>22</v>
      </c>
      <c r="X72" s="21" t="s">
        <v>22</v>
      </c>
      <c r="Y72" s="21" t="s">
        <v>22</v>
      </c>
      <c r="Z72" s="21" t="s">
        <v>22</v>
      </c>
      <c r="AA72" s="21" t="s">
        <v>22</v>
      </c>
      <c r="AB72" s="21" t="s">
        <v>22</v>
      </c>
      <c r="AC72" s="21" t="s">
        <v>22</v>
      </c>
      <c r="AD72" s="21" t="s">
        <v>22</v>
      </c>
      <c r="AE72" s="21" t="s">
        <v>22</v>
      </c>
      <c r="AF72" s="21" t="s">
        <v>22</v>
      </c>
      <c r="AG72" s="21" t="s">
        <v>22</v>
      </c>
      <c r="AH72" s="21" t="s">
        <v>22</v>
      </c>
      <c r="AI72" s="21" t="s">
        <v>22</v>
      </c>
      <c r="AJ72" s="21" t="s">
        <v>26</v>
      </c>
      <c r="AK72" s="21" t="s">
        <v>22</v>
      </c>
      <c r="AL72" s="21" t="s">
        <v>22</v>
      </c>
      <c r="AM72" s="21" t="s">
        <v>83</v>
      </c>
      <c r="AN72" s="21" t="s">
        <v>83</v>
      </c>
      <c r="AO72" s="21" t="s">
        <v>198</v>
      </c>
      <c r="AP72" s="21" t="s">
        <v>198</v>
      </c>
      <c r="AQ72" s="21" t="s">
        <v>83</v>
      </c>
      <c r="AR72" s="21" t="s">
        <v>198</v>
      </c>
      <c r="AS72" s="21" t="s">
        <v>83</v>
      </c>
      <c r="AT72" s="21" t="s">
        <v>198</v>
      </c>
      <c r="AU72" s="21" t="s">
        <v>109</v>
      </c>
      <c r="AV72" s="21" t="s">
        <v>198</v>
      </c>
      <c r="AW72" s="21" t="s">
        <v>109</v>
      </c>
      <c r="AX72" s="21" t="s">
        <v>198</v>
      </c>
      <c r="AY72" s="21" t="s">
        <v>109</v>
      </c>
      <c r="AZ72" s="21" t="s">
        <v>198</v>
      </c>
      <c r="BA72" s="17" t="s">
        <v>273</v>
      </c>
      <c r="BB72" s="17" t="s">
        <v>223</v>
      </c>
      <c r="BC72" s="18">
        <f>--ISNUMBER(SEARCH("Radio or television",BA72))</f>
        <v>1</v>
      </c>
      <c r="BD72" s="18">
        <f>--ISNUMBER(SEARCH("Newspapers or print media",BA72))</f>
        <v>1</v>
      </c>
      <c r="BE72" s="18">
        <f>--ISNUMBER(SEARCH("Social media (e.g. Facebook, WhatsApp, YouTube, X/Twitter)",BA72))</f>
        <v>1</v>
      </c>
      <c r="BF72" s="18">
        <f>--ISNUMBER(SEARCH("Family members",BA72))</f>
        <v>1</v>
      </c>
      <c r="BG72" s="18">
        <f>--ISNUMBER(SEARCH("Friends or fellow students",BA72))</f>
        <v>1</v>
      </c>
      <c r="BH72" s="18">
        <f>--ISNUMBER(SEARCH("School coursework or lectures",BA72))</f>
        <v>1</v>
      </c>
      <c r="BI72" s="18">
        <f>--ISNUMBER(SEARCH("NHIMA outreach activities or NHIMA offices",BA72))</f>
        <v>0</v>
      </c>
      <c r="BJ72" s="18">
        <f>--ISNUMBER(SEARCH("Health facility staff",BA72))</f>
        <v>0</v>
      </c>
      <c r="BK72" s="18">
        <f>--ISNUMBER(SEARCH("not received information",BA72))</f>
        <v>0</v>
      </c>
      <c r="BL72" s="18">
        <f>IF(T72="","",--(T72='Codebook'!$F$13))</f>
        <v>1</v>
      </c>
      <c r="BM72" s="18">
        <f>IF(U72="","",--(U72='Codebook'!$F$14))</f>
        <v>0</v>
      </c>
      <c r="BN72" s="18">
        <f>IF(V72="","",--(V72='Codebook'!$F$15))</f>
        <v>0</v>
      </c>
      <c r="BO72" s="18">
        <f>IF(W72="","",--(W72='Codebook'!$F$16))</f>
        <v>1</v>
      </c>
      <c r="BP72" s="18">
        <f>IF(X72="","",--(X72='Codebook'!$F$17))</f>
        <v>1</v>
      </c>
      <c r="BQ72" s="18">
        <f>IF(Y72="","",--(Y72='Codebook'!$F$18))</f>
        <v>0</v>
      </c>
      <c r="BR72" s="18">
        <f>IF(Z72="","",--(Z72='Codebook'!$F$19))</f>
        <v>1</v>
      </c>
      <c r="BS72" s="18">
        <f>IF(AA72="","",--(AA72='Codebook'!$F$20))</f>
        <v>1</v>
      </c>
      <c r="BT72" s="18">
        <f>IF(AB72="","",--(AB72='Codebook'!$F$21))</f>
        <v>0</v>
      </c>
      <c r="BU72" s="18">
        <f>IF(AC72="","",--(AC72='Codebook'!$F$22))</f>
        <v>1</v>
      </c>
      <c r="BV72" s="18">
        <f>IF(AD72="","",--(AD72='Codebook'!$F$23))</f>
        <v>1</v>
      </c>
      <c r="BW72" s="18">
        <f>IF(AE72="","",--(AE72='Codebook'!$F$24))</f>
        <v>1</v>
      </c>
      <c r="BX72" s="18">
        <f>IF(AF72="","",--(AF72='Codebook'!$F$25))</f>
        <v>0</v>
      </c>
      <c r="BY72" s="18">
        <f>IF(AG72="","",--(AG72='Codebook'!$F$26))</f>
        <v>1</v>
      </c>
      <c r="BZ72" s="18">
        <f>IF(AH72="","",--(AH72='Codebook'!$F$27))</f>
        <v>1</v>
      </c>
      <c r="CA72" s="18">
        <f>IF(AI72="","",--(AI72='Codebook'!$F$28))</f>
        <v>0</v>
      </c>
      <c r="CB72" s="18">
        <f>IF(AJ72="","",--(AJ72='Codebook'!$F$29))</f>
        <v>1</v>
      </c>
      <c r="CC72" s="18">
        <f>IF(AK72="","",--(AK72='Codebook'!$F$30))</f>
        <v>1</v>
      </c>
      <c r="CD72" s="18">
        <f>IF(AL72="","",--(AL72='Codebook'!$F$31))</f>
        <v>0</v>
      </c>
      <c r="CE72" s="18">
        <f>IF(AM72="","",--(AM72='Codebook'!$F$32))</f>
        <v>1</v>
      </c>
      <c r="CF72" s="18">
        <f>IF(AN72="","",--(AN72='Codebook'!$F$33))</f>
        <v>1</v>
      </c>
      <c r="CG72" s="18">
        <f>IF(AO72="","",--(AO72='Codebook'!$F$34))</f>
        <v>0</v>
      </c>
      <c r="CH72" s="18">
        <f>IF(AP72="","",--(AP72='Codebook'!$F$35))</f>
        <v>0</v>
      </c>
      <c r="CI72" s="18">
        <f>IF(AQ72="","",--(AQ72='Codebook'!$F$36))</f>
        <v>1</v>
      </c>
      <c r="CJ72" s="18">
        <f>IF(AR72="","",--(AR72='Codebook'!$F$37))</f>
        <v>0</v>
      </c>
      <c r="CK72" s="18">
        <f>IF(AS72="","",--(AS72='Codebook'!$F$38))</f>
        <v>1</v>
      </c>
      <c r="CL72" s="18">
        <f>IF(AT72="","",--(AT72='Codebook'!$F$39))</f>
        <v>0</v>
      </c>
      <c r="CM72" s="18">
        <f>IF(AU72="","",--(AU72='Codebook'!$F$40))</f>
        <v>1</v>
      </c>
      <c r="CN72" s="18">
        <f>IF(AV72="","",--(AV72='Codebook'!$F$41))</f>
        <v>0</v>
      </c>
      <c r="CO72" s="18">
        <f>IF(AW72="","",--(AW72='Codebook'!$F$42))</f>
        <v>1</v>
      </c>
      <c r="CP72" s="18">
        <f>IF(AX72="","",--(AX72='Codebook'!$F$43))</f>
        <v>0</v>
      </c>
      <c r="CQ72" s="18">
        <f>IF(AY72="","",--(AY72='Codebook'!$F$44))</f>
        <v>1</v>
      </c>
      <c r="CR72" s="18">
        <f>IF(AZ72="","",--(AZ72='Codebook'!$F$45))</f>
        <v>0</v>
      </c>
    </row>
    <row r="73" spans="2:96" ht="24" customHeight="1">
      <c r="B73" s="18">
        <v>68</v>
      </c>
      <c r="C73" s="23">
        <v>46282.51580358796</v>
      </c>
      <c r="D73" s="21" t="s">
        <v>275</v>
      </c>
      <c r="E73" s="21" t="s">
        <v>194</v>
      </c>
      <c r="F73" s="21" t="s">
        <v>212</v>
      </c>
      <c r="G73" s="17" t="s">
        <v>247</v>
      </c>
      <c r="H73" s="21" t="s">
        <v>197</v>
      </c>
      <c r="I73" s="18">
        <f>SUM(BL73:BU73)</f>
        <v>5</v>
      </c>
      <c r="J73" s="18">
        <f>IF(COUNT(BV73:CD73)=9,SUM(BV73:CD73),"")</f>
        <v>3</v>
      </c>
      <c r="K73" s="18">
        <f>SUM(BL73:CD73)</f>
        <v>8</v>
      </c>
      <c r="L73" s="18">
        <f>--(K73&gt;='Codebook'!$C$8)</f>
        <v>0</v>
      </c>
      <c r="M73" s="18">
        <f>--(COUNT(BL73:CD73)=19)</f>
        <v>1</v>
      </c>
      <c r="N73" s="18">
        <f>SUM(CE73:CL73)</f>
        <v>1</v>
      </c>
      <c r="O73" s="18">
        <f>SUM(CM73:CR73)</f>
        <v>3</v>
      </c>
      <c r="P73" s="18">
        <f>N73+O73</f>
        <v>4</v>
      </c>
      <c r="Q73" s="21" t="s">
        <v>198</v>
      </c>
      <c r="R73" s="17" t="s">
        <v>152</v>
      </c>
      <c r="S73" s="18">
        <f>--OR(Overview!$B$6="All",E73=Overview!$B$6)*--OR(Overview!$F$6="All",F73=Overview!$F$6)*--OR(Overview!$J$6="All",G73=Overview!$J$6)*--OR(Overview!$N$6="All",H73=Overview!$N$6)</f>
        <v>1</v>
      </c>
      <c r="T73" s="21" t="s">
        <v>26</v>
      </c>
      <c r="U73" s="21" t="s">
        <v>22</v>
      </c>
      <c r="V73" s="21" t="s">
        <v>22</v>
      </c>
      <c r="W73" s="21" t="s">
        <v>22</v>
      </c>
      <c r="X73" s="21" t="s">
        <v>22</v>
      </c>
      <c r="Y73" s="21" t="s">
        <v>22</v>
      </c>
      <c r="Z73" s="21" t="s">
        <v>22</v>
      </c>
      <c r="AA73" s="21" t="s">
        <v>22</v>
      </c>
      <c r="AB73" s="21" t="s">
        <v>22</v>
      </c>
      <c r="AC73" s="21" t="s">
        <v>22</v>
      </c>
      <c r="AD73" s="21" t="s">
        <v>22</v>
      </c>
      <c r="AE73" s="21" t="s">
        <v>22</v>
      </c>
      <c r="AF73" s="21" t="s">
        <v>22</v>
      </c>
      <c r="AG73" s="21" t="s">
        <v>22</v>
      </c>
      <c r="AH73" s="21" t="s">
        <v>26</v>
      </c>
      <c r="AI73" s="21" t="s">
        <v>198</v>
      </c>
      <c r="AJ73" s="21" t="s">
        <v>198</v>
      </c>
      <c r="AK73" s="21" t="s">
        <v>198</v>
      </c>
      <c r="AL73" s="21" t="s">
        <v>22</v>
      </c>
      <c r="AM73" s="21" t="s">
        <v>198</v>
      </c>
      <c r="AN73" s="21" t="s">
        <v>109</v>
      </c>
      <c r="AO73" s="21" t="s">
        <v>83</v>
      </c>
      <c r="AP73" s="21" t="s">
        <v>109</v>
      </c>
      <c r="AQ73" s="21" t="s">
        <v>198</v>
      </c>
      <c r="AR73" s="21" t="s">
        <v>109</v>
      </c>
      <c r="AS73" s="21" t="s">
        <v>109</v>
      </c>
      <c r="AT73" s="21" t="s">
        <v>198</v>
      </c>
      <c r="AU73" s="21" t="s">
        <v>83</v>
      </c>
      <c r="AV73" s="21" t="s">
        <v>109</v>
      </c>
      <c r="AW73" s="21" t="s">
        <v>109</v>
      </c>
      <c r="AX73" s="21" t="s">
        <v>198</v>
      </c>
      <c r="AY73" s="21" t="s">
        <v>109</v>
      </c>
      <c r="AZ73" s="21" t="s">
        <v>83</v>
      </c>
      <c r="BA73" s="17" t="s">
        <v>236</v>
      </c>
      <c r="BB73" s="17" t="s">
        <v>223</v>
      </c>
      <c r="BC73" s="18">
        <f>--ISNUMBER(SEARCH("Radio or television",BA73))</f>
        <v>1</v>
      </c>
      <c r="BD73" s="18">
        <f>--ISNUMBER(SEARCH("Newspapers or print media",BA73))</f>
        <v>1</v>
      </c>
      <c r="BE73" s="18">
        <f>--ISNUMBER(SEARCH("Social media (e.g. Facebook, WhatsApp, YouTube, X/Twitter)",BA73))</f>
        <v>1</v>
      </c>
      <c r="BF73" s="18">
        <f>--ISNUMBER(SEARCH("Family members",BA73))</f>
        <v>1</v>
      </c>
      <c r="BG73" s="18">
        <f>--ISNUMBER(SEARCH("Friends or fellow students",BA73))</f>
        <v>1</v>
      </c>
      <c r="BH73" s="18">
        <f>--ISNUMBER(SEARCH("School coursework or lectures",BA73))</f>
        <v>0</v>
      </c>
      <c r="BI73" s="18">
        <f>--ISNUMBER(SEARCH("NHIMA outreach activities or NHIMA offices",BA73))</f>
        <v>0</v>
      </c>
      <c r="BJ73" s="18">
        <f>--ISNUMBER(SEARCH("Health facility staff",BA73))</f>
        <v>0</v>
      </c>
      <c r="BK73" s="18">
        <f>--ISNUMBER(SEARCH("not received information",BA73))</f>
        <v>0</v>
      </c>
      <c r="BL73" s="18">
        <f>IF(T73="","",--(T73='Codebook'!$F$13))</f>
        <v>0</v>
      </c>
      <c r="BM73" s="18">
        <f>IF(U73="","",--(U73='Codebook'!$F$14))</f>
        <v>0</v>
      </c>
      <c r="BN73" s="18">
        <f>IF(V73="","",--(V73='Codebook'!$F$15))</f>
        <v>0</v>
      </c>
      <c r="BO73" s="18">
        <f>IF(W73="","",--(W73='Codebook'!$F$16))</f>
        <v>1</v>
      </c>
      <c r="BP73" s="18">
        <f>IF(X73="","",--(X73='Codebook'!$F$17))</f>
        <v>1</v>
      </c>
      <c r="BQ73" s="18">
        <f>IF(Y73="","",--(Y73='Codebook'!$F$18))</f>
        <v>0</v>
      </c>
      <c r="BR73" s="18">
        <f>IF(Z73="","",--(Z73='Codebook'!$F$19))</f>
        <v>1</v>
      </c>
      <c r="BS73" s="18">
        <f>IF(AA73="","",--(AA73='Codebook'!$F$20))</f>
        <v>1</v>
      </c>
      <c r="BT73" s="18">
        <f>IF(AB73="","",--(AB73='Codebook'!$F$21))</f>
        <v>0</v>
      </c>
      <c r="BU73" s="18">
        <f>IF(AC73="","",--(AC73='Codebook'!$F$22))</f>
        <v>1</v>
      </c>
      <c r="BV73" s="18">
        <f>IF(AD73="","",--(AD73='Codebook'!$F$23))</f>
        <v>1</v>
      </c>
      <c r="BW73" s="18">
        <f>IF(AE73="","",--(AE73='Codebook'!$F$24))</f>
        <v>1</v>
      </c>
      <c r="BX73" s="18">
        <f>IF(AF73="","",--(AF73='Codebook'!$F$25))</f>
        <v>0</v>
      </c>
      <c r="BY73" s="18">
        <f>IF(AG73="","",--(AG73='Codebook'!$F$26))</f>
        <v>1</v>
      </c>
      <c r="BZ73" s="18">
        <f>IF(AH73="","",--(AH73='Codebook'!$F$27))</f>
        <v>0</v>
      </c>
      <c r="CA73" s="18">
        <f>IF(AI73="","",--(AI73='Codebook'!$F$28))</f>
        <v>0</v>
      </c>
      <c r="CB73" s="18">
        <f>IF(AJ73="","",--(AJ73='Codebook'!$F$29))</f>
        <v>0</v>
      </c>
      <c r="CC73" s="18">
        <f>IF(AK73="","",--(AK73='Codebook'!$F$30))</f>
        <v>0</v>
      </c>
      <c r="CD73" s="18">
        <f>IF(AL73="","",--(AL73='Codebook'!$F$31))</f>
        <v>0</v>
      </c>
      <c r="CE73" s="18">
        <f>IF(AM73="","",--(AM73='Codebook'!$F$32))</f>
        <v>0</v>
      </c>
      <c r="CF73" s="18">
        <f>IF(AN73="","",--(AN73='Codebook'!$F$33))</f>
        <v>0</v>
      </c>
      <c r="CG73" s="18">
        <f>IF(AO73="","",--(AO73='Codebook'!$F$34))</f>
        <v>1</v>
      </c>
      <c r="CH73" s="18">
        <f>IF(AP73="","",--(AP73='Codebook'!$F$35))</f>
        <v>0</v>
      </c>
      <c r="CI73" s="18">
        <f>IF(AQ73="","",--(AQ73='Codebook'!$F$36))</f>
        <v>0</v>
      </c>
      <c r="CJ73" s="18">
        <f>IF(AR73="","",--(AR73='Codebook'!$F$37))</f>
        <v>0</v>
      </c>
      <c r="CK73" s="18">
        <f>IF(AS73="","",--(AS73='Codebook'!$F$38))</f>
        <v>0</v>
      </c>
      <c r="CL73" s="18">
        <f>IF(AT73="","",--(AT73='Codebook'!$F$39))</f>
        <v>0</v>
      </c>
      <c r="CM73" s="18">
        <f>IF(AU73="","",--(AU73='Codebook'!$F$40))</f>
        <v>0</v>
      </c>
      <c r="CN73" s="18">
        <f>IF(AV73="","",--(AV73='Codebook'!$F$41))</f>
        <v>1</v>
      </c>
      <c r="CO73" s="18">
        <f>IF(AW73="","",--(AW73='Codebook'!$F$42))</f>
        <v>1</v>
      </c>
      <c r="CP73" s="18">
        <f>IF(AX73="","",--(AX73='Codebook'!$F$43))</f>
        <v>0</v>
      </c>
      <c r="CQ73" s="18">
        <f>IF(AY73="","",--(AY73='Codebook'!$F$44))</f>
        <v>1</v>
      </c>
      <c r="CR73" s="18">
        <f>IF(AZ73="","",--(AZ73='Codebook'!$F$45))</f>
        <v>0</v>
      </c>
    </row>
    <row r="74" spans="2:96" ht="24" customHeight="1">
      <c r="B74" s="18">
        <v>69</v>
      </c>
      <c r="C74" s="23">
        <v>46282.51657045139</v>
      </c>
      <c r="D74" s="21" t="s">
        <v>275</v>
      </c>
      <c r="E74" s="21" t="s">
        <v>194</v>
      </c>
      <c r="F74" s="21" t="s">
        <v>226</v>
      </c>
      <c r="G74" s="17" t="s">
        <v>247</v>
      </c>
      <c r="H74" s="21" t="s">
        <v>207</v>
      </c>
      <c r="I74" s="18">
        <f>SUM(BL74:BU74)</f>
        <v>4</v>
      </c>
      <c r="J74" s="18">
        <f>IF(COUNT(BV74:CD74)=9,SUM(BV74:CD74),"")</f>
        <v>2</v>
      </c>
      <c r="K74" s="18">
        <f>SUM(BL74:CD74)</f>
        <v>6</v>
      </c>
      <c r="L74" s="18">
        <f>--(K74&gt;='Codebook'!$C$8)</f>
        <v>0</v>
      </c>
      <c r="M74" s="18">
        <f>--(COUNT(BL74:CD74)=19)</f>
        <v>1</v>
      </c>
      <c r="N74" s="18">
        <f>SUM(CE74:CL74)</f>
        <v>2</v>
      </c>
      <c r="O74" s="18">
        <f>SUM(CM74:CR74)</f>
        <v>4</v>
      </c>
      <c r="P74" s="18">
        <f>N74+O74</f>
        <v>6</v>
      </c>
      <c r="Q74" s="21" t="s">
        <v>197</v>
      </c>
      <c r="R74" s="17" t="s">
        <v>152</v>
      </c>
      <c r="S74" s="18">
        <f>--OR(Overview!$B$6="All",E74=Overview!$B$6)*--OR(Overview!$F$6="All",F74=Overview!$F$6)*--OR(Overview!$J$6="All",G74=Overview!$J$6)*--OR(Overview!$N$6="All",H74=Overview!$N$6)</f>
        <v>1</v>
      </c>
      <c r="T74" s="21" t="s">
        <v>22</v>
      </c>
      <c r="U74" s="21" t="s">
        <v>22</v>
      </c>
      <c r="V74" s="21" t="s">
        <v>22</v>
      </c>
      <c r="W74" s="21" t="s">
        <v>22</v>
      </c>
      <c r="X74" s="21" t="s">
        <v>198</v>
      </c>
      <c r="Y74" s="21" t="s">
        <v>22</v>
      </c>
      <c r="Z74" s="21" t="s">
        <v>198</v>
      </c>
      <c r="AA74" s="21" t="s">
        <v>22</v>
      </c>
      <c r="AB74" s="21" t="s">
        <v>198</v>
      </c>
      <c r="AC74" s="21" t="s">
        <v>22</v>
      </c>
      <c r="AD74" s="21" t="s">
        <v>198</v>
      </c>
      <c r="AE74" s="21" t="s">
        <v>22</v>
      </c>
      <c r="AF74" s="21" t="s">
        <v>198</v>
      </c>
      <c r="AG74" s="21" t="s">
        <v>22</v>
      </c>
      <c r="AH74" s="21" t="s">
        <v>198</v>
      </c>
      <c r="AI74" s="21" t="s">
        <v>22</v>
      </c>
      <c r="AJ74" s="21" t="s">
        <v>198</v>
      </c>
      <c r="AK74" s="21" t="s">
        <v>198</v>
      </c>
      <c r="AL74" s="21" t="s">
        <v>198</v>
      </c>
      <c r="AM74" s="21" t="s">
        <v>198</v>
      </c>
      <c r="AN74" s="21" t="s">
        <v>83</v>
      </c>
      <c r="AO74" s="21" t="s">
        <v>83</v>
      </c>
      <c r="AP74" s="21" t="s">
        <v>109</v>
      </c>
      <c r="AQ74" s="21" t="s">
        <v>198</v>
      </c>
      <c r="AR74" s="21" t="s">
        <v>109</v>
      </c>
      <c r="AS74" s="21" t="s">
        <v>198</v>
      </c>
      <c r="AT74" s="21" t="s">
        <v>198</v>
      </c>
      <c r="AU74" s="21" t="s">
        <v>83</v>
      </c>
      <c r="AV74" s="21" t="s">
        <v>109</v>
      </c>
      <c r="AW74" s="21" t="s">
        <v>83</v>
      </c>
      <c r="AX74" s="21" t="s">
        <v>109</v>
      </c>
      <c r="AY74" s="21" t="s">
        <v>109</v>
      </c>
      <c r="AZ74" s="21" t="s">
        <v>109</v>
      </c>
      <c r="BA74" s="17" t="s">
        <v>276</v>
      </c>
      <c r="BB74" s="17" t="s">
        <v>223</v>
      </c>
      <c r="BC74" s="18">
        <f>--ISNUMBER(SEARCH("Radio or television",BA74))</f>
        <v>1</v>
      </c>
      <c r="BD74" s="18">
        <f>--ISNUMBER(SEARCH("Newspapers or print media",BA74))</f>
        <v>1</v>
      </c>
      <c r="BE74" s="18">
        <f>--ISNUMBER(SEARCH("Social media (e.g. Facebook, WhatsApp, YouTube, X/Twitter)",BA74))</f>
        <v>1</v>
      </c>
      <c r="BF74" s="18">
        <f>--ISNUMBER(SEARCH("Family members",BA74))</f>
        <v>1</v>
      </c>
      <c r="BG74" s="18">
        <f>--ISNUMBER(SEARCH("Friends or fellow students",BA74))</f>
        <v>0</v>
      </c>
      <c r="BH74" s="18">
        <f>--ISNUMBER(SEARCH("School coursework or lectures",BA74))</f>
        <v>0</v>
      </c>
      <c r="BI74" s="18">
        <f>--ISNUMBER(SEARCH("NHIMA outreach activities or NHIMA offices",BA74))</f>
        <v>1</v>
      </c>
      <c r="BJ74" s="18">
        <f>--ISNUMBER(SEARCH("Health facility staff",BA74))</f>
        <v>0</v>
      </c>
      <c r="BK74" s="18">
        <f>--ISNUMBER(SEARCH("not received information",BA74))</f>
        <v>0</v>
      </c>
      <c r="BL74" s="18">
        <f>IF(T74="","",--(T74='Codebook'!$F$13))</f>
        <v>1</v>
      </c>
      <c r="BM74" s="18">
        <f>IF(U74="","",--(U74='Codebook'!$F$14))</f>
        <v>0</v>
      </c>
      <c r="BN74" s="18">
        <f>IF(V74="","",--(V74='Codebook'!$F$15))</f>
        <v>0</v>
      </c>
      <c r="BO74" s="18">
        <f>IF(W74="","",--(W74='Codebook'!$F$16))</f>
        <v>1</v>
      </c>
      <c r="BP74" s="18">
        <f>IF(X74="","",--(X74='Codebook'!$F$17))</f>
        <v>0</v>
      </c>
      <c r="BQ74" s="18">
        <f>IF(Y74="","",--(Y74='Codebook'!$F$18))</f>
        <v>0</v>
      </c>
      <c r="BR74" s="18">
        <f>IF(Z74="","",--(Z74='Codebook'!$F$19))</f>
        <v>0</v>
      </c>
      <c r="BS74" s="18">
        <f>IF(AA74="","",--(AA74='Codebook'!$F$20))</f>
        <v>1</v>
      </c>
      <c r="BT74" s="18">
        <f>IF(AB74="","",--(AB74='Codebook'!$F$21))</f>
        <v>0</v>
      </c>
      <c r="BU74" s="18">
        <f>IF(AC74="","",--(AC74='Codebook'!$F$22))</f>
        <v>1</v>
      </c>
      <c r="BV74" s="18">
        <f>IF(AD74="","",--(AD74='Codebook'!$F$23))</f>
        <v>0</v>
      </c>
      <c r="BW74" s="18">
        <f>IF(AE74="","",--(AE74='Codebook'!$F$24))</f>
        <v>1</v>
      </c>
      <c r="BX74" s="18">
        <f>IF(AF74="","",--(AF74='Codebook'!$F$25))</f>
        <v>0</v>
      </c>
      <c r="BY74" s="18">
        <f>IF(AG74="","",--(AG74='Codebook'!$F$26))</f>
        <v>1</v>
      </c>
      <c r="BZ74" s="18">
        <f>IF(AH74="","",--(AH74='Codebook'!$F$27))</f>
        <v>0</v>
      </c>
      <c r="CA74" s="18">
        <f>IF(AI74="","",--(AI74='Codebook'!$F$28))</f>
        <v>0</v>
      </c>
      <c r="CB74" s="18">
        <f>IF(AJ74="","",--(AJ74='Codebook'!$F$29))</f>
        <v>0</v>
      </c>
      <c r="CC74" s="18">
        <f>IF(AK74="","",--(AK74='Codebook'!$F$30))</f>
        <v>0</v>
      </c>
      <c r="CD74" s="18">
        <f>IF(AL74="","",--(AL74='Codebook'!$F$31))</f>
        <v>0</v>
      </c>
      <c r="CE74" s="18">
        <f>IF(AM74="","",--(AM74='Codebook'!$F$32))</f>
        <v>0</v>
      </c>
      <c r="CF74" s="18">
        <f>IF(AN74="","",--(AN74='Codebook'!$F$33))</f>
        <v>1</v>
      </c>
      <c r="CG74" s="18">
        <f>IF(AO74="","",--(AO74='Codebook'!$F$34))</f>
        <v>1</v>
      </c>
      <c r="CH74" s="18">
        <f>IF(AP74="","",--(AP74='Codebook'!$F$35))</f>
        <v>0</v>
      </c>
      <c r="CI74" s="18">
        <f>IF(AQ74="","",--(AQ74='Codebook'!$F$36))</f>
        <v>0</v>
      </c>
      <c r="CJ74" s="18">
        <f>IF(AR74="","",--(AR74='Codebook'!$F$37))</f>
        <v>0</v>
      </c>
      <c r="CK74" s="18">
        <f>IF(AS74="","",--(AS74='Codebook'!$F$38))</f>
        <v>0</v>
      </c>
      <c r="CL74" s="18">
        <f>IF(AT74="","",--(AT74='Codebook'!$F$39))</f>
        <v>0</v>
      </c>
      <c r="CM74" s="18">
        <f>IF(AU74="","",--(AU74='Codebook'!$F$40))</f>
        <v>0</v>
      </c>
      <c r="CN74" s="18">
        <f>IF(AV74="","",--(AV74='Codebook'!$F$41))</f>
        <v>1</v>
      </c>
      <c r="CO74" s="18">
        <f>IF(AW74="","",--(AW74='Codebook'!$F$42))</f>
        <v>0</v>
      </c>
      <c r="CP74" s="18">
        <f>IF(AX74="","",--(AX74='Codebook'!$F$43))</f>
        <v>1</v>
      </c>
      <c r="CQ74" s="18">
        <f>IF(AY74="","",--(AY74='Codebook'!$F$44))</f>
        <v>1</v>
      </c>
      <c r="CR74" s="18">
        <f>IF(AZ74="","",--(AZ74='Codebook'!$F$45))</f>
        <v>1</v>
      </c>
    </row>
    <row r="75" spans="2:96" ht="24" customHeight="1">
      <c r="B75" s="18">
        <v>70</v>
      </c>
      <c r="C75" s="23">
        <v>46282.58859388889</v>
      </c>
      <c r="D75" s="21" t="s">
        <v>275</v>
      </c>
      <c r="E75" s="21" t="s">
        <v>206</v>
      </c>
      <c r="F75" s="21" t="s">
        <v>212</v>
      </c>
      <c r="G75" s="17" t="s">
        <v>224</v>
      </c>
      <c r="H75" s="21" t="s">
        <v>197</v>
      </c>
      <c r="I75" s="18">
        <f>SUM(BL75:BU75)</f>
        <v>6</v>
      </c>
      <c r="J75" s="18">
        <f>IF(COUNT(BV75:CD75)=9,SUM(BV75:CD75),"")</f>
        <v>6</v>
      </c>
      <c r="K75" s="18">
        <f>SUM(BL75:CD75)</f>
        <v>12</v>
      </c>
      <c r="L75" s="18">
        <f>--(K75&gt;='Codebook'!$C$8)</f>
        <v>1</v>
      </c>
      <c r="M75" s="18">
        <f>--(COUNT(BL75:CD75)=19)</f>
        <v>1</v>
      </c>
      <c r="N75" s="18">
        <f>SUM(CE75:CL75)</f>
        <v>4</v>
      </c>
      <c r="O75" s="18">
        <f>SUM(CM75:CR75)</f>
        <v>0</v>
      </c>
      <c r="P75" s="18">
        <f>N75+O75</f>
        <v>4</v>
      </c>
      <c r="Q75" s="21" t="s">
        <v>198</v>
      </c>
      <c r="R75" s="17" t="s">
        <v>152</v>
      </c>
      <c r="S75" s="18">
        <f>--OR(Overview!$B$6="All",E75=Overview!$B$6)*--OR(Overview!$F$6="All",F75=Overview!$F$6)*--OR(Overview!$J$6="All",G75=Overview!$J$6)*--OR(Overview!$N$6="All",H75=Overview!$N$6)</f>
        <v>1</v>
      </c>
      <c r="T75" s="21" t="s">
        <v>22</v>
      </c>
      <c r="U75" s="21" t="s">
        <v>22</v>
      </c>
      <c r="V75" s="21" t="s">
        <v>22</v>
      </c>
      <c r="W75" s="21" t="s">
        <v>22</v>
      </c>
      <c r="X75" s="21" t="s">
        <v>22</v>
      </c>
      <c r="Y75" s="21" t="s">
        <v>22</v>
      </c>
      <c r="Z75" s="21" t="s">
        <v>22</v>
      </c>
      <c r="AA75" s="21" t="s">
        <v>22</v>
      </c>
      <c r="AB75" s="21" t="s">
        <v>22</v>
      </c>
      <c r="AC75" s="21" t="s">
        <v>22</v>
      </c>
      <c r="AD75" s="21" t="s">
        <v>22</v>
      </c>
      <c r="AE75" s="21" t="s">
        <v>22</v>
      </c>
      <c r="AF75" s="21" t="s">
        <v>22</v>
      </c>
      <c r="AG75" s="21" t="s">
        <v>22</v>
      </c>
      <c r="AH75" s="21" t="s">
        <v>22</v>
      </c>
      <c r="AI75" s="21" t="s">
        <v>22</v>
      </c>
      <c r="AJ75" s="21" t="s">
        <v>22</v>
      </c>
      <c r="AK75" s="21" t="s">
        <v>22</v>
      </c>
      <c r="AL75" s="21" t="s">
        <v>26</v>
      </c>
      <c r="AM75" s="21" t="s">
        <v>83</v>
      </c>
      <c r="AN75" s="21" t="s">
        <v>109</v>
      </c>
      <c r="AO75" s="21" t="s">
        <v>109</v>
      </c>
      <c r="AP75" s="21" t="s">
        <v>109</v>
      </c>
      <c r="AQ75" s="21" t="s">
        <v>109</v>
      </c>
      <c r="AR75" s="21" t="s">
        <v>83</v>
      </c>
      <c r="AS75" s="21" t="s">
        <v>83</v>
      </c>
      <c r="AT75" s="21" t="s">
        <v>83</v>
      </c>
      <c r="AU75" s="21" t="s">
        <v>83</v>
      </c>
      <c r="AV75" s="21" t="s">
        <v>83</v>
      </c>
      <c r="AW75" s="21" t="s">
        <v>198</v>
      </c>
      <c r="AX75" s="21" t="s">
        <v>198</v>
      </c>
      <c r="AY75" s="21" t="s">
        <v>198</v>
      </c>
      <c r="AZ75" s="21" t="s">
        <v>198</v>
      </c>
      <c r="BA75" s="17" t="s">
        <v>274</v>
      </c>
      <c r="BB75" s="17" t="s">
        <v>223</v>
      </c>
      <c r="BC75" s="18">
        <f>--ISNUMBER(SEARCH("Radio or television",BA75))</f>
        <v>1</v>
      </c>
      <c r="BD75" s="18">
        <f>--ISNUMBER(SEARCH("Newspapers or print media",BA75))</f>
        <v>1</v>
      </c>
      <c r="BE75" s="18">
        <f>--ISNUMBER(SEARCH("Social media (e.g. Facebook, WhatsApp, YouTube, X/Twitter)",BA75))</f>
        <v>1</v>
      </c>
      <c r="BF75" s="18">
        <f>--ISNUMBER(SEARCH("Family members",BA75))</f>
        <v>1</v>
      </c>
      <c r="BG75" s="18">
        <f>--ISNUMBER(SEARCH("Friends or fellow students",BA75))</f>
        <v>0</v>
      </c>
      <c r="BH75" s="18">
        <f>--ISNUMBER(SEARCH("School coursework or lectures",BA75))</f>
        <v>0</v>
      </c>
      <c r="BI75" s="18">
        <f>--ISNUMBER(SEARCH("NHIMA outreach activities or NHIMA offices",BA75))</f>
        <v>0</v>
      </c>
      <c r="BJ75" s="18">
        <f>--ISNUMBER(SEARCH("Health facility staff",BA75))</f>
        <v>0</v>
      </c>
      <c r="BK75" s="18">
        <f>--ISNUMBER(SEARCH("not received information",BA75))</f>
        <v>0</v>
      </c>
      <c r="BL75" s="18">
        <f>IF(T75="","",--(T75='Codebook'!$F$13))</f>
        <v>1</v>
      </c>
      <c r="BM75" s="18">
        <f>IF(U75="","",--(U75='Codebook'!$F$14))</f>
        <v>0</v>
      </c>
      <c r="BN75" s="18">
        <f>IF(V75="","",--(V75='Codebook'!$F$15))</f>
        <v>0</v>
      </c>
      <c r="BO75" s="18">
        <f>IF(W75="","",--(W75='Codebook'!$F$16))</f>
        <v>1</v>
      </c>
      <c r="BP75" s="18">
        <f>IF(X75="","",--(X75='Codebook'!$F$17))</f>
        <v>1</v>
      </c>
      <c r="BQ75" s="18">
        <f>IF(Y75="","",--(Y75='Codebook'!$F$18))</f>
        <v>0</v>
      </c>
      <c r="BR75" s="18">
        <f>IF(Z75="","",--(Z75='Codebook'!$F$19))</f>
        <v>1</v>
      </c>
      <c r="BS75" s="18">
        <f>IF(AA75="","",--(AA75='Codebook'!$F$20))</f>
        <v>1</v>
      </c>
      <c r="BT75" s="18">
        <f>IF(AB75="","",--(AB75='Codebook'!$F$21))</f>
        <v>0</v>
      </c>
      <c r="BU75" s="18">
        <f>IF(AC75="","",--(AC75='Codebook'!$F$22))</f>
        <v>1</v>
      </c>
      <c r="BV75" s="18">
        <f>IF(AD75="","",--(AD75='Codebook'!$F$23))</f>
        <v>1</v>
      </c>
      <c r="BW75" s="18">
        <f>IF(AE75="","",--(AE75='Codebook'!$F$24))</f>
        <v>1</v>
      </c>
      <c r="BX75" s="18">
        <f>IF(AF75="","",--(AF75='Codebook'!$F$25))</f>
        <v>0</v>
      </c>
      <c r="BY75" s="18">
        <f>IF(AG75="","",--(AG75='Codebook'!$F$26))</f>
        <v>1</v>
      </c>
      <c r="BZ75" s="18">
        <f>IF(AH75="","",--(AH75='Codebook'!$F$27))</f>
        <v>1</v>
      </c>
      <c r="CA75" s="18">
        <f>IF(AI75="","",--(AI75='Codebook'!$F$28))</f>
        <v>0</v>
      </c>
      <c r="CB75" s="18">
        <f>IF(AJ75="","",--(AJ75='Codebook'!$F$29))</f>
        <v>0</v>
      </c>
      <c r="CC75" s="18">
        <f>IF(AK75="","",--(AK75='Codebook'!$F$30))</f>
        <v>1</v>
      </c>
      <c r="CD75" s="18">
        <f>IF(AL75="","",--(AL75='Codebook'!$F$31))</f>
        <v>1</v>
      </c>
      <c r="CE75" s="18">
        <f>IF(AM75="","",--(AM75='Codebook'!$F$32))</f>
        <v>1</v>
      </c>
      <c r="CF75" s="18">
        <f>IF(AN75="","",--(AN75='Codebook'!$F$33))</f>
        <v>0</v>
      </c>
      <c r="CG75" s="18">
        <f>IF(AO75="","",--(AO75='Codebook'!$F$34))</f>
        <v>0</v>
      </c>
      <c r="CH75" s="18">
        <f>IF(AP75="","",--(AP75='Codebook'!$F$35))</f>
        <v>0</v>
      </c>
      <c r="CI75" s="18">
        <f>IF(AQ75="","",--(AQ75='Codebook'!$F$36))</f>
        <v>0</v>
      </c>
      <c r="CJ75" s="18">
        <f>IF(AR75="","",--(AR75='Codebook'!$F$37))</f>
        <v>1</v>
      </c>
      <c r="CK75" s="18">
        <f>IF(AS75="","",--(AS75='Codebook'!$F$38))</f>
        <v>1</v>
      </c>
      <c r="CL75" s="18">
        <f>IF(AT75="","",--(AT75='Codebook'!$F$39))</f>
        <v>1</v>
      </c>
      <c r="CM75" s="18">
        <f>IF(AU75="","",--(AU75='Codebook'!$F$40))</f>
        <v>0</v>
      </c>
      <c r="CN75" s="18">
        <f>IF(AV75="","",--(AV75='Codebook'!$F$41))</f>
        <v>0</v>
      </c>
      <c r="CO75" s="18">
        <f>IF(AW75="","",--(AW75='Codebook'!$F$42))</f>
        <v>0</v>
      </c>
      <c r="CP75" s="18">
        <f>IF(AX75="","",--(AX75='Codebook'!$F$43))</f>
        <v>0</v>
      </c>
      <c r="CQ75" s="18">
        <f>IF(AY75="","",--(AY75='Codebook'!$F$44))</f>
        <v>0</v>
      </c>
      <c r="CR75" s="18">
        <f>IF(AZ75="","",--(AZ75='Codebook'!$F$45))</f>
        <v>0</v>
      </c>
    </row>
    <row r="76" spans="2:96" ht="24" customHeight="1">
      <c r="B76" s="18">
        <v>71</v>
      </c>
      <c r="C76" s="23">
        <v>46282.58947994213</v>
      </c>
      <c r="D76" s="21" t="s">
        <v>275</v>
      </c>
      <c r="E76" s="21" t="s">
        <v>206</v>
      </c>
      <c r="F76" s="21" t="s">
        <v>195</v>
      </c>
      <c r="G76" s="17" t="s">
        <v>202</v>
      </c>
      <c r="H76" s="21" t="s">
        <v>207</v>
      </c>
      <c r="I76" s="18">
        <f>SUM(BL76:BU76)</f>
        <v>5</v>
      </c>
      <c r="J76" s="18">
        <f>IF(COUNT(BV76:CD76)=9,SUM(BV76:CD76),"")</f>
        <v>3</v>
      </c>
      <c r="K76" s="18">
        <f>SUM(BL76:CD76)</f>
        <v>8</v>
      </c>
      <c r="L76" s="18">
        <f>--(K76&gt;='Codebook'!$C$8)</f>
        <v>0</v>
      </c>
      <c r="M76" s="18">
        <f>--(COUNT(BL76:CD76)=19)</f>
        <v>1</v>
      </c>
      <c r="N76" s="18">
        <f>SUM(CE76:CL76)</f>
        <v>2</v>
      </c>
      <c r="O76" s="18">
        <f>SUM(CM76:CR76)</f>
        <v>0</v>
      </c>
      <c r="P76" s="18">
        <f>N76+O76</f>
        <v>2</v>
      </c>
      <c r="Q76" s="21" t="s">
        <v>198</v>
      </c>
      <c r="R76" s="17" t="s">
        <v>152</v>
      </c>
      <c r="S76" s="18">
        <f>--OR(Overview!$B$6="All",E76=Overview!$B$6)*--OR(Overview!$F$6="All",F76=Overview!$F$6)*--OR(Overview!$J$6="All",G76=Overview!$J$6)*--OR(Overview!$N$6="All",H76=Overview!$N$6)</f>
        <v>1</v>
      </c>
      <c r="T76" s="21" t="s">
        <v>22</v>
      </c>
      <c r="U76" s="21" t="s">
        <v>22</v>
      </c>
      <c r="V76" s="21" t="s">
        <v>22</v>
      </c>
      <c r="W76" s="21" t="s">
        <v>22</v>
      </c>
      <c r="X76" s="21" t="s">
        <v>22</v>
      </c>
      <c r="Y76" s="21" t="s">
        <v>22</v>
      </c>
      <c r="Z76" s="21" t="s">
        <v>22</v>
      </c>
      <c r="AA76" s="21" t="s">
        <v>22</v>
      </c>
      <c r="AB76" s="21" t="s">
        <v>198</v>
      </c>
      <c r="AC76" s="21" t="s">
        <v>26</v>
      </c>
      <c r="AD76" s="21" t="s">
        <v>198</v>
      </c>
      <c r="AE76" s="21" t="s">
        <v>22</v>
      </c>
      <c r="AF76" s="21" t="s">
        <v>22</v>
      </c>
      <c r="AG76" s="21" t="s">
        <v>22</v>
      </c>
      <c r="AH76" s="21" t="s">
        <v>22</v>
      </c>
      <c r="AI76" s="21" t="s">
        <v>22</v>
      </c>
      <c r="AJ76" s="21" t="s">
        <v>22</v>
      </c>
      <c r="AK76" s="21" t="s">
        <v>26</v>
      </c>
      <c r="AL76" s="21" t="s">
        <v>22</v>
      </c>
      <c r="AM76" s="21" t="s">
        <v>83</v>
      </c>
      <c r="AN76" s="21" t="s">
        <v>83</v>
      </c>
      <c r="AO76" s="21" t="s">
        <v>109</v>
      </c>
      <c r="AP76" s="21" t="s">
        <v>198</v>
      </c>
      <c r="AQ76" s="21" t="s">
        <v>198</v>
      </c>
      <c r="AR76" s="21" t="s">
        <v>109</v>
      </c>
      <c r="AS76" s="21" t="s">
        <v>198</v>
      </c>
      <c r="AT76" s="21" t="s">
        <v>198</v>
      </c>
      <c r="AU76" s="21" t="s">
        <v>198</v>
      </c>
      <c r="AV76" s="21" t="s">
        <v>198</v>
      </c>
      <c r="AW76" s="21" t="s">
        <v>198</v>
      </c>
      <c r="AX76" s="21" t="s">
        <v>198</v>
      </c>
      <c r="AY76" s="21" t="s">
        <v>198</v>
      </c>
      <c r="AZ76" s="21" t="s">
        <v>198</v>
      </c>
      <c r="BA76" s="17" t="s">
        <v>271</v>
      </c>
      <c r="BB76" s="17" t="s">
        <v>223</v>
      </c>
      <c r="BC76" s="18">
        <f>--ISNUMBER(SEARCH("Radio or television",BA76))</f>
        <v>1</v>
      </c>
      <c r="BD76" s="18">
        <f>--ISNUMBER(SEARCH("Newspapers or print media",BA76))</f>
        <v>1</v>
      </c>
      <c r="BE76" s="18">
        <f>--ISNUMBER(SEARCH("Social media (e.g. Facebook, WhatsApp, YouTube, X/Twitter)",BA76))</f>
        <v>0</v>
      </c>
      <c r="BF76" s="18">
        <f>--ISNUMBER(SEARCH("Family members",BA76))</f>
        <v>0</v>
      </c>
      <c r="BG76" s="18">
        <f>--ISNUMBER(SEARCH("Friends or fellow students",BA76))</f>
        <v>0</v>
      </c>
      <c r="BH76" s="18">
        <f>--ISNUMBER(SEARCH("School coursework or lectures",BA76))</f>
        <v>0</v>
      </c>
      <c r="BI76" s="18">
        <f>--ISNUMBER(SEARCH("NHIMA outreach activities or NHIMA offices",BA76))</f>
        <v>0</v>
      </c>
      <c r="BJ76" s="18">
        <f>--ISNUMBER(SEARCH("Health facility staff",BA76))</f>
        <v>0</v>
      </c>
      <c r="BK76" s="18">
        <f>--ISNUMBER(SEARCH("not received information",BA76))</f>
        <v>0</v>
      </c>
      <c r="BL76" s="18">
        <f>IF(T76="","",--(T76='Codebook'!$F$13))</f>
        <v>1</v>
      </c>
      <c r="BM76" s="18">
        <f>IF(U76="","",--(U76='Codebook'!$F$14))</f>
        <v>0</v>
      </c>
      <c r="BN76" s="18">
        <f>IF(V76="","",--(V76='Codebook'!$F$15))</f>
        <v>0</v>
      </c>
      <c r="BO76" s="18">
        <f>IF(W76="","",--(W76='Codebook'!$F$16))</f>
        <v>1</v>
      </c>
      <c r="BP76" s="18">
        <f>IF(X76="","",--(X76='Codebook'!$F$17))</f>
        <v>1</v>
      </c>
      <c r="BQ76" s="18">
        <f>IF(Y76="","",--(Y76='Codebook'!$F$18))</f>
        <v>0</v>
      </c>
      <c r="BR76" s="18">
        <f>IF(Z76="","",--(Z76='Codebook'!$F$19))</f>
        <v>1</v>
      </c>
      <c r="BS76" s="18">
        <f>IF(AA76="","",--(AA76='Codebook'!$F$20))</f>
        <v>1</v>
      </c>
      <c r="BT76" s="18">
        <f>IF(AB76="","",--(AB76='Codebook'!$F$21))</f>
        <v>0</v>
      </c>
      <c r="BU76" s="18">
        <f>IF(AC76="","",--(AC76='Codebook'!$F$22))</f>
        <v>0</v>
      </c>
      <c r="BV76" s="18">
        <f>IF(AD76="","",--(AD76='Codebook'!$F$23))</f>
        <v>0</v>
      </c>
      <c r="BW76" s="18">
        <f>IF(AE76="","",--(AE76='Codebook'!$F$24))</f>
        <v>1</v>
      </c>
      <c r="BX76" s="18">
        <f>IF(AF76="","",--(AF76='Codebook'!$F$25))</f>
        <v>0</v>
      </c>
      <c r="BY76" s="18">
        <f>IF(AG76="","",--(AG76='Codebook'!$F$26))</f>
        <v>1</v>
      </c>
      <c r="BZ76" s="18">
        <f>IF(AH76="","",--(AH76='Codebook'!$F$27))</f>
        <v>1</v>
      </c>
      <c r="CA76" s="18">
        <f>IF(AI76="","",--(AI76='Codebook'!$F$28))</f>
        <v>0</v>
      </c>
      <c r="CB76" s="18">
        <f>IF(AJ76="","",--(AJ76='Codebook'!$F$29))</f>
        <v>0</v>
      </c>
      <c r="CC76" s="18">
        <f>IF(AK76="","",--(AK76='Codebook'!$F$30))</f>
        <v>0</v>
      </c>
      <c r="CD76" s="18">
        <f>IF(AL76="","",--(AL76='Codebook'!$F$31))</f>
        <v>0</v>
      </c>
      <c r="CE76" s="18">
        <f>IF(AM76="","",--(AM76='Codebook'!$F$32))</f>
        <v>1</v>
      </c>
      <c r="CF76" s="18">
        <f>IF(AN76="","",--(AN76='Codebook'!$F$33))</f>
        <v>1</v>
      </c>
      <c r="CG76" s="18">
        <f>IF(AO76="","",--(AO76='Codebook'!$F$34))</f>
        <v>0</v>
      </c>
      <c r="CH76" s="18">
        <f>IF(AP76="","",--(AP76='Codebook'!$F$35))</f>
        <v>0</v>
      </c>
      <c r="CI76" s="18">
        <f>IF(AQ76="","",--(AQ76='Codebook'!$F$36))</f>
        <v>0</v>
      </c>
      <c r="CJ76" s="18">
        <f>IF(AR76="","",--(AR76='Codebook'!$F$37))</f>
        <v>0</v>
      </c>
      <c r="CK76" s="18">
        <f>IF(AS76="","",--(AS76='Codebook'!$F$38))</f>
        <v>0</v>
      </c>
      <c r="CL76" s="18">
        <f>IF(AT76="","",--(AT76='Codebook'!$F$39))</f>
        <v>0</v>
      </c>
      <c r="CM76" s="18">
        <f>IF(AU76="","",--(AU76='Codebook'!$F$40))</f>
        <v>0</v>
      </c>
      <c r="CN76" s="18">
        <f>IF(AV76="","",--(AV76='Codebook'!$F$41))</f>
        <v>0</v>
      </c>
      <c r="CO76" s="18">
        <f>IF(AW76="","",--(AW76='Codebook'!$F$42))</f>
        <v>0</v>
      </c>
      <c r="CP76" s="18">
        <f>IF(AX76="","",--(AX76='Codebook'!$F$43))</f>
        <v>0</v>
      </c>
      <c r="CQ76" s="18">
        <f>IF(AY76="","",--(AY76='Codebook'!$F$44))</f>
        <v>0</v>
      </c>
      <c r="CR76" s="18">
        <f>IF(AZ76="","",--(AZ76='Codebook'!$F$45))</f>
        <v>0</v>
      </c>
    </row>
    <row r="77" spans="2:96" ht="24" customHeight="1">
      <c r="B77" s="18">
        <v>72</v>
      </c>
      <c r="C77" s="23">
        <v>46282.59053157407</v>
      </c>
      <c r="D77" s="21" t="s">
        <v>275</v>
      </c>
      <c r="E77" s="21" t="s">
        <v>194</v>
      </c>
      <c r="F77" s="21" t="s">
        <v>201</v>
      </c>
      <c r="G77" s="17" t="s">
        <v>196</v>
      </c>
      <c r="H77" s="21" t="s">
        <v>207</v>
      </c>
      <c r="I77" s="18">
        <f>SUM(BL77:BU77)</f>
        <v>5</v>
      </c>
      <c r="J77" s="18">
        <f>IF(COUNT(BV77:CD77)=9,SUM(BV77:CD77),"")</f>
        <v>4</v>
      </c>
      <c r="K77" s="18">
        <f>SUM(BL77:CD77)</f>
        <v>9</v>
      </c>
      <c r="L77" s="18">
        <f>--(K77&gt;='Codebook'!$C$8)</f>
        <v>0</v>
      </c>
      <c r="M77" s="18">
        <f>--(COUNT(BL77:CD77)=19)</f>
        <v>1</v>
      </c>
      <c r="N77" s="18">
        <f>SUM(CE77:CL77)</f>
        <v>5</v>
      </c>
      <c r="O77" s="18">
        <f>SUM(CM77:CR77)</f>
        <v>4</v>
      </c>
      <c r="P77" s="18">
        <f>N77+O77</f>
        <v>9</v>
      </c>
      <c r="Q77" s="21" t="s">
        <v>198</v>
      </c>
      <c r="R77" s="17" t="s">
        <v>153</v>
      </c>
      <c r="S77" s="18">
        <f>--OR(Overview!$B$6="All",E77=Overview!$B$6)*--OR(Overview!$F$6="All",F77=Overview!$F$6)*--OR(Overview!$J$6="All",G77=Overview!$J$6)*--OR(Overview!$N$6="All",H77=Overview!$N$6)</f>
        <v>1</v>
      </c>
      <c r="T77" s="21" t="s">
        <v>22</v>
      </c>
      <c r="U77" s="21" t="s">
        <v>22</v>
      </c>
      <c r="V77" s="21" t="s">
        <v>22</v>
      </c>
      <c r="W77" s="21" t="s">
        <v>22</v>
      </c>
      <c r="X77" s="21" t="s">
        <v>22</v>
      </c>
      <c r="Y77" s="21" t="s">
        <v>22</v>
      </c>
      <c r="Z77" s="21" t="s">
        <v>22</v>
      </c>
      <c r="AA77" s="21" t="s">
        <v>22</v>
      </c>
      <c r="AB77" s="21" t="s">
        <v>22</v>
      </c>
      <c r="AC77" s="21" t="s">
        <v>26</v>
      </c>
      <c r="AD77" s="21" t="s">
        <v>198</v>
      </c>
      <c r="AE77" s="21" t="s">
        <v>22</v>
      </c>
      <c r="AF77" s="21" t="s">
        <v>22</v>
      </c>
      <c r="AG77" s="21" t="s">
        <v>22</v>
      </c>
      <c r="AH77" s="21" t="s">
        <v>22</v>
      </c>
      <c r="AI77" s="21" t="s">
        <v>22</v>
      </c>
      <c r="AJ77" s="21" t="s">
        <v>198</v>
      </c>
      <c r="AK77" s="21" t="s">
        <v>26</v>
      </c>
      <c r="AL77" s="21" t="s">
        <v>26</v>
      </c>
      <c r="AM77" s="21" t="s">
        <v>83</v>
      </c>
      <c r="AN77" s="21" t="s">
        <v>109</v>
      </c>
      <c r="AO77" s="21" t="s">
        <v>109</v>
      </c>
      <c r="AP77" s="21" t="s">
        <v>83</v>
      </c>
      <c r="AQ77" s="21" t="s">
        <v>83</v>
      </c>
      <c r="AR77" s="21" t="s">
        <v>109</v>
      </c>
      <c r="AS77" s="21" t="s">
        <v>83</v>
      </c>
      <c r="AT77" s="21" t="s">
        <v>83</v>
      </c>
      <c r="AU77" s="21" t="s">
        <v>109</v>
      </c>
      <c r="AV77" s="21" t="s">
        <v>109</v>
      </c>
      <c r="AW77" s="21" t="s">
        <v>83</v>
      </c>
      <c r="AX77" s="21" t="s">
        <v>83</v>
      </c>
      <c r="AY77" s="21" t="s">
        <v>109</v>
      </c>
      <c r="AZ77" s="21" t="s">
        <v>109</v>
      </c>
      <c r="BA77" s="17" t="s">
        <v>269</v>
      </c>
      <c r="BB77" s="17" t="s">
        <v>277</v>
      </c>
      <c r="BC77" s="18">
        <f>--ISNUMBER(SEARCH("Radio or television",BA77))</f>
        <v>1</v>
      </c>
      <c r="BD77" s="18">
        <f>--ISNUMBER(SEARCH("Newspapers or print media",BA77))</f>
        <v>1</v>
      </c>
      <c r="BE77" s="18">
        <f>--ISNUMBER(SEARCH("Social media (e.g. Facebook, WhatsApp, YouTube, X/Twitter)",BA77))</f>
        <v>1</v>
      </c>
      <c r="BF77" s="18">
        <f>--ISNUMBER(SEARCH("Family members",BA77))</f>
        <v>0</v>
      </c>
      <c r="BG77" s="18">
        <f>--ISNUMBER(SEARCH("Friends or fellow students",BA77))</f>
        <v>0</v>
      </c>
      <c r="BH77" s="18">
        <f>--ISNUMBER(SEARCH("School coursework or lectures",BA77))</f>
        <v>0</v>
      </c>
      <c r="BI77" s="18">
        <f>--ISNUMBER(SEARCH("NHIMA outreach activities or NHIMA offices",BA77))</f>
        <v>0</v>
      </c>
      <c r="BJ77" s="18">
        <f>--ISNUMBER(SEARCH("Health facility staff",BA77))</f>
        <v>0</v>
      </c>
      <c r="BK77" s="18">
        <f>--ISNUMBER(SEARCH("not received information",BA77))</f>
        <v>0</v>
      </c>
      <c r="BL77" s="18">
        <f>IF(T77="","",--(T77='Codebook'!$F$13))</f>
        <v>1</v>
      </c>
      <c r="BM77" s="18">
        <f>IF(U77="","",--(U77='Codebook'!$F$14))</f>
        <v>0</v>
      </c>
      <c r="BN77" s="18">
        <f>IF(V77="","",--(V77='Codebook'!$F$15))</f>
        <v>0</v>
      </c>
      <c r="BO77" s="18">
        <f>IF(W77="","",--(W77='Codebook'!$F$16))</f>
        <v>1</v>
      </c>
      <c r="BP77" s="18">
        <f>IF(X77="","",--(X77='Codebook'!$F$17))</f>
        <v>1</v>
      </c>
      <c r="BQ77" s="18">
        <f>IF(Y77="","",--(Y77='Codebook'!$F$18))</f>
        <v>0</v>
      </c>
      <c r="BR77" s="18">
        <f>IF(Z77="","",--(Z77='Codebook'!$F$19))</f>
        <v>1</v>
      </c>
      <c r="BS77" s="18">
        <f>IF(AA77="","",--(AA77='Codebook'!$F$20))</f>
        <v>1</v>
      </c>
      <c r="BT77" s="18">
        <f>IF(AB77="","",--(AB77='Codebook'!$F$21))</f>
        <v>0</v>
      </c>
      <c r="BU77" s="18">
        <f>IF(AC77="","",--(AC77='Codebook'!$F$22))</f>
        <v>0</v>
      </c>
      <c r="BV77" s="18">
        <f>IF(AD77="","",--(AD77='Codebook'!$F$23))</f>
        <v>0</v>
      </c>
      <c r="BW77" s="18">
        <f>IF(AE77="","",--(AE77='Codebook'!$F$24))</f>
        <v>1</v>
      </c>
      <c r="BX77" s="18">
        <f>IF(AF77="","",--(AF77='Codebook'!$F$25))</f>
        <v>0</v>
      </c>
      <c r="BY77" s="18">
        <f>IF(AG77="","",--(AG77='Codebook'!$F$26))</f>
        <v>1</v>
      </c>
      <c r="BZ77" s="18">
        <f>IF(AH77="","",--(AH77='Codebook'!$F$27))</f>
        <v>1</v>
      </c>
      <c r="CA77" s="18">
        <f>IF(AI77="","",--(AI77='Codebook'!$F$28))</f>
        <v>0</v>
      </c>
      <c r="CB77" s="18">
        <f>IF(AJ77="","",--(AJ77='Codebook'!$F$29))</f>
        <v>0</v>
      </c>
      <c r="CC77" s="18">
        <f>IF(AK77="","",--(AK77='Codebook'!$F$30))</f>
        <v>0</v>
      </c>
      <c r="CD77" s="18">
        <f>IF(AL77="","",--(AL77='Codebook'!$F$31))</f>
        <v>1</v>
      </c>
      <c r="CE77" s="18">
        <f>IF(AM77="","",--(AM77='Codebook'!$F$32))</f>
        <v>1</v>
      </c>
      <c r="CF77" s="18">
        <f>IF(AN77="","",--(AN77='Codebook'!$F$33))</f>
        <v>0</v>
      </c>
      <c r="CG77" s="18">
        <f>IF(AO77="","",--(AO77='Codebook'!$F$34))</f>
        <v>0</v>
      </c>
      <c r="CH77" s="18">
        <f>IF(AP77="","",--(AP77='Codebook'!$F$35))</f>
        <v>1</v>
      </c>
      <c r="CI77" s="18">
        <f>IF(AQ77="","",--(AQ77='Codebook'!$F$36))</f>
        <v>1</v>
      </c>
      <c r="CJ77" s="18">
        <f>IF(AR77="","",--(AR77='Codebook'!$F$37))</f>
        <v>0</v>
      </c>
      <c r="CK77" s="18">
        <f>IF(AS77="","",--(AS77='Codebook'!$F$38))</f>
        <v>1</v>
      </c>
      <c r="CL77" s="18">
        <f>IF(AT77="","",--(AT77='Codebook'!$F$39))</f>
        <v>1</v>
      </c>
      <c r="CM77" s="18">
        <f>IF(AU77="","",--(AU77='Codebook'!$F$40))</f>
        <v>1</v>
      </c>
      <c r="CN77" s="18">
        <f>IF(AV77="","",--(AV77='Codebook'!$F$41))</f>
        <v>1</v>
      </c>
      <c r="CO77" s="18">
        <f>IF(AW77="","",--(AW77='Codebook'!$F$42))</f>
        <v>0</v>
      </c>
      <c r="CP77" s="18">
        <f>IF(AX77="","",--(AX77='Codebook'!$F$43))</f>
        <v>0</v>
      </c>
      <c r="CQ77" s="18">
        <f>IF(AY77="","",--(AY77='Codebook'!$F$44))</f>
        <v>1</v>
      </c>
      <c r="CR77" s="18">
        <f>IF(AZ77="","",--(AZ77='Codebook'!$F$45))</f>
        <v>1</v>
      </c>
    </row>
    <row r="78" spans="2:96" ht="24" customHeight="1">
      <c r="B78" s="18">
        <v>73</v>
      </c>
      <c r="C78" s="23">
        <v>46282.59140862268</v>
      </c>
      <c r="D78" s="21" t="s">
        <v>275</v>
      </c>
      <c r="E78" s="21" t="s">
        <v>194</v>
      </c>
      <c r="F78" s="21" t="s">
        <v>226</v>
      </c>
      <c r="G78" s="17" t="s">
        <v>247</v>
      </c>
      <c r="H78" s="21" t="s">
        <v>207</v>
      </c>
      <c r="I78" s="18">
        <f>SUM(BL78:BU78)</f>
        <v>6</v>
      </c>
      <c r="J78" s="18">
        <f>IF(COUNT(BV78:CD78)=9,SUM(BV78:CD78),"")</f>
        <v>5</v>
      </c>
      <c r="K78" s="18">
        <f>SUM(BL78:CD78)</f>
        <v>11</v>
      </c>
      <c r="L78" s="18">
        <f>--(K78&gt;='Codebook'!$C$8)</f>
        <v>0</v>
      </c>
      <c r="M78" s="18">
        <f>--(COUNT(BL78:CD78)=19)</f>
        <v>1</v>
      </c>
      <c r="N78" s="18">
        <f>SUM(CE78:CL78)</f>
        <v>3</v>
      </c>
      <c r="O78" s="18">
        <f>SUM(CM78:CR78)</f>
        <v>0</v>
      </c>
      <c r="P78" s="18">
        <f>N78+O78</f>
        <v>3</v>
      </c>
      <c r="Q78" s="21" t="s">
        <v>198</v>
      </c>
      <c r="R78" s="17" t="s">
        <v>216</v>
      </c>
      <c r="S78" s="18">
        <f>--OR(Overview!$B$6="All",E78=Overview!$B$6)*--OR(Overview!$F$6="All",F78=Overview!$F$6)*--OR(Overview!$J$6="All",G78=Overview!$J$6)*--OR(Overview!$N$6="All",H78=Overview!$N$6)</f>
        <v>1</v>
      </c>
      <c r="T78" s="21" t="s">
        <v>22</v>
      </c>
      <c r="U78" s="21" t="s">
        <v>22</v>
      </c>
      <c r="V78" s="21" t="s">
        <v>22</v>
      </c>
      <c r="W78" s="21" t="s">
        <v>22</v>
      </c>
      <c r="X78" s="21" t="s">
        <v>22</v>
      </c>
      <c r="Y78" s="21" t="s">
        <v>22</v>
      </c>
      <c r="Z78" s="21" t="s">
        <v>22</v>
      </c>
      <c r="AA78" s="21" t="s">
        <v>22</v>
      </c>
      <c r="AB78" s="21" t="s">
        <v>22</v>
      </c>
      <c r="AC78" s="21" t="s">
        <v>22</v>
      </c>
      <c r="AD78" s="21" t="s">
        <v>22</v>
      </c>
      <c r="AE78" s="21" t="s">
        <v>22</v>
      </c>
      <c r="AF78" s="21" t="s">
        <v>22</v>
      </c>
      <c r="AG78" s="21" t="s">
        <v>22</v>
      </c>
      <c r="AH78" s="21" t="s">
        <v>22</v>
      </c>
      <c r="AI78" s="21" t="s">
        <v>22</v>
      </c>
      <c r="AJ78" s="21" t="s">
        <v>22</v>
      </c>
      <c r="AK78" s="21" t="s">
        <v>22</v>
      </c>
      <c r="AL78" s="21" t="s">
        <v>22</v>
      </c>
      <c r="AM78" s="21" t="s">
        <v>83</v>
      </c>
      <c r="AN78" s="21" t="s">
        <v>109</v>
      </c>
      <c r="AO78" s="21" t="s">
        <v>83</v>
      </c>
      <c r="AP78" s="21" t="s">
        <v>109</v>
      </c>
      <c r="AQ78" s="21" t="s">
        <v>83</v>
      </c>
      <c r="AR78" s="21" t="s">
        <v>109</v>
      </c>
      <c r="AS78" s="21" t="s">
        <v>198</v>
      </c>
      <c r="AT78" s="21" t="s">
        <v>198</v>
      </c>
      <c r="AU78" s="21" t="s">
        <v>198</v>
      </c>
      <c r="AV78" s="21" t="s">
        <v>198</v>
      </c>
      <c r="AW78" s="21" t="s">
        <v>83</v>
      </c>
      <c r="AX78" s="21" t="s">
        <v>198</v>
      </c>
      <c r="AY78" s="21" t="s">
        <v>198</v>
      </c>
      <c r="AZ78" s="21" t="s">
        <v>198</v>
      </c>
      <c r="BA78" s="17" t="s">
        <v>269</v>
      </c>
      <c r="BB78" s="17" t="s">
        <v>271</v>
      </c>
      <c r="BC78" s="18">
        <f>--ISNUMBER(SEARCH("Radio or television",BA78))</f>
        <v>1</v>
      </c>
      <c r="BD78" s="18">
        <f>--ISNUMBER(SEARCH("Newspapers or print media",BA78))</f>
        <v>1</v>
      </c>
      <c r="BE78" s="18">
        <f>--ISNUMBER(SEARCH("Social media (e.g. Facebook, WhatsApp, YouTube, X/Twitter)",BA78))</f>
        <v>1</v>
      </c>
      <c r="BF78" s="18">
        <f>--ISNUMBER(SEARCH("Family members",BA78))</f>
        <v>0</v>
      </c>
      <c r="BG78" s="18">
        <f>--ISNUMBER(SEARCH("Friends or fellow students",BA78))</f>
        <v>0</v>
      </c>
      <c r="BH78" s="18">
        <f>--ISNUMBER(SEARCH("School coursework or lectures",BA78))</f>
        <v>0</v>
      </c>
      <c r="BI78" s="18">
        <f>--ISNUMBER(SEARCH("NHIMA outreach activities or NHIMA offices",BA78))</f>
        <v>0</v>
      </c>
      <c r="BJ78" s="18">
        <f>--ISNUMBER(SEARCH("Health facility staff",BA78))</f>
        <v>0</v>
      </c>
      <c r="BK78" s="18">
        <f>--ISNUMBER(SEARCH("not received information",BA78))</f>
        <v>0</v>
      </c>
      <c r="BL78" s="18">
        <f>IF(T78="","",--(T78='Codebook'!$F$13))</f>
        <v>1</v>
      </c>
      <c r="BM78" s="18">
        <f>IF(U78="","",--(U78='Codebook'!$F$14))</f>
        <v>0</v>
      </c>
      <c r="BN78" s="18">
        <f>IF(V78="","",--(V78='Codebook'!$F$15))</f>
        <v>0</v>
      </c>
      <c r="BO78" s="18">
        <f>IF(W78="","",--(W78='Codebook'!$F$16))</f>
        <v>1</v>
      </c>
      <c r="BP78" s="18">
        <f>IF(X78="","",--(X78='Codebook'!$F$17))</f>
        <v>1</v>
      </c>
      <c r="BQ78" s="18">
        <f>IF(Y78="","",--(Y78='Codebook'!$F$18))</f>
        <v>0</v>
      </c>
      <c r="BR78" s="18">
        <f>IF(Z78="","",--(Z78='Codebook'!$F$19))</f>
        <v>1</v>
      </c>
      <c r="BS78" s="18">
        <f>IF(AA78="","",--(AA78='Codebook'!$F$20))</f>
        <v>1</v>
      </c>
      <c r="BT78" s="18">
        <f>IF(AB78="","",--(AB78='Codebook'!$F$21))</f>
        <v>0</v>
      </c>
      <c r="BU78" s="18">
        <f>IF(AC78="","",--(AC78='Codebook'!$F$22))</f>
        <v>1</v>
      </c>
      <c r="BV78" s="18">
        <f>IF(AD78="","",--(AD78='Codebook'!$F$23))</f>
        <v>1</v>
      </c>
      <c r="BW78" s="18">
        <f>IF(AE78="","",--(AE78='Codebook'!$F$24))</f>
        <v>1</v>
      </c>
      <c r="BX78" s="18">
        <f>IF(AF78="","",--(AF78='Codebook'!$F$25))</f>
        <v>0</v>
      </c>
      <c r="BY78" s="18">
        <f>IF(AG78="","",--(AG78='Codebook'!$F$26))</f>
        <v>1</v>
      </c>
      <c r="BZ78" s="18">
        <f>IF(AH78="","",--(AH78='Codebook'!$F$27))</f>
        <v>1</v>
      </c>
      <c r="CA78" s="18">
        <f>IF(AI78="","",--(AI78='Codebook'!$F$28))</f>
        <v>0</v>
      </c>
      <c r="CB78" s="18">
        <f>IF(AJ78="","",--(AJ78='Codebook'!$F$29))</f>
        <v>0</v>
      </c>
      <c r="CC78" s="18">
        <f>IF(AK78="","",--(AK78='Codebook'!$F$30))</f>
        <v>1</v>
      </c>
      <c r="CD78" s="18">
        <f>IF(AL78="","",--(AL78='Codebook'!$F$31))</f>
        <v>0</v>
      </c>
      <c r="CE78" s="18">
        <f>IF(AM78="","",--(AM78='Codebook'!$F$32))</f>
        <v>1</v>
      </c>
      <c r="CF78" s="18">
        <f>IF(AN78="","",--(AN78='Codebook'!$F$33))</f>
        <v>0</v>
      </c>
      <c r="CG78" s="18">
        <f>IF(AO78="","",--(AO78='Codebook'!$F$34))</f>
        <v>1</v>
      </c>
      <c r="CH78" s="18">
        <f>IF(AP78="","",--(AP78='Codebook'!$F$35))</f>
        <v>0</v>
      </c>
      <c r="CI78" s="18">
        <f>IF(AQ78="","",--(AQ78='Codebook'!$F$36))</f>
        <v>1</v>
      </c>
      <c r="CJ78" s="18">
        <f>IF(AR78="","",--(AR78='Codebook'!$F$37))</f>
        <v>0</v>
      </c>
      <c r="CK78" s="18">
        <f>IF(AS78="","",--(AS78='Codebook'!$F$38))</f>
        <v>0</v>
      </c>
      <c r="CL78" s="18">
        <f>IF(AT78="","",--(AT78='Codebook'!$F$39))</f>
        <v>0</v>
      </c>
      <c r="CM78" s="18">
        <f>IF(AU78="","",--(AU78='Codebook'!$F$40))</f>
        <v>0</v>
      </c>
      <c r="CN78" s="18">
        <f>IF(AV78="","",--(AV78='Codebook'!$F$41))</f>
        <v>0</v>
      </c>
      <c r="CO78" s="18">
        <f>IF(AW78="","",--(AW78='Codebook'!$F$42))</f>
        <v>0</v>
      </c>
      <c r="CP78" s="18">
        <f>IF(AX78="","",--(AX78='Codebook'!$F$43))</f>
        <v>0</v>
      </c>
      <c r="CQ78" s="18">
        <f>IF(AY78="","",--(AY78='Codebook'!$F$44))</f>
        <v>0</v>
      </c>
      <c r="CR78" s="18">
        <f>IF(AZ78="","",--(AZ78='Codebook'!$F$45))</f>
        <v>0</v>
      </c>
    </row>
    <row r="79" spans="2:96" ht="24" customHeight="1">
      <c r="B79" s="18">
        <v>74</v>
      </c>
      <c r="C79" s="23">
        <v>46282.59207526621</v>
      </c>
      <c r="D79" s="21" t="s">
        <v>275</v>
      </c>
      <c r="E79" s="21" t="s">
        <v>194</v>
      </c>
      <c r="F79" s="21" t="s">
        <v>212</v>
      </c>
      <c r="G79" s="17" t="s">
        <v>215</v>
      </c>
      <c r="H79" s="21" t="s">
        <v>207</v>
      </c>
      <c r="I79" s="18">
        <f>SUM(BL79:BU79)</f>
        <v>6</v>
      </c>
      <c r="J79" s="18">
        <f>IF(COUNT(BV79:CD79)=9,SUM(BV79:CD79),"")</f>
        <v>3</v>
      </c>
      <c r="K79" s="18">
        <f>SUM(BL79:CD79)</f>
        <v>9</v>
      </c>
      <c r="L79" s="18">
        <f>--(K79&gt;='Codebook'!$C$8)</f>
        <v>0</v>
      </c>
      <c r="M79" s="18">
        <f>--(COUNT(BL79:CD79)=19)</f>
        <v>1</v>
      </c>
      <c r="N79" s="18">
        <f>SUM(CE79:CL79)</f>
        <v>6</v>
      </c>
      <c r="O79" s="18">
        <f>SUM(CM79:CR79)</f>
        <v>2</v>
      </c>
      <c r="P79" s="18">
        <f>N79+O79</f>
        <v>8</v>
      </c>
      <c r="Q79" s="21" t="s">
        <v>198</v>
      </c>
      <c r="R79" s="17" t="s">
        <v>216</v>
      </c>
      <c r="S79" s="18">
        <f>--OR(Overview!$B$6="All",E79=Overview!$B$6)*--OR(Overview!$F$6="All",F79=Overview!$F$6)*--OR(Overview!$J$6="All",G79=Overview!$J$6)*--OR(Overview!$N$6="All",H79=Overview!$N$6)</f>
        <v>1</v>
      </c>
      <c r="T79" s="21" t="s">
        <v>22</v>
      </c>
      <c r="U79" s="21" t="s">
        <v>22</v>
      </c>
      <c r="V79" s="21" t="s">
        <v>22</v>
      </c>
      <c r="W79" s="21" t="s">
        <v>22</v>
      </c>
      <c r="X79" s="21" t="s">
        <v>22</v>
      </c>
      <c r="Y79" s="21" t="s">
        <v>22</v>
      </c>
      <c r="Z79" s="21" t="s">
        <v>22</v>
      </c>
      <c r="AA79" s="21" t="s">
        <v>22</v>
      </c>
      <c r="AB79" s="21" t="s">
        <v>22</v>
      </c>
      <c r="AC79" s="21" t="s">
        <v>22</v>
      </c>
      <c r="AD79" s="21" t="s">
        <v>22</v>
      </c>
      <c r="AE79" s="21" t="s">
        <v>22</v>
      </c>
      <c r="AF79" s="21" t="s">
        <v>22</v>
      </c>
      <c r="AG79" s="21" t="s">
        <v>22</v>
      </c>
      <c r="AH79" s="21" t="s">
        <v>198</v>
      </c>
      <c r="AI79" s="21" t="s">
        <v>22</v>
      </c>
      <c r="AJ79" s="21" t="s">
        <v>198</v>
      </c>
      <c r="AK79" s="21" t="s">
        <v>198</v>
      </c>
      <c r="AL79" s="21" t="s">
        <v>22</v>
      </c>
      <c r="AM79" s="21" t="s">
        <v>198</v>
      </c>
      <c r="AN79" s="21" t="s">
        <v>109</v>
      </c>
      <c r="AO79" s="21" t="s">
        <v>83</v>
      </c>
      <c r="AP79" s="21" t="s">
        <v>83</v>
      </c>
      <c r="AQ79" s="21" t="s">
        <v>83</v>
      </c>
      <c r="AR79" s="21" t="s">
        <v>83</v>
      </c>
      <c r="AS79" s="21" t="s">
        <v>83</v>
      </c>
      <c r="AT79" s="21" t="s">
        <v>83</v>
      </c>
      <c r="AU79" s="21" t="s">
        <v>109</v>
      </c>
      <c r="AV79" s="21" t="s">
        <v>83</v>
      </c>
      <c r="AW79" s="21" t="s">
        <v>83</v>
      </c>
      <c r="AX79" s="21" t="s">
        <v>109</v>
      </c>
      <c r="AY79" s="21" t="s">
        <v>83</v>
      </c>
      <c r="AZ79" s="21" t="s">
        <v>83</v>
      </c>
      <c r="BA79" s="17" t="s">
        <v>274</v>
      </c>
      <c r="BB79" s="17" t="s">
        <v>271</v>
      </c>
      <c r="BC79" s="18">
        <f>--ISNUMBER(SEARCH("Radio or television",BA79))</f>
        <v>1</v>
      </c>
      <c r="BD79" s="18">
        <f>--ISNUMBER(SEARCH("Newspapers or print media",BA79))</f>
        <v>1</v>
      </c>
      <c r="BE79" s="18">
        <f>--ISNUMBER(SEARCH("Social media (e.g. Facebook, WhatsApp, YouTube, X/Twitter)",BA79))</f>
        <v>1</v>
      </c>
      <c r="BF79" s="18">
        <f>--ISNUMBER(SEARCH("Family members",BA79))</f>
        <v>1</v>
      </c>
      <c r="BG79" s="18">
        <f>--ISNUMBER(SEARCH("Friends or fellow students",BA79))</f>
        <v>0</v>
      </c>
      <c r="BH79" s="18">
        <f>--ISNUMBER(SEARCH("School coursework or lectures",BA79))</f>
        <v>0</v>
      </c>
      <c r="BI79" s="18">
        <f>--ISNUMBER(SEARCH("NHIMA outreach activities or NHIMA offices",BA79))</f>
        <v>0</v>
      </c>
      <c r="BJ79" s="18">
        <f>--ISNUMBER(SEARCH("Health facility staff",BA79))</f>
        <v>0</v>
      </c>
      <c r="BK79" s="18">
        <f>--ISNUMBER(SEARCH("not received information",BA79))</f>
        <v>0</v>
      </c>
      <c r="BL79" s="18">
        <f>IF(T79="","",--(T79='Codebook'!$F$13))</f>
        <v>1</v>
      </c>
      <c r="BM79" s="18">
        <f>IF(U79="","",--(U79='Codebook'!$F$14))</f>
        <v>0</v>
      </c>
      <c r="BN79" s="18">
        <f>IF(V79="","",--(V79='Codebook'!$F$15))</f>
        <v>0</v>
      </c>
      <c r="BO79" s="18">
        <f>IF(W79="","",--(W79='Codebook'!$F$16))</f>
        <v>1</v>
      </c>
      <c r="BP79" s="18">
        <f>IF(X79="","",--(X79='Codebook'!$F$17))</f>
        <v>1</v>
      </c>
      <c r="BQ79" s="18">
        <f>IF(Y79="","",--(Y79='Codebook'!$F$18))</f>
        <v>0</v>
      </c>
      <c r="BR79" s="18">
        <f>IF(Z79="","",--(Z79='Codebook'!$F$19))</f>
        <v>1</v>
      </c>
      <c r="BS79" s="18">
        <f>IF(AA79="","",--(AA79='Codebook'!$F$20))</f>
        <v>1</v>
      </c>
      <c r="BT79" s="18">
        <f>IF(AB79="","",--(AB79='Codebook'!$F$21))</f>
        <v>0</v>
      </c>
      <c r="BU79" s="18">
        <f>IF(AC79="","",--(AC79='Codebook'!$F$22))</f>
        <v>1</v>
      </c>
      <c r="BV79" s="18">
        <f>IF(AD79="","",--(AD79='Codebook'!$F$23))</f>
        <v>1</v>
      </c>
      <c r="BW79" s="18">
        <f>IF(AE79="","",--(AE79='Codebook'!$F$24))</f>
        <v>1</v>
      </c>
      <c r="BX79" s="18">
        <f>IF(AF79="","",--(AF79='Codebook'!$F$25))</f>
        <v>0</v>
      </c>
      <c r="BY79" s="18">
        <f>IF(AG79="","",--(AG79='Codebook'!$F$26))</f>
        <v>1</v>
      </c>
      <c r="BZ79" s="18">
        <f>IF(AH79="","",--(AH79='Codebook'!$F$27))</f>
        <v>0</v>
      </c>
      <c r="CA79" s="18">
        <f>IF(AI79="","",--(AI79='Codebook'!$F$28))</f>
        <v>0</v>
      </c>
      <c r="CB79" s="18">
        <f>IF(AJ79="","",--(AJ79='Codebook'!$F$29))</f>
        <v>0</v>
      </c>
      <c r="CC79" s="18">
        <f>IF(AK79="","",--(AK79='Codebook'!$F$30))</f>
        <v>0</v>
      </c>
      <c r="CD79" s="18">
        <f>IF(AL79="","",--(AL79='Codebook'!$F$31))</f>
        <v>0</v>
      </c>
      <c r="CE79" s="18">
        <f>IF(AM79="","",--(AM79='Codebook'!$F$32))</f>
        <v>0</v>
      </c>
      <c r="CF79" s="18">
        <f>IF(AN79="","",--(AN79='Codebook'!$F$33))</f>
        <v>0</v>
      </c>
      <c r="CG79" s="18">
        <f>IF(AO79="","",--(AO79='Codebook'!$F$34))</f>
        <v>1</v>
      </c>
      <c r="CH79" s="18">
        <f>IF(AP79="","",--(AP79='Codebook'!$F$35))</f>
        <v>1</v>
      </c>
      <c r="CI79" s="18">
        <f>IF(AQ79="","",--(AQ79='Codebook'!$F$36))</f>
        <v>1</v>
      </c>
      <c r="CJ79" s="18">
        <f>IF(AR79="","",--(AR79='Codebook'!$F$37))</f>
        <v>1</v>
      </c>
      <c r="CK79" s="18">
        <f>IF(AS79="","",--(AS79='Codebook'!$F$38))</f>
        <v>1</v>
      </c>
      <c r="CL79" s="18">
        <f>IF(AT79="","",--(AT79='Codebook'!$F$39))</f>
        <v>1</v>
      </c>
      <c r="CM79" s="18">
        <f>IF(AU79="","",--(AU79='Codebook'!$F$40))</f>
        <v>1</v>
      </c>
      <c r="CN79" s="18">
        <f>IF(AV79="","",--(AV79='Codebook'!$F$41))</f>
        <v>0</v>
      </c>
      <c r="CO79" s="18">
        <f>IF(AW79="","",--(AW79='Codebook'!$F$42))</f>
        <v>0</v>
      </c>
      <c r="CP79" s="18">
        <f>IF(AX79="","",--(AX79='Codebook'!$F$43))</f>
        <v>1</v>
      </c>
      <c r="CQ79" s="18">
        <f>IF(AY79="","",--(AY79='Codebook'!$F$44))</f>
        <v>0</v>
      </c>
      <c r="CR79" s="18">
        <f>IF(AZ79="","",--(AZ79='Codebook'!$F$45))</f>
        <v>0</v>
      </c>
    </row>
    <row r="80" spans="2:96" ht="24" customHeight="1">
      <c r="B80" s="18">
        <v>75</v>
      </c>
      <c r="C80" s="23">
        <v>46282.59277068287</v>
      </c>
      <c r="D80" s="21" t="s">
        <v>275</v>
      </c>
      <c r="E80" s="21" t="s">
        <v>194</v>
      </c>
      <c r="F80" s="21" t="s">
        <v>195</v>
      </c>
      <c r="G80" s="17" t="s">
        <v>215</v>
      </c>
      <c r="H80" s="21" t="s">
        <v>207</v>
      </c>
      <c r="I80" s="18">
        <f>SUM(BL80:BU80)</f>
        <v>7</v>
      </c>
      <c r="J80" s="18">
        <f>IF(COUNT(BV80:CD80)=9,SUM(BV80:CD80),"")</f>
        <v>5</v>
      </c>
      <c r="K80" s="18">
        <f>SUM(BL80:CD80)</f>
        <v>12</v>
      </c>
      <c r="L80" s="18">
        <f>--(K80&gt;='Codebook'!$C$8)</f>
        <v>1</v>
      </c>
      <c r="M80" s="18">
        <f>--(COUNT(BL80:CD80)=19)</f>
        <v>1</v>
      </c>
      <c r="N80" s="18">
        <f>SUM(CE80:CL80)</f>
        <v>2</v>
      </c>
      <c r="O80" s="18">
        <f>SUM(CM80:CR80)</f>
        <v>1</v>
      </c>
      <c r="P80" s="18">
        <f>N80+O80</f>
        <v>3</v>
      </c>
      <c r="Q80" s="21"/>
      <c r="R80" s="17" t="s">
        <v>216</v>
      </c>
      <c r="S80" s="18">
        <f>--OR(Overview!$B$6="All",E80=Overview!$B$6)*--OR(Overview!$F$6="All",F80=Overview!$F$6)*--OR(Overview!$J$6="All",G80=Overview!$J$6)*--OR(Overview!$N$6="All",H80=Overview!$N$6)</f>
        <v>1</v>
      </c>
      <c r="T80" s="21" t="s">
        <v>26</v>
      </c>
      <c r="U80" s="21" t="s">
        <v>26</v>
      </c>
      <c r="V80" s="21" t="s">
        <v>22</v>
      </c>
      <c r="W80" s="21" t="s">
        <v>22</v>
      </c>
      <c r="X80" s="21" t="s">
        <v>22</v>
      </c>
      <c r="Y80" s="21" t="s">
        <v>22</v>
      </c>
      <c r="Z80" s="21" t="s">
        <v>22</v>
      </c>
      <c r="AA80" s="21" t="s">
        <v>22</v>
      </c>
      <c r="AB80" s="21" t="s">
        <v>26</v>
      </c>
      <c r="AC80" s="21" t="s">
        <v>22</v>
      </c>
      <c r="AD80" s="21" t="s">
        <v>22</v>
      </c>
      <c r="AE80" s="21" t="s">
        <v>22</v>
      </c>
      <c r="AF80" s="21" t="s">
        <v>22</v>
      </c>
      <c r="AG80" s="21" t="s">
        <v>22</v>
      </c>
      <c r="AH80" s="21" t="s">
        <v>22</v>
      </c>
      <c r="AI80" s="21" t="s">
        <v>22</v>
      </c>
      <c r="AJ80" s="21" t="s">
        <v>22</v>
      </c>
      <c r="AK80" s="21" t="s">
        <v>22</v>
      </c>
      <c r="AL80" s="21" t="s">
        <v>198</v>
      </c>
      <c r="AM80" s="21" t="s">
        <v>83</v>
      </c>
      <c r="AN80" s="21" t="s">
        <v>109</v>
      </c>
      <c r="AO80" s="21" t="s">
        <v>83</v>
      </c>
      <c r="AP80" s="21" t="s">
        <v>109</v>
      </c>
      <c r="AQ80" s="21" t="s">
        <v>198</v>
      </c>
      <c r="AR80" s="21" t="s">
        <v>198</v>
      </c>
      <c r="AS80" s="21" t="s">
        <v>198</v>
      </c>
      <c r="AT80" s="21" t="s">
        <v>198</v>
      </c>
      <c r="AU80" s="21" t="s">
        <v>109</v>
      </c>
      <c r="AV80" s="21" t="s">
        <v>198</v>
      </c>
      <c r="AW80" s="21" t="s">
        <v>83</v>
      </c>
      <c r="AX80" s="21" t="s">
        <v>198</v>
      </c>
      <c r="AY80" s="21" t="s">
        <v>198</v>
      </c>
      <c r="AZ80" s="21" t="s">
        <v>198</v>
      </c>
      <c r="BA80" s="17" t="s">
        <v>273</v>
      </c>
      <c r="BB80" s="17" t="s">
        <v>274</v>
      </c>
      <c r="BC80" s="18">
        <f>--ISNUMBER(SEARCH("Radio or television",BA80))</f>
        <v>1</v>
      </c>
      <c r="BD80" s="18">
        <f>--ISNUMBER(SEARCH("Newspapers or print media",BA80))</f>
        <v>1</v>
      </c>
      <c r="BE80" s="18">
        <f>--ISNUMBER(SEARCH("Social media (e.g. Facebook, WhatsApp, YouTube, X/Twitter)",BA80))</f>
        <v>1</v>
      </c>
      <c r="BF80" s="18">
        <f>--ISNUMBER(SEARCH("Family members",BA80))</f>
        <v>1</v>
      </c>
      <c r="BG80" s="18">
        <f>--ISNUMBER(SEARCH("Friends or fellow students",BA80))</f>
        <v>1</v>
      </c>
      <c r="BH80" s="18">
        <f>--ISNUMBER(SEARCH("School coursework or lectures",BA80))</f>
        <v>1</v>
      </c>
      <c r="BI80" s="18">
        <f>--ISNUMBER(SEARCH("NHIMA outreach activities or NHIMA offices",BA80))</f>
        <v>0</v>
      </c>
      <c r="BJ80" s="18">
        <f>--ISNUMBER(SEARCH("Health facility staff",BA80))</f>
        <v>0</v>
      </c>
      <c r="BK80" s="18">
        <f>--ISNUMBER(SEARCH("not received information",BA80))</f>
        <v>0</v>
      </c>
      <c r="BL80" s="18">
        <f>IF(T80="","",--(T80='Codebook'!$F$13))</f>
        <v>0</v>
      </c>
      <c r="BM80" s="18">
        <f>IF(U80="","",--(U80='Codebook'!$F$14))</f>
        <v>1</v>
      </c>
      <c r="BN80" s="18">
        <f>IF(V80="","",--(V80='Codebook'!$F$15))</f>
        <v>0</v>
      </c>
      <c r="BO80" s="18">
        <f>IF(W80="","",--(W80='Codebook'!$F$16))</f>
        <v>1</v>
      </c>
      <c r="BP80" s="18">
        <f>IF(X80="","",--(X80='Codebook'!$F$17))</f>
        <v>1</v>
      </c>
      <c r="BQ80" s="18">
        <f>IF(Y80="","",--(Y80='Codebook'!$F$18))</f>
        <v>0</v>
      </c>
      <c r="BR80" s="18">
        <f>IF(Z80="","",--(Z80='Codebook'!$F$19))</f>
        <v>1</v>
      </c>
      <c r="BS80" s="18">
        <f>IF(AA80="","",--(AA80='Codebook'!$F$20))</f>
        <v>1</v>
      </c>
      <c r="BT80" s="18">
        <f>IF(AB80="","",--(AB80='Codebook'!$F$21))</f>
        <v>1</v>
      </c>
      <c r="BU80" s="18">
        <f>IF(AC80="","",--(AC80='Codebook'!$F$22))</f>
        <v>1</v>
      </c>
      <c r="BV80" s="18">
        <f>IF(AD80="","",--(AD80='Codebook'!$F$23))</f>
        <v>1</v>
      </c>
      <c r="BW80" s="18">
        <f>IF(AE80="","",--(AE80='Codebook'!$F$24))</f>
        <v>1</v>
      </c>
      <c r="BX80" s="18">
        <f>IF(AF80="","",--(AF80='Codebook'!$F$25))</f>
        <v>0</v>
      </c>
      <c r="BY80" s="18">
        <f>IF(AG80="","",--(AG80='Codebook'!$F$26))</f>
        <v>1</v>
      </c>
      <c r="BZ80" s="18">
        <f>IF(AH80="","",--(AH80='Codebook'!$F$27))</f>
        <v>1</v>
      </c>
      <c r="CA80" s="18">
        <f>IF(AI80="","",--(AI80='Codebook'!$F$28))</f>
        <v>0</v>
      </c>
      <c r="CB80" s="18">
        <f>IF(AJ80="","",--(AJ80='Codebook'!$F$29))</f>
        <v>0</v>
      </c>
      <c r="CC80" s="18">
        <f>IF(AK80="","",--(AK80='Codebook'!$F$30))</f>
        <v>1</v>
      </c>
      <c r="CD80" s="18">
        <f>IF(AL80="","",--(AL80='Codebook'!$F$31))</f>
        <v>0</v>
      </c>
      <c r="CE80" s="18">
        <f>IF(AM80="","",--(AM80='Codebook'!$F$32))</f>
        <v>1</v>
      </c>
      <c r="CF80" s="18">
        <f>IF(AN80="","",--(AN80='Codebook'!$F$33))</f>
        <v>0</v>
      </c>
      <c r="CG80" s="18">
        <f>IF(AO80="","",--(AO80='Codebook'!$F$34))</f>
        <v>1</v>
      </c>
      <c r="CH80" s="18">
        <f>IF(AP80="","",--(AP80='Codebook'!$F$35))</f>
        <v>0</v>
      </c>
      <c r="CI80" s="18">
        <f>IF(AQ80="","",--(AQ80='Codebook'!$F$36))</f>
        <v>0</v>
      </c>
      <c r="CJ80" s="18">
        <f>IF(AR80="","",--(AR80='Codebook'!$F$37))</f>
        <v>0</v>
      </c>
      <c r="CK80" s="18">
        <f>IF(AS80="","",--(AS80='Codebook'!$F$38))</f>
        <v>0</v>
      </c>
      <c r="CL80" s="18">
        <f>IF(AT80="","",--(AT80='Codebook'!$F$39))</f>
        <v>0</v>
      </c>
      <c r="CM80" s="18">
        <f>IF(AU80="","",--(AU80='Codebook'!$F$40))</f>
        <v>1</v>
      </c>
      <c r="CN80" s="18">
        <f>IF(AV80="","",--(AV80='Codebook'!$F$41))</f>
        <v>0</v>
      </c>
      <c r="CO80" s="18">
        <f>IF(AW80="","",--(AW80='Codebook'!$F$42))</f>
        <v>0</v>
      </c>
      <c r="CP80" s="18">
        <f>IF(AX80="","",--(AX80='Codebook'!$F$43))</f>
        <v>0</v>
      </c>
      <c r="CQ80" s="18">
        <f>IF(AY80="","",--(AY80='Codebook'!$F$44))</f>
        <v>0</v>
      </c>
      <c r="CR80" s="18">
        <f>IF(AZ80="","",--(AZ80='Codebook'!$F$45))</f>
        <v>0</v>
      </c>
    </row>
    <row r="81" spans="2:96" ht="24" customHeight="1">
      <c r="B81" s="18">
        <v>76</v>
      </c>
      <c r="C81" s="23">
        <v>46283.38829148148</v>
      </c>
      <c r="D81" s="21" t="s">
        <v>275</v>
      </c>
      <c r="E81" s="21" t="s">
        <v>194</v>
      </c>
      <c r="F81" s="21" t="s">
        <v>212</v>
      </c>
      <c r="G81" s="17" t="s">
        <v>224</v>
      </c>
      <c r="H81" s="21" t="s">
        <v>207</v>
      </c>
      <c r="I81" s="18">
        <f>SUM(BL81:BU81)</f>
        <v>6</v>
      </c>
      <c r="J81" s="18">
        <f>IF(COUNT(BV81:CD81)=9,SUM(BV81:CD81),"")</f>
        <v>5</v>
      </c>
      <c r="K81" s="18">
        <f>SUM(BL81:CD81)</f>
        <v>11</v>
      </c>
      <c r="L81" s="18">
        <f>--(K81&gt;='Codebook'!$C$8)</f>
        <v>0</v>
      </c>
      <c r="M81" s="18">
        <f>--(COUNT(BL81:CD81)=19)</f>
        <v>1</v>
      </c>
      <c r="N81" s="18">
        <f>SUM(CE81:CL81)</f>
        <v>3</v>
      </c>
      <c r="O81" s="18">
        <f>SUM(CM81:CR81)</f>
        <v>0</v>
      </c>
      <c r="P81" s="18">
        <f>N81+O81</f>
        <v>3</v>
      </c>
      <c r="Q81" s="21" t="s">
        <v>198</v>
      </c>
      <c r="R81" s="17" t="s">
        <v>152</v>
      </c>
      <c r="S81" s="18">
        <f>--OR(Overview!$B$6="All",E81=Overview!$B$6)*--OR(Overview!$F$6="All",F81=Overview!$F$6)*--OR(Overview!$J$6="All",G81=Overview!$J$6)*--OR(Overview!$N$6="All",H81=Overview!$N$6)</f>
        <v>1</v>
      </c>
      <c r="T81" s="21" t="s">
        <v>22</v>
      </c>
      <c r="U81" s="21" t="s">
        <v>22</v>
      </c>
      <c r="V81" s="21" t="s">
        <v>22</v>
      </c>
      <c r="W81" s="21" t="s">
        <v>22</v>
      </c>
      <c r="X81" s="21" t="s">
        <v>22</v>
      </c>
      <c r="Y81" s="21" t="s">
        <v>22</v>
      </c>
      <c r="Z81" s="21" t="s">
        <v>22</v>
      </c>
      <c r="AA81" s="21" t="s">
        <v>22</v>
      </c>
      <c r="AB81" s="21" t="s">
        <v>22</v>
      </c>
      <c r="AC81" s="21" t="s">
        <v>22</v>
      </c>
      <c r="AD81" s="21" t="s">
        <v>22</v>
      </c>
      <c r="AE81" s="21" t="s">
        <v>22</v>
      </c>
      <c r="AF81" s="21" t="s">
        <v>22</v>
      </c>
      <c r="AG81" s="21" t="s">
        <v>22</v>
      </c>
      <c r="AH81" s="21" t="s">
        <v>22</v>
      </c>
      <c r="AI81" s="21" t="s">
        <v>22</v>
      </c>
      <c r="AJ81" s="21" t="s">
        <v>26</v>
      </c>
      <c r="AK81" s="21" t="s">
        <v>26</v>
      </c>
      <c r="AL81" s="21" t="s">
        <v>22</v>
      </c>
      <c r="AM81" s="21" t="s">
        <v>109</v>
      </c>
      <c r="AN81" s="21" t="s">
        <v>83</v>
      </c>
      <c r="AO81" s="21" t="s">
        <v>83</v>
      </c>
      <c r="AP81" s="21" t="s">
        <v>109</v>
      </c>
      <c r="AQ81" s="21" t="s">
        <v>83</v>
      </c>
      <c r="AR81" s="21" t="s">
        <v>109</v>
      </c>
      <c r="AS81" s="21" t="s">
        <v>198</v>
      </c>
      <c r="AT81" s="21" t="s">
        <v>198</v>
      </c>
      <c r="AU81" s="21" t="s">
        <v>198</v>
      </c>
      <c r="AV81" s="21" t="s">
        <v>198</v>
      </c>
      <c r="AW81" s="21" t="s">
        <v>198</v>
      </c>
      <c r="AX81" s="21" t="s">
        <v>198</v>
      </c>
      <c r="AY81" s="21" t="s">
        <v>198</v>
      </c>
      <c r="AZ81" s="21" t="s">
        <v>198</v>
      </c>
      <c r="BA81" s="17" t="s">
        <v>269</v>
      </c>
      <c r="BB81" s="17" t="s">
        <v>223</v>
      </c>
      <c r="BC81" s="18">
        <f>--ISNUMBER(SEARCH("Radio or television",BA81))</f>
        <v>1</v>
      </c>
      <c r="BD81" s="18">
        <f>--ISNUMBER(SEARCH("Newspapers or print media",BA81))</f>
        <v>1</v>
      </c>
      <c r="BE81" s="18">
        <f>--ISNUMBER(SEARCH("Social media (e.g. Facebook, WhatsApp, YouTube, X/Twitter)",BA81))</f>
        <v>1</v>
      </c>
      <c r="BF81" s="18">
        <f>--ISNUMBER(SEARCH("Family members",BA81))</f>
        <v>0</v>
      </c>
      <c r="BG81" s="18">
        <f>--ISNUMBER(SEARCH("Friends or fellow students",BA81))</f>
        <v>0</v>
      </c>
      <c r="BH81" s="18">
        <f>--ISNUMBER(SEARCH("School coursework or lectures",BA81))</f>
        <v>0</v>
      </c>
      <c r="BI81" s="18">
        <f>--ISNUMBER(SEARCH("NHIMA outreach activities or NHIMA offices",BA81))</f>
        <v>0</v>
      </c>
      <c r="BJ81" s="18">
        <f>--ISNUMBER(SEARCH("Health facility staff",BA81))</f>
        <v>0</v>
      </c>
      <c r="BK81" s="18">
        <f>--ISNUMBER(SEARCH("not received information",BA81))</f>
        <v>0</v>
      </c>
      <c r="BL81" s="18">
        <f>IF(T81="","",--(T81='Codebook'!$F$13))</f>
        <v>1</v>
      </c>
      <c r="BM81" s="18">
        <f>IF(U81="","",--(U81='Codebook'!$F$14))</f>
        <v>0</v>
      </c>
      <c r="BN81" s="18">
        <f>IF(V81="","",--(V81='Codebook'!$F$15))</f>
        <v>0</v>
      </c>
      <c r="BO81" s="18">
        <f>IF(W81="","",--(W81='Codebook'!$F$16))</f>
        <v>1</v>
      </c>
      <c r="BP81" s="18">
        <f>IF(X81="","",--(X81='Codebook'!$F$17))</f>
        <v>1</v>
      </c>
      <c r="BQ81" s="18">
        <f>IF(Y81="","",--(Y81='Codebook'!$F$18))</f>
        <v>0</v>
      </c>
      <c r="BR81" s="18">
        <f>IF(Z81="","",--(Z81='Codebook'!$F$19))</f>
        <v>1</v>
      </c>
      <c r="BS81" s="18">
        <f>IF(AA81="","",--(AA81='Codebook'!$F$20))</f>
        <v>1</v>
      </c>
      <c r="BT81" s="18">
        <f>IF(AB81="","",--(AB81='Codebook'!$F$21))</f>
        <v>0</v>
      </c>
      <c r="BU81" s="18">
        <f>IF(AC81="","",--(AC81='Codebook'!$F$22))</f>
        <v>1</v>
      </c>
      <c r="BV81" s="18">
        <f>IF(AD81="","",--(AD81='Codebook'!$F$23))</f>
        <v>1</v>
      </c>
      <c r="BW81" s="18">
        <f>IF(AE81="","",--(AE81='Codebook'!$F$24))</f>
        <v>1</v>
      </c>
      <c r="BX81" s="18">
        <f>IF(AF81="","",--(AF81='Codebook'!$F$25))</f>
        <v>0</v>
      </c>
      <c r="BY81" s="18">
        <f>IF(AG81="","",--(AG81='Codebook'!$F$26))</f>
        <v>1</v>
      </c>
      <c r="BZ81" s="18">
        <f>IF(AH81="","",--(AH81='Codebook'!$F$27))</f>
        <v>1</v>
      </c>
      <c r="CA81" s="18">
        <f>IF(AI81="","",--(AI81='Codebook'!$F$28))</f>
        <v>0</v>
      </c>
      <c r="CB81" s="18">
        <f>IF(AJ81="","",--(AJ81='Codebook'!$F$29))</f>
        <v>1</v>
      </c>
      <c r="CC81" s="18">
        <f>IF(AK81="","",--(AK81='Codebook'!$F$30))</f>
        <v>0</v>
      </c>
      <c r="CD81" s="18">
        <f>IF(AL81="","",--(AL81='Codebook'!$F$31))</f>
        <v>0</v>
      </c>
      <c r="CE81" s="18">
        <f>IF(AM81="","",--(AM81='Codebook'!$F$32))</f>
        <v>0</v>
      </c>
      <c r="CF81" s="18">
        <f>IF(AN81="","",--(AN81='Codebook'!$F$33))</f>
        <v>1</v>
      </c>
      <c r="CG81" s="18">
        <f>IF(AO81="","",--(AO81='Codebook'!$F$34))</f>
        <v>1</v>
      </c>
      <c r="CH81" s="18">
        <f>IF(AP81="","",--(AP81='Codebook'!$F$35))</f>
        <v>0</v>
      </c>
      <c r="CI81" s="18">
        <f>IF(AQ81="","",--(AQ81='Codebook'!$F$36))</f>
        <v>1</v>
      </c>
      <c r="CJ81" s="18">
        <f>IF(AR81="","",--(AR81='Codebook'!$F$37))</f>
        <v>0</v>
      </c>
      <c r="CK81" s="18">
        <f>IF(AS81="","",--(AS81='Codebook'!$F$38))</f>
        <v>0</v>
      </c>
      <c r="CL81" s="18">
        <f>IF(AT81="","",--(AT81='Codebook'!$F$39))</f>
        <v>0</v>
      </c>
      <c r="CM81" s="18">
        <f>IF(AU81="","",--(AU81='Codebook'!$F$40))</f>
        <v>0</v>
      </c>
      <c r="CN81" s="18">
        <f>IF(AV81="","",--(AV81='Codebook'!$F$41))</f>
        <v>0</v>
      </c>
      <c r="CO81" s="18">
        <f>IF(AW81="","",--(AW81='Codebook'!$F$42))</f>
        <v>0</v>
      </c>
      <c r="CP81" s="18">
        <f>IF(AX81="","",--(AX81='Codebook'!$F$43))</f>
        <v>0</v>
      </c>
      <c r="CQ81" s="18">
        <f>IF(AY81="","",--(AY81='Codebook'!$F$44))</f>
        <v>0</v>
      </c>
      <c r="CR81" s="18">
        <f>IF(AZ81="","",--(AZ81='Codebook'!$F$45))</f>
        <v>0</v>
      </c>
    </row>
    <row r="82" spans="2:96" ht="24" customHeight="1">
      <c r="B82" s="18">
        <v>77</v>
      </c>
      <c r="C82" s="23">
        <v>46283.38912739584</v>
      </c>
      <c r="D82" s="21" t="s">
        <v>275</v>
      </c>
      <c r="E82" s="21" t="s">
        <v>206</v>
      </c>
      <c r="F82" s="21" t="s">
        <v>195</v>
      </c>
      <c r="G82" s="17" t="s">
        <v>202</v>
      </c>
      <c r="H82" s="21" t="s">
        <v>207</v>
      </c>
      <c r="I82" s="18">
        <f>SUM(BL82:BU82)</f>
        <v>6</v>
      </c>
      <c r="J82" s="18">
        <f>IF(COUNT(BV82:CD82)=9,SUM(BV82:CD82),"")</f>
        <v>3</v>
      </c>
      <c r="K82" s="18">
        <f>SUM(BL82:CD82)</f>
        <v>9</v>
      </c>
      <c r="L82" s="18">
        <f>--(K82&gt;='Codebook'!$C$8)</f>
        <v>0</v>
      </c>
      <c r="M82" s="18">
        <f>--(COUNT(BL82:CD82)=19)</f>
        <v>1</v>
      </c>
      <c r="N82" s="18">
        <f>SUM(CE82:CL82)</f>
        <v>2</v>
      </c>
      <c r="O82" s="18">
        <f>SUM(CM82:CR82)</f>
        <v>1</v>
      </c>
      <c r="P82" s="18">
        <f>N82+O82</f>
        <v>3</v>
      </c>
      <c r="Q82" s="21" t="s">
        <v>198</v>
      </c>
      <c r="R82" s="17" t="s">
        <v>216</v>
      </c>
      <c r="S82" s="18">
        <f>--OR(Overview!$B$6="All",E82=Overview!$B$6)*--OR(Overview!$F$6="All",F82=Overview!$F$6)*--OR(Overview!$J$6="All",G82=Overview!$J$6)*--OR(Overview!$N$6="All",H82=Overview!$N$6)</f>
        <v>1</v>
      </c>
      <c r="T82" s="21" t="s">
        <v>22</v>
      </c>
      <c r="U82" s="21" t="s">
        <v>22</v>
      </c>
      <c r="V82" s="21" t="s">
        <v>22</v>
      </c>
      <c r="W82" s="21" t="s">
        <v>22</v>
      </c>
      <c r="X82" s="21" t="s">
        <v>22</v>
      </c>
      <c r="Y82" s="21" t="s">
        <v>22</v>
      </c>
      <c r="Z82" s="21" t="s">
        <v>22</v>
      </c>
      <c r="AA82" s="21" t="s">
        <v>22</v>
      </c>
      <c r="AB82" s="21" t="s">
        <v>22</v>
      </c>
      <c r="AC82" s="21" t="s">
        <v>22</v>
      </c>
      <c r="AD82" s="21" t="s">
        <v>22</v>
      </c>
      <c r="AE82" s="21" t="s">
        <v>198</v>
      </c>
      <c r="AF82" s="21" t="s">
        <v>198</v>
      </c>
      <c r="AG82" s="21" t="s">
        <v>22</v>
      </c>
      <c r="AH82" s="21" t="s">
        <v>26</v>
      </c>
      <c r="AI82" s="21" t="s">
        <v>22</v>
      </c>
      <c r="AJ82" s="21" t="s">
        <v>26</v>
      </c>
      <c r="AK82" s="21" t="s">
        <v>198</v>
      </c>
      <c r="AL82" s="21" t="s">
        <v>22</v>
      </c>
      <c r="AM82" s="21" t="s">
        <v>109</v>
      </c>
      <c r="AN82" s="21" t="s">
        <v>109</v>
      </c>
      <c r="AO82" s="21" t="s">
        <v>83</v>
      </c>
      <c r="AP82" s="21" t="s">
        <v>109</v>
      </c>
      <c r="AQ82" s="21" t="s">
        <v>198</v>
      </c>
      <c r="AR82" s="21" t="s">
        <v>83</v>
      </c>
      <c r="AS82" s="21" t="s">
        <v>109</v>
      </c>
      <c r="AT82" s="21" t="s">
        <v>198</v>
      </c>
      <c r="AU82" s="21" t="s">
        <v>83</v>
      </c>
      <c r="AV82" s="21" t="s">
        <v>83</v>
      </c>
      <c r="AW82" s="21" t="s">
        <v>109</v>
      </c>
      <c r="AX82" s="21" t="s">
        <v>198</v>
      </c>
      <c r="AY82" s="21" t="s">
        <v>198</v>
      </c>
      <c r="AZ82" s="21" t="s">
        <v>83</v>
      </c>
      <c r="BA82" s="17" t="s">
        <v>278</v>
      </c>
      <c r="BB82" s="17" t="s">
        <v>246</v>
      </c>
      <c r="BC82" s="18">
        <f>--ISNUMBER(SEARCH("Radio or television",BA82))</f>
        <v>1</v>
      </c>
      <c r="BD82" s="18">
        <f>--ISNUMBER(SEARCH("Newspapers or print media",BA82))</f>
        <v>1</v>
      </c>
      <c r="BE82" s="18">
        <f>--ISNUMBER(SEARCH("Social media (e.g. Facebook, WhatsApp, YouTube, X/Twitter)",BA82))</f>
        <v>1</v>
      </c>
      <c r="BF82" s="18">
        <f>--ISNUMBER(SEARCH("Family members",BA82))</f>
        <v>0</v>
      </c>
      <c r="BG82" s="18">
        <f>--ISNUMBER(SEARCH("Friends or fellow students",BA82))</f>
        <v>1</v>
      </c>
      <c r="BH82" s="18">
        <f>--ISNUMBER(SEARCH("School coursework or lectures",BA82))</f>
        <v>1</v>
      </c>
      <c r="BI82" s="18">
        <f>--ISNUMBER(SEARCH("NHIMA outreach activities or NHIMA offices",BA82))</f>
        <v>0</v>
      </c>
      <c r="BJ82" s="18">
        <f>--ISNUMBER(SEARCH("Health facility staff",BA82))</f>
        <v>0</v>
      </c>
      <c r="BK82" s="18">
        <f>--ISNUMBER(SEARCH("not received information",BA82))</f>
        <v>0</v>
      </c>
      <c r="BL82" s="18">
        <f>IF(T82="","",--(T82='Codebook'!$F$13))</f>
        <v>1</v>
      </c>
      <c r="BM82" s="18">
        <f>IF(U82="","",--(U82='Codebook'!$F$14))</f>
        <v>0</v>
      </c>
      <c r="BN82" s="18">
        <f>IF(V82="","",--(V82='Codebook'!$F$15))</f>
        <v>0</v>
      </c>
      <c r="BO82" s="18">
        <f>IF(W82="","",--(W82='Codebook'!$F$16))</f>
        <v>1</v>
      </c>
      <c r="BP82" s="18">
        <f>IF(X82="","",--(X82='Codebook'!$F$17))</f>
        <v>1</v>
      </c>
      <c r="BQ82" s="18">
        <f>IF(Y82="","",--(Y82='Codebook'!$F$18))</f>
        <v>0</v>
      </c>
      <c r="BR82" s="18">
        <f>IF(Z82="","",--(Z82='Codebook'!$F$19))</f>
        <v>1</v>
      </c>
      <c r="BS82" s="18">
        <f>IF(AA82="","",--(AA82='Codebook'!$F$20))</f>
        <v>1</v>
      </c>
      <c r="BT82" s="18">
        <f>IF(AB82="","",--(AB82='Codebook'!$F$21))</f>
        <v>0</v>
      </c>
      <c r="BU82" s="18">
        <f>IF(AC82="","",--(AC82='Codebook'!$F$22))</f>
        <v>1</v>
      </c>
      <c r="BV82" s="18">
        <f>IF(AD82="","",--(AD82='Codebook'!$F$23))</f>
        <v>1</v>
      </c>
      <c r="BW82" s="18">
        <f>IF(AE82="","",--(AE82='Codebook'!$F$24))</f>
        <v>0</v>
      </c>
      <c r="BX82" s="18">
        <f>IF(AF82="","",--(AF82='Codebook'!$F$25))</f>
        <v>0</v>
      </c>
      <c r="BY82" s="18">
        <f>IF(AG82="","",--(AG82='Codebook'!$F$26))</f>
        <v>1</v>
      </c>
      <c r="BZ82" s="18">
        <f>IF(AH82="","",--(AH82='Codebook'!$F$27))</f>
        <v>0</v>
      </c>
      <c r="CA82" s="18">
        <f>IF(AI82="","",--(AI82='Codebook'!$F$28))</f>
        <v>0</v>
      </c>
      <c r="CB82" s="18">
        <f>IF(AJ82="","",--(AJ82='Codebook'!$F$29))</f>
        <v>1</v>
      </c>
      <c r="CC82" s="18">
        <f>IF(AK82="","",--(AK82='Codebook'!$F$30))</f>
        <v>0</v>
      </c>
      <c r="CD82" s="18">
        <f>IF(AL82="","",--(AL82='Codebook'!$F$31))</f>
        <v>0</v>
      </c>
      <c r="CE82" s="18">
        <f>IF(AM82="","",--(AM82='Codebook'!$F$32))</f>
        <v>0</v>
      </c>
      <c r="CF82" s="18">
        <f>IF(AN82="","",--(AN82='Codebook'!$F$33))</f>
        <v>0</v>
      </c>
      <c r="CG82" s="18">
        <f>IF(AO82="","",--(AO82='Codebook'!$F$34))</f>
        <v>1</v>
      </c>
      <c r="CH82" s="18">
        <f>IF(AP82="","",--(AP82='Codebook'!$F$35))</f>
        <v>0</v>
      </c>
      <c r="CI82" s="18">
        <f>IF(AQ82="","",--(AQ82='Codebook'!$F$36))</f>
        <v>0</v>
      </c>
      <c r="CJ82" s="18">
        <f>IF(AR82="","",--(AR82='Codebook'!$F$37))</f>
        <v>1</v>
      </c>
      <c r="CK82" s="18">
        <f>IF(AS82="","",--(AS82='Codebook'!$F$38))</f>
        <v>0</v>
      </c>
      <c r="CL82" s="18">
        <f>IF(AT82="","",--(AT82='Codebook'!$F$39))</f>
        <v>0</v>
      </c>
      <c r="CM82" s="18">
        <f>IF(AU82="","",--(AU82='Codebook'!$F$40))</f>
        <v>0</v>
      </c>
      <c r="CN82" s="18">
        <f>IF(AV82="","",--(AV82='Codebook'!$F$41))</f>
        <v>0</v>
      </c>
      <c r="CO82" s="18">
        <f>IF(AW82="","",--(AW82='Codebook'!$F$42))</f>
        <v>1</v>
      </c>
      <c r="CP82" s="18">
        <f>IF(AX82="","",--(AX82='Codebook'!$F$43))</f>
        <v>0</v>
      </c>
      <c r="CQ82" s="18">
        <f>IF(AY82="","",--(AY82='Codebook'!$F$44))</f>
        <v>0</v>
      </c>
      <c r="CR82" s="18">
        <f>IF(AZ82="","",--(AZ82='Codebook'!$F$45))</f>
        <v>0</v>
      </c>
    </row>
    <row r="83" spans="2:96" ht="24" customHeight="1">
      <c r="B83" s="18">
        <v>78</v>
      </c>
      <c r="C83" s="23">
        <v>46283.38985722222</v>
      </c>
      <c r="D83" s="21" t="s">
        <v>275</v>
      </c>
      <c r="E83" s="21" t="s">
        <v>194</v>
      </c>
      <c r="F83" s="21" t="s">
        <v>201</v>
      </c>
      <c r="G83" s="17" t="s">
        <v>196</v>
      </c>
      <c r="H83" s="21" t="s">
        <v>207</v>
      </c>
      <c r="I83" s="18">
        <f>SUM(BL83:BU83)</f>
        <v>4</v>
      </c>
      <c r="J83" s="18">
        <f>IF(COUNT(BV83:CD83)=9,SUM(BV83:CD83),"")</f>
        <v>3</v>
      </c>
      <c r="K83" s="18">
        <f>SUM(BL83:CD83)</f>
        <v>7</v>
      </c>
      <c r="L83" s="18">
        <f>--(K83&gt;='Codebook'!$C$8)</f>
        <v>0</v>
      </c>
      <c r="M83" s="18">
        <f>--(COUNT(BL83:CD83)=19)</f>
        <v>1</v>
      </c>
      <c r="N83" s="18">
        <f>SUM(CE83:CL83)</f>
        <v>4</v>
      </c>
      <c r="O83" s="18">
        <f>SUM(CM83:CR83)</f>
        <v>3</v>
      </c>
      <c r="P83" s="18">
        <f>N83+O83</f>
        <v>7</v>
      </c>
      <c r="Q83" s="21" t="s">
        <v>198</v>
      </c>
      <c r="R83" s="17" t="s">
        <v>216</v>
      </c>
      <c r="S83" s="18">
        <f>--OR(Overview!$B$6="All",E83=Overview!$B$6)*--OR(Overview!$F$6="All",F83=Overview!$F$6)*--OR(Overview!$J$6="All",G83=Overview!$J$6)*--OR(Overview!$N$6="All",H83=Overview!$N$6)</f>
        <v>1</v>
      </c>
      <c r="T83" s="21" t="s">
        <v>22</v>
      </c>
      <c r="U83" s="21" t="s">
        <v>22</v>
      </c>
      <c r="V83" s="21" t="s">
        <v>22</v>
      </c>
      <c r="W83" s="21" t="s">
        <v>26</v>
      </c>
      <c r="X83" s="21" t="s">
        <v>22</v>
      </c>
      <c r="Y83" s="21" t="s">
        <v>22</v>
      </c>
      <c r="Z83" s="21" t="s">
        <v>26</v>
      </c>
      <c r="AA83" s="21" t="s">
        <v>22</v>
      </c>
      <c r="AB83" s="21" t="s">
        <v>22</v>
      </c>
      <c r="AC83" s="21" t="s">
        <v>22</v>
      </c>
      <c r="AD83" s="21" t="s">
        <v>198</v>
      </c>
      <c r="AE83" s="21" t="s">
        <v>22</v>
      </c>
      <c r="AF83" s="21" t="s">
        <v>22</v>
      </c>
      <c r="AG83" s="21" t="s">
        <v>22</v>
      </c>
      <c r="AH83" s="21" t="s">
        <v>26</v>
      </c>
      <c r="AI83" s="21" t="s">
        <v>198</v>
      </c>
      <c r="AJ83" s="21" t="s">
        <v>198</v>
      </c>
      <c r="AK83" s="21" t="s">
        <v>22</v>
      </c>
      <c r="AL83" s="21" t="s">
        <v>22</v>
      </c>
      <c r="AM83" s="21" t="s">
        <v>109</v>
      </c>
      <c r="AN83" s="21" t="s">
        <v>83</v>
      </c>
      <c r="AO83" s="21" t="s">
        <v>198</v>
      </c>
      <c r="AP83" s="21" t="s">
        <v>83</v>
      </c>
      <c r="AQ83" s="21" t="s">
        <v>83</v>
      </c>
      <c r="AR83" s="21" t="s">
        <v>83</v>
      </c>
      <c r="AS83" s="21" t="s">
        <v>109</v>
      </c>
      <c r="AT83" s="21" t="s">
        <v>109</v>
      </c>
      <c r="AU83" s="21" t="s">
        <v>83</v>
      </c>
      <c r="AV83" s="21" t="s">
        <v>109</v>
      </c>
      <c r="AW83" s="21" t="s">
        <v>109</v>
      </c>
      <c r="AX83" s="21" t="s">
        <v>83</v>
      </c>
      <c r="AY83" s="21" t="s">
        <v>83</v>
      </c>
      <c r="AZ83" s="21" t="s">
        <v>109</v>
      </c>
      <c r="BA83" s="17" t="s">
        <v>279</v>
      </c>
      <c r="BB83" s="17" t="s">
        <v>271</v>
      </c>
      <c r="BC83" s="18">
        <f>--ISNUMBER(SEARCH("Radio or television",BA83))</f>
        <v>1</v>
      </c>
      <c r="BD83" s="18">
        <f>--ISNUMBER(SEARCH("Newspapers or print media",BA83))</f>
        <v>1</v>
      </c>
      <c r="BE83" s="18">
        <f>--ISNUMBER(SEARCH("Social media (e.g. Facebook, WhatsApp, YouTube, X/Twitter)",BA83))</f>
        <v>1</v>
      </c>
      <c r="BF83" s="18">
        <f>--ISNUMBER(SEARCH("Family members",BA83))</f>
        <v>0</v>
      </c>
      <c r="BG83" s="18">
        <f>--ISNUMBER(SEARCH("Friends or fellow students",BA83))</f>
        <v>0</v>
      </c>
      <c r="BH83" s="18">
        <f>--ISNUMBER(SEARCH("School coursework or lectures",BA83))</f>
        <v>1</v>
      </c>
      <c r="BI83" s="18">
        <f>--ISNUMBER(SEARCH("NHIMA outreach activities or NHIMA offices",BA83))</f>
        <v>1</v>
      </c>
      <c r="BJ83" s="18">
        <f>--ISNUMBER(SEARCH("Health facility staff",BA83))</f>
        <v>0</v>
      </c>
      <c r="BK83" s="18">
        <f>--ISNUMBER(SEARCH("not received information",BA83))</f>
        <v>0</v>
      </c>
      <c r="BL83" s="18">
        <f>IF(T83="","",--(T83='Codebook'!$F$13))</f>
        <v>1</v>
      </c>
      <c r="BM83" s="18">
        <f>IF(U83="","",--(U83='Codebook'!$F$14))</f>
        <v>0</v>
      </c>
      <c r="BN83" s="18">
        <f>IF(V83="","",--(V83='Codebook'!$F$15))</f>
        <v>0</v>
      </c>
      <c r="BO83" s="18">
        <f>IF(W83="","",--(W83='Codebook'!$F$16))</f>
        <v>0</v>
      </c>
      <c r="BP83" s="18">
        <f>IF(X83="","",--(X83='Codebook'!$F$17))</f>
        <v>1</v>
      </c>
      <c r="BQ83" s="18">
        <f>IF(Y83="","",--(Y83='Codebook'!$F$18))</f>
        <v>0</v>
      </c>
      <c r="BR83" s="18">
        <f>IF(Z83="","",--(Z83='Codebook'!$F$19))</f>
        <v>0</v>
      </c>
      <c r="BS83" s="18">
        <f>IF(AA83="","",--(AA83='Codebook'!$F$20))</f>
        <v>1</v>
      </c>
      <c r="BT83" s="18">
        <f>IF(AB83="","",--(AB83='Codebook'!$F$21))</f>
        <v>0</v>
      </c>
      <c r="BU83" s="18">
        <f>IF(AC83="","",--(AC83='Codebook'!$F$22))</f>
        <v>1</v>
      </c>
      <c r="BV83" s="18">
        <f>IF(AD83="","",--(AD83='Codebook'!$F$23))</f>
        <v>0</v>
      </c>
      <c r="BW83" s="18">
        <f>IF(AE83="","",--(AE83='Codebook'!$F$24))</f>
        <v>1</v>
      </c>
      <c r="BX83" s="18">
        <f>IF(AF83="","",--(AF83='Codebook'!$F$25))</f>
        <v>0</v>
      </c>
      <c r="BY83" s="18">
        <f>IF(AG83="","",--(AG83='Codebook'!$F$26))</f>
        <v>1</v>
      </c>
      <c r="BZ83" s="18">
        <f>IF(AH83="","",--(AH83='Codebook'!$F$27))</f>
        <v>0</v>
      </c>
      <c r="CA83" s="18">
        <f>IF(AI83="","",--(AI83='Codebook'!$F$28))</f>
        <v>0</v>
      </c>
      <c r="CB83" s="18">
        <f>IF(AJ83="","",--(AJ83='Codebook'!$F$29))</f>
        <v>0</v>
      </c>
      <c r="CC83" s="18">
        <f>IF(AK83="","",--(AK83='Codebook'!$F$30))</f>
        <v>1</v>
      </c>
      <c r="CD83" s="18">
        <f>IF(AL83="","",--(AL83='Codebook'!$F$31))</f>
        <v>0</v>
      </c>
      <c r="CE83" s="18">
        <f>IF(AM83="","",--(AM83='Codebook'!$F$32))</f>
        <v>0</v>
      </c>
      <c r="CF83" s="18">
        <f>IF(AN83="","",--(AN83='Codebook'!$F$33))</f>
        <v>1</v>
      </c>
      <c r="CG83" s="18">
        <f>IF(AO83="","",--(AO83='Codebook'!$F$34))</f>
        <v>0</v>
      </c>
      <c r="CH83" s="18">
        <f>IF(AP83="","",--(AP83='Codebook'!$F$35))</f>
        <v>1</v>
      </c>
      <c r="CI83" s="18">
        <f>IF(AQ83="","",--(AQ83='Codebook'!$F$36))</f>
        <v>1</v>
      </c>
      <c r="CJ83" s="18">
        <f>IF(AR83="","",--(AR83='Codebook'!$F$37))</f>
        <v>1</v>
      </c>
      <c r="CK83" s="18">
        <f>IF(AS83="","",--(AS83='Codebook'!$F$38))</f>
        <v>0</v>
      </c>
      <c r="CL83" s="18">
        <f>IF(AT83="","",--(AT83='Codebook'!$F$39))</f>
        <v>0</v>
      </c>
      <c r="CM83" s="18">
        <f>IF(AU83="","",--(AU83='Codebook'!$F$40))</f>
        <v>0</v>
      </c>
      <c r="CN83" s="18">
        <f>IF(AV83="","",--(AV83='Codebook'!$F$41))</f>
        <v>1</v>
      </c>
      <c r="CO83" s="18">
        <f>IF(AW83="","",--(AW83='Codebook'!$F$42))</f>
        <v>1</v>
      </c>
      <c r="CP83" s="18">
        <f>IF(AX83="","",--(AX83='Codebook'!$F$43))</f>
        <v>0</v>
      </c>
      <c r="CQ83" s="18">
        <f>IF(AY83="","",--(AY83='Codebook'!$F$44))</f>
        <v>0</v>
      </c>
      <c r="CR83" s="18">
        <f>IF(AZ83="","",--(AZ83='Codebook'!$F$45))</f>
        <v>1</v>
      </c>
    </row>
    <row r="84" spans="2:96" ht="24" customHeight="1">
      <c r="B84" s="18">
        <v>79</v>
      </c>
      <c r="C84" s="23">
        <v>46283.39058232639</v>
      </c>
      <c r="D84" s="21" t="s">
        <v>275</v>
      </c>
      <c r="E84" s="21" t="s">
        <v>194</v>
      </c>
      <c r="F84" s="21" t="s">
        <v>226</v>
      </c>
      <c r="G84" s="17" t="s">
        <v>247</v>
      </c>
      <c r="H84" s="21" t="s">
        <v>207</v>
      </c>
      <c r="I84" s="18">
        <f>SUM(BL84:BU84)</f>
        <v>3</v>
      </c>
      <c r="J84" s="18">
        <f>IF(COUNT(BV84:CD84)=9,SUM(BV84:CD84),"")</f>
        <v>5</v>
      </c>
      <c r="K84" s="18">
        <f>SUM(BL84:CD84)</f>
        <v>8</v>
      </c>
      <c r="L84" s="18">
        <f>--(K84&gt;='Codebook'!$C$8)</f>
        <v>0</v>
      </c>
      <c r="M84" s="18">
        <f>--(COUNT(BL84:CD84)=19)</f>
        <v>1</v>
      </c>
      <c r="N84" s="18">
        <f>SUM(CE84:CL84)</f>
        <v>3</v>
      </c>
      <c r="O84" s="18">
        <f>SUM(CM84:CR84)</f>
        <v>2</v>
      </c>
      <c r="P84" s="18">
        <f>N84+O84</f>
        <v>5</v>
      </c>
      <c r="Q84" s="21" t="s">
        <v>197</v>
      </c>
      <c r="R84" s="17" t="s">
        <v>216</v>
      </c>
      <c r="S84" s="18">
        <f>--OR(Overview!$B$6="All",E84=Overview!$B$6)*--OR(Overview!$F$6="All",F84=Overview!$F$6)*--OR(Overview!$J$6="All",G84=Overview!$J$6)*--OR(Overview!$N$6="All",H84=Overview!$N$6)</f>
        <v>1</v>
      </c>
      <c r="T84" s="21" t="s">
        <v>22</v>
      </c>
      <c r="U84" s="21" t="s">
        <v>22</v>
      </c>
      <c r="V84" s="21" t="s">
        <v>22</v>
      </c>
      <c r="W84" s="21" t="s">
        <v>26</v>
      </c>
      <c r="X84" s="21" t="s">
        <v>26</v>
      </c>
      <c r="Y84" s="21" t="s">
        <v>22</v>
      </c>
      <c r="Z84" s="21" t="s">
        <v>22</v>
      </c>
      <c r="AA84" s="21" t="s">
        <v>198</v>
      </c>
      <c r="AB84" s="21" t="s">
        <v>22</v>
      </c>
      <c r="AC84" s="21" t="s">
        <v>22</v>
      </c>
      <c r="AD84" s="21" t="s">
        <v>26</v>
      </c>
      <c r="AE84" s="21" t="s">
        <v>22</v>
      </c>
      <c r="AF84" s="21" t="s">
        <v>26</v>
      </c>
      <c r="AG84" s="21" t="s">
        <v>22</v>
      </c>
      <c r="AH84" s="21" t="s">
        <v>26</v>
      </c>
      <c r="AI84" s="21" t="s">
        <v>22</v>
      </c>
      <c r="AJ84" s="21" t="s">
        <v>22</v>
      </c>
      <c r="AK84" s="21" t="s">
        <v>22</v>
      </c>
      <c r="AL84" s="21" t="s">
        <v>26</v>
      </c>
      <c r="AM84" s="21" t="s">
        <v>109</v>
      </c>
      <c r="AN84" s="21" t="s">
        <v>109</v>
      </c>
      <c r="AO84" s="21" t="s">
        <v>83</v>
      </c>
      <c r="AP84" s="21" t="s">
        <v>83</v>
      </c>
      <c r="AQ84" s="21" t="s">
        <v>109</v>
      </c>
      <c r="AR84" s="21" t="s">
        <v>109</v>
      </c>
      <c r="AS84" s="21" t="s">
        <v>83</v>
      </c>
      <c r="AT84" s="21" t="s">
        <v>109</v>
      </c>
      <c r="AU84" s="21" t="s">
        <v>83</v>
      </c>
      <c r="AV84" s="21" t="s">
        <v>109</v>
      </c>
      <c r="AW84" s="21" t="s">
        <v>198</v>
      </c>
      <c r="AX84" s="21" t="s">
        <v>83</v>
      </c>
      <c r="AY84" s="21" t="s">
        <v>83</v>
      </c>
      <c r="AZ84" s="21" t="s">
        <v>109</v>
      </c>
      <c r="BA84" s="17" t="s">
        <v>236</v>
      </c>
      <c r="BB84" s="17" t="s">
        <v>274</v>
      </c>
      <c r="BC84" s="18">
        <f>--ISNUMBER(SEARCH("Radio or television",BA84))</f>
        <v>1</v>
      </c>
      <c r="BD84" s="18">
        <f>--ISNUMBER(SEARCH("Newspapers or print media",BA84))</f>
        <v>1</v>
      </c>
      <c r="BE84" s="18">
        <f>--ISNUMBER(SEARCH("Social media (e.g. Facebook, WhatsApp, YouTube, X/Twitter)",BA84))</f>
        <v>1</v>
      </c>
      <c r="BF84" s="18">
        <f>--ISNUMBER(SEARCH("Family members",BA84))</f>
        <v>1</v>
      </c>
      <c r="BG84" s="18">
        <f>--ISNUMBER(SEARCH("Friends or fellow students",BA84))</f>
        <v>1</v>
      </c>
      <c r="BH84" s="18">
        <f>--ISNUMBER(SEARCH("School coursework or lectures",BA84))</f>
        <v>0</v>
      </c>
      <c r="BI84" s="18">
        <f>--ISNUMBER(SEARCH("NHIMA outreach activities or NHIMA offices",BA84))</f>
        <v>0</v>
      </c>
      <c r="BJ84" s="18">
        <f>--ISNUMBER(SEARCH("Health facility staff",BA84))</f>
        <v>0</v>
      </c>
      <c r="BK84" s="18">
        <f>--ISNUMBER(SEARCH("not received information",BA84))</f>
        <v>0</v>
      </c>
      <c r="BL84" s="18">
        <f>IF(T84="","",--(T84='Codebook'!$F$13))</f>
        <v>1</v>
      </c>
      <c r="BM84" s="18">
        <f>IF(U84="","",--(U84='Codebook'!$F$14))</f>
        <v>0</v>
      </c>
      <c r="BN84" s="18">
        <f>IF(V84="","",--(V84='Codebook'!$F$15))</f>
        <v>0</v>
      </c>
      <c r="BO84" s="18">
        <f>IF(W84="","",--(W84='Codebook'!$F$16))</f>
        <v>0</v>
      </c>
      <c r="BP84" s="18">
        <f>IF(X84="","",--(X84='Codebook'!$F$17))</f>
        <v>0</v>
      </c>
      <c r="BQ84" s="18">
        <f>IF(Y84="","",--(Y84='Codebook'!$F$18))</f>
        <v>0</v>
      </c>
      <c r="BR84" s="18">
        <f>IF(Z84="","",--(Z84='Codebook'!$F$19))</f>
        <v>1</v>
      </c>
      <c r="BS84" s="18">
        <f>IF(AA84="","",--(AA84='Codebook'!$F$20))</f>
        <v>0</v>
      </c>
      <c r="BT84" s="18">
        <f>IF(AB84="","",--(AB84='Codebook'!$F$21))</f>
        <v>0</v>
      </c>
      <c r="BU84" s="18">
        <f>IF(AC84="","",--(AC84='Codebook'!$F$22))</f>
        <v>1</v>
      </c>
      <c r="BV84" s="18">
        <f>IF(AD84="","",--(AD84='Codebook'!$F$23))</f>
        <v>0</v>
      </c>
      <c r="BW84" s="18">
        <f>IF(AE84="","",--(AE84='Codebook'!$F$24))</f>
        <v>1</v>
      </c>
      <c r="BX84" s="18">
        <f>IF(AF84="","",--(AF84='Codebook'!$F$25))</f>
        <v>1</v>
      </c>
      <c r="BY84" s="18">
        <f>IF(AG84="","",--(AG84='Codebook'!$F$26))</f>
        <v>1</v>
      </c>
      <c r="BZ84" s="18">
        <f>IF(AH84="","",--(AH84='Codebook'!$F$27))</f>
        <v>0</v>
      </c>
      <c r="CA84" s="18">
        <f>IF(AI84="","",--(AI84='Codebook'!$F$28))</f>
        <v>0</v>
      </c>
      <c r="CB84" s="18">
        <f>IF(AJ84="","",--(AJ84='Codebook'!$F$29))</f>
        <v>0</v>
      </c>
      <c r="CC84" s="18">
        <f>IF(AK84="","",--(AK84='Codebook'!$F$30))</f>
        <v>1</v>
      </c>
      <c r="CD84" s="18">
        <f>IF(AL84="","",--(AL84='Codebook'!$F$31))</f>
        <v>1</v>
      </c>
      <c r="CE84" s="18">
        <f>IF(AM84="","",--(AM84='Codebook'!$F$32))</f>
        <v>0</v>
      </c>
      <c r="CF84" s="18">
        <f>IF(AN84="","",--(AN84='Codebook'!$F$33))</f>
        <v>0</v>
      </c>
      <c r="CG84" s="18">
        <f>IF(AO84="","",--(AO84='Codebook'!$F$34))</f>
        <v>1</v>
      </c>
      <c r="CH84" s="18">
        <f>IF(AP84="","",--(AP84='Codebook'!$F$35))</f>
        <v>1</v>
      </c>
      <c r="CI84" s="18">
        <f>IF(AQ84="","",--(AQ84='Codebook'!$F$36))</f>
        <v>0</v>
      </c>
      <c r="CJ84" s="18">
        <f>IF(AR84="","",--(AR84='Codebook'!$F$37))</f>
        <v>0</v>
      </c>
      <c r="CK84" s="18">
        <f>IF(AS84="","",--(AS84='Codebook'!$F$38))</f>
        <v>1</v>
      </c>
      <c r="CL84" s="18">
        <f>IF(AT84="","",--(AT84='Codebook'!$F$39))</f>
        <v>0</v>
      </c>
      <c r="CM84" s="18">
        <f>IF(AU84="","",--(AU84='Codebook'!$F$40))</f>
        <v>0</v>
      </c>
      <c r="CN84" s="18">
        <f>IF(AV84="","",--(AV84='Codebook'!$F$41))</f>
        <v>1</v>
      </c>
      <c r="CO84" s="18">
        <f>IF(AW84="","",--(AW84='Codebook'!$F$42))</f>
        <v>0</v>
      </c>
      <c r="CP84" s="18">
        <f>IF(AX84="","",--(AX84='Codebook'!$F$43))</f>
        <v>0</v>
      </c>
      <c r="CQ84" s="18">
        <f>IF(AY84="","",--(AY84='Codebook'!$F$44))</f>
        <v>0</v>
      </c>
      <c r="CR84" s="18">
        <f>IF(AZ84="","",--(AZ84='Codebook'!$F$45))</f>
        <v>1</v>
      </c>
    </row>
    <row r="85" spans="2:96" ht="24" customHeight="1">
      <c r="B85" s="18">
        <v>80</v>
      </c>
      <c r="C85" s="23">
        <v>46283.39155594907</v>
      </c>
      <c r="D85" s="21" t="s">
        <v>268</v>
      </c>
      <c r="E85" s="21" t="s">
        <v>206</v>
      </c>
      <c r="F85" s="21" t="s">
        <v>195</v>
      </c>
      <c r="G85" s="17" t="s">
        <v>215</v>
      </c>
      <c r="H85" s="21" t="s">
        <v>207</v>
      </c>
      <c r="I85" s="18">
        <f>SUM(BL85:BU85)</f>
        <v>3</v>
      </c>
      <c r="J85" s="18">
        <f>IF(COUNT(BV85:CD85)=9,SUM(BV85:CD85),"")</f>
        <v>2</v>
      </c>
      <c r="K85" s="18">
        <f>SUM(BL85:CD85)</f>
        <v>5</v>
      </c>
      <c r="L85" s="18">
        <f>--(K85&gt;='Codebook'!$C$8)</f>
        <v>0</v>
      </c>
      <c r="M85" s="18">
        <f>--(COUNT(BL85:CD85)=19)</f>
        <v>1</v>
      </c>
      <c r="N85" s="18">
        <f>SUM(CE85:CL85)</f>
        <v>3</v>
      </c>
      <c r="O85" s="18">
        <f>SUM(CM85:CR85)</f>
        <v>4</v>
      </c>
      <c r="P85" s="18">
        <f>N85+O85</f>
        <v>7</v>
      </c>
      <c r="Q85" s="21" t="s">
        <v>197</v>
      </c>
      <c r="R85" s="17" t="s">
        <v>216</v>
      </c>
      <c r="S85" s="18">
        <f>--OR(Overview!$B$6="All",E85=Overview!$B$6)*--OR(Overview!$F$6="All",F85=Overview!$F$6)*--OR(Overview!$J$6="All",G85=Overview!$J$6)*--OR(Overview!$N$6="All",H85=Overview!$N$6)</f>
        <v>1</v>
      </c>
      <c r="T85" s="21" t="s">
        <v>26</v>
      </c>
      <c r="U85" s="21" t="s">
        <v>22</v>
      </c>
      <c r="V85" s="21" t="s">
        <v>22</v>
      </c>
      <c r="W85" s="21" t="s">
        <v>26</v>
      </c>
      <c r="X85" s="21" t="s">
        <v>22</v>
      </c>
      <c r="Y85" s="21" t="s">
        <v>22</v>
      </c>
      <c r="Z85" s="21" t="s">
        <v>22</v>
      </c>
      <c r="AA85" s="21" t="s">
        <v>26</v>
      </c>
      <c r="AB85" s="21" t="s">
        <v>22</v>
      </c>
      <c r="AC85" s="21" t="s">
        <v>22</v>
      </c>
      <c r="AD85" s="21" t="s">
        <v>22</v>
      </c>
      <c r="AE85" s="21" t="s">
        <v>198</v>
      </c>
      <c r="AF85" s="21" t="s">
        <v>22</v>
      </c>
      <c r="AG85" s="21" t="s">
        <v>198</v>
      </c>
      <c r="AH85" s="21" t="s">
        <v>198</v>
      </c>
      <c r="AI85" s="21" t="s">
        <v>198</v>
      </c>
      <c r="AJ85" s="21" t="s">
        <v>198</v>
      </c>
      <c r="AK85" s="21" t="s">
        <v>198</v>
      </c>
      <c r="AL85" s="21" t="s">
        <v>26</v>
      </c>
      <c r="AM85" s="21" t="s">
        <v>109</v>
      </c>
      <c r="AN85" s="21" t="s">
        <v>109</v>
      </c>
      <c r="AO85" s="21" t="s">
        <v>83</v>
      </c>
      <c r="AP85" s="21" t="s">
        <v>109</v>
      </c>
      <c r="AQ85" s="21" t="s">
        <v>109</v>
      </c>
      <c r="AR85" s="21" t="s">
        <v>83</v>
      </c>
      <c r="AS85" s="21" t="s">
        <v>109</v>
      </c>
      <c r="AT85" s="21" t="s">
        <v>83</v>
      </c>
      <c r="AU85" s="21" t="s">
        <v>83</v>
      </c>
      <c r="AV85" s="21" t="s">
        <v>83</v>
      </c>
      <c r="AW85" s="21" t="s">
        <v>109</v>
      </c>
      <c r="AX85" s="21" t="s">
        <v>109</v>
      </c>
      <c r="AY85" s="21" t="s">
        <v>109</v>
      </c>
      <c r="AZ85" s="21" t="s">
        <v>109</v>
      </c>
      <c r="BA85" s="17" t="s">
        <v>280</v>
      </c>
      <c r="BB85" s="17" t="s">
        <v>281</v>
      </c>
      <c r="BC85" s="18">
        <f>--ISNUMBER(SEARCH("Radio or television",BA85))</f>
        <v>1</v>
      </c>
      <c r="BD85" s="18">
        <f>--ISNUMBER(SEARCH("Newspapers or print media",BA85))</f>
        <v>1</v>
      </c>
      <c r="BE85" s="18">
        <f>--ISNUMBER(SEARCH("Social media (e.g. Facebook, WhatsApp, YouTube, X/Twitter)",BA85))</f>
        <v>1</v>
      </c>
      <c r="BF85" s="18">
        <f>--ISNUMBER(SEARCH("Family members",BA85))</f>
        <v>1</v>
      </c>
      <c r="BG85" s="18">
        <f>--ISNUMBER(SEARCH("Friends or fellow students",BA85))</f>
        <v>0</v>
      </c>
      <c r="BH85" s="18">
        <f>--ISNUMBER(SEARCH("School coursework or lectures",BA85))</f>
        <v>1</v>
      </c>
      <c r="BI85" s="18">
        <f>--ISNUMBER(SEARCH("NHIMA outreach activities or NHIMA offices",BA85))</f>
        <v>0</v>
      </c>
      <c r="BJ85" s="18">
        <f>--ISNUMBER(SEARCH("Health facility staff",BA85))</f>
        <v>0</v>
      </c>
      <c r="BK85" s="18">
        <f>--ISNUMBER(SEARCH("not received information",BA85))</f>
        <v>0</v>
      </c>
      <c r="BL85" s="18">
        <f>IF(T85="","",--(T85='Codebook'!$F$13))</f>
        <v>0</v>
      </c>
      <c r="BM85" s="18">
        <f>IF(U85="","",--(U85='Codebook'!$F$14))</f>
        <v>0</v>
      </c>
      <c r="BN85" s="18">
        <f>IF(V85="","",--(V85='Codebook'!$F$15))</f>
        <v>0</v>
      </c>
      <c r="BO85" s="18">
        <f>IF(W85="","",--(W85='Codebook'!$F$16))</f>
        <v>0</v>
      </c>
      <c r="BP85" s="18">
        <f>IF(X85="","",--(X85='Codebook'!$F$17))</f>
        <v>1</v>
      </c>
      <c r="BQ85" s="18">
        <f>IF(Y85="","",--(Y85='Codebook'!$F$18))</f>
        <v>0</v>
      </c>
      <c r="BR85" s="18">
        <f>IF(Z85="","",--(Z85='Codebook'!$F$19))</f>
        <v>1</v>
      </c>
      <c r="BS85" s="18">
        <f>IF(AA85="","",--(AA85='Codebook'!$F$20))</f>
        <v>0</v>
      </c>
      <c r="BT85" s="18">
        <f>IF(AB85="","",--(AB85='Codebook'!$F$21))</f>
        <v>0</v>
      </c>
      <c r="BU85" s="18">
        <f>IF(AC85="","",--(AC85='Codebook'!$F$22))</f>
        <v>1</v>
      </c>
      <c r="BV85" s="18">
        <f>IF(AD85="","",--(AD85='Codebook'!$F$23))</f>
        <v>1</v>
      </c>
      <c r="BW85" s="18">
        <f>IF(AE85="","",--(AE85='Codebook'!$F$24))</f>
        <v>0</v>
      </c>
      <c r="BX85" s="18">
        <f>IF(AF85="","",--(AF85='Codebook'!$F$25))</f>
        <v>0</v>
      </c>
      <c r="BY85" s="18">
        <f>IF(AG85="","",--(AG85='Codebook'!$F$26))</f>
        <v>0</v>
      </c>
      <c r="BZ85" s="18">
        <f>IF(AH85="","",--(AH85='Codebook'!$F$27))</f>
        <v>0</v>
      </c>
      <c r="CA85" s="18">
        <f>IF(AI85="","",--(AI85='Codebook'!$F$28))</f>
        <v>0</v>
      </c>
      <c r="CB85" s="18">
        <f>IF(AJ85="","",--(AJ85='Codebook'!$F$29))</f>
        <v>0</v>
      </c>
      <c r="CC85" s="18">
        <f>IF(AK85="","",--(AK85='Codebook'!$F$30))</f>
        <v>0</v>
      </c>
      <c r="CD85" s="18">
        <f>IF(AL85="","",--(AL85='Codebook'!$F$31))</f>
        <v>1</v>
      </c>
      <c r="CE85" s="18">
        <f>IF(AM85="","",--(AM85='Codebook'!$F$32))</f>
        <v>0</v>
      </c>
      <c r="CF85" s="18">
        <f>IF(AN85="","",--(AN85='Codebook'!$F$33))</f>
        <v>0</v>
      </c>
      <c r="CG85" s="18">
        <f>IF(AO85="","",--(AO85='Codebook'!$F$34))</f>
        <v>1</v>
      </c>
      <c r="CH85" s="18">
        <f>IF(AP85="","",--(AP85='Codebook'!$F$35))</f>
        <v>0</v>
      </c>
      <c r="CI85" s="18">
        <f>IF(AQ85="","",--(AQ85='Codebook'!$F$36))</f>
        <v>0</v>
      </c>
      <c r="CJ85" s="18">
        <f>IF(AR85="","",--(AR85='Codebook'!$F$37))</f>
        <v>1</v>
      </c>
      <c r="CK85" s="18">
        <f>IF(AS85="","",--(AS85='Codebook'!$F$38))</f>
        <v>0</v>
      </c>
      <c r="CL85" s="18">
        <f>IF(AT85="","",--(AT85='Codebook'!$F$39))</f>
        <v>1</v>
      </c>
      <c r="CM85" s="18">
        <f>IF(AU85="","",--(AU85='Codebook'!$F$40))</f>
        <v>0</v>
      </c>
      <c r="CN85" s="18">
        <f>IF(AV85="","",--(AV85='Codebook'!$F$41))</f>
        <v>0</v>
      </c>
      <c r="CO85" s="18">
        <f>IF(AW85="","",--(AW85='Codebook'!$F$42))</f>
        <v>1</v>
      </c>
      <c r="CP85" s="18">
        <f>IF(AX85="","",--(AX85='Codebook'!$F$43))</f>
        <v>1</v>
      </c>
      <c r="CQ85" s="18">
        <f>IF(AY85="","",--(AY85='Codebook'!$F$44))</f>
        <v>1</v>
      </c>
      <c r="CR85" s="18">
        <f>IF(AZ85="","",--(AZ85='Codebook'!$F$45))</f>
        <v>1</v>
      </c>
    </row>
    <row r="86" spans="2:96" ht="24" customHeight="1">
      <c r="B86" s="18">
        <v>81</v>
      </c>
      <c r="C86" s="23">
        <v>46283.39226564814</v>
      </c>
      <c r="D86" s="21" t="s">
        <v>275</v>
      </c>
      <c r="E86" s="21" t="s">
        <v>194</v>
      </c>
      <c r="F86" s="21" t="s">
        <v>201</v>
      </c>
      <c r="G86" s="17" t="s">
        <v>196</v>
      </c>
      <c r="H86" s="21" t="s">
        <v>207</v>
      </c>
      <c r="I86" s="18">
        <f>SUM(BL86:BU86)</f>
        <v>3</v>
      </c>
      <c r="J86" s="18">
        <f>IF(COUNT(BV86:CD86)=9,SUM(BV86:CD86),"")</f>
        <v>3</v>
      </c>
      <c r="K86" s="18">
        <f>SUM(BL86:CD86)</f>
        <v>6</v>
      </c>
      <c r="L86" s="18">
        <f>--(K86&gt;='Codebook'!$C$8)</f>
        <v>0</v>
      </c>
      <c r="M86" s="18">
        <f>--(COUNT(BL86:CD86)=19)</f>
        <v>1</v>
      </c>
      <c r="N86" s="18">
        <f>SUM(CE86:CL86)</f>
        <v>0</v>
      </c>
      <c r="O86" s="18">
        <f>SUM(CM86:CR86)</f>
        <v>0</v>
      </c>
      <c r="P86" s="18">
        <f>N86+O86</f>
        <v>0</v>
      </c>
      <c r="Q86" s="21" t="s">
        <v>197</v>
      </c>
      <c r="R86" s="17" t="s">
        <v>154</v>
      </c>
      <c r="S86" s="18">
        <f>--OR(Overview!$B$6="All",E86=Overview!$B$6)*--OR(Overview!$F$6="All",F86=Overview!$F$6)*--OR(Overview!$J$6="All",G86=Overview!$J$6)*--OR(Overview!$N$6="All",H86=Overview!$N$6)</f>
        <v>1</v>
      </c>
      <c r="T86" s="21" t="s">
        <v>22</v>
      </c>
      <c r="U86" s="21" t="s">
        <v>22</v>
      </c>
      <c r="V86" s="21" t="s">
        <v>22</v>
      </c>
      <c r="W86" s="21" t="s">
        <v>198</v>
      </c>
      <c r="X86" s="21" t="s">
        <v>22</v>
      </c>
      <c r="Y86" s="21" t="s">
        <v>198</v>
      </c>
      <c r="Z86" s="21" t="s">
        <v>22</v>
      </c>
      <c r="AA86" s="21" t="s">
        <v>198</v>
      </c>
      <c r="AB86" s="21" t="s">
        <v>22</v>
      </c>
      <c r="AC86" s="21" t="s">
        <v>198</v>
      </c>
      <c r="AD86" s="21" t="s">
        <v>198</v>
      </c>
      <c r="AE86" s="21" t="s">
        <v>22</v>
      </c>
      <c r="AF86" s="21" t="s">
        <v>26</v>
      </c>
      <c r="AG86" s="21" t="s">
        <v>22</v>
      </c>
      <c r="AH86" s="21" t="s">
        <v>198</v>
      </c>
      <c r="AI86" s="21" t="s">
        <v>198</v>
      </c>
      <c r="AJ86" s="21" t="s">
        <v>198</v>
      </c>
      <c r="AK86" s="21" t="s">
        <v>198</v>
      </c>
      <c r="AL86" s="21" t="s">
        <v>198</v>
      </c>
      <c r="AM86" s="21" t="s">
        <v>198</v>
      </c>
      <c r="AN86" s="21" t="s">
        <v>198</v>
      </c>
      <c r="AO86" s="21" t="s">
        <v>198</v>
      </c>
      <c r="AP86" s="21" t="s">
        <v>198</v>
      </c>
      <c r="AQ86" s="21" t="s">
        <v>198</v>
      </c>
      <c r="AR86" s="21" t="s">
        <v>198</v>
      </c>
      <c r="AS86" s="21" t="s">
        <v>198</v>
      </c>
      <c r="AT86" s="21" t="s">
        <v>198</v>
      </c>
      <c r="AU86" s="21" t="s">
        <v>198</v>
      </c>
      <c r="AV86" s="21" t="s">
        <v>198</v>
      </c>
      <c r="AW86" s="21" t="s">
        <v>198</v>
      </c>
      <c r="AX86" s="21" t="s">
        <v>198</v>
      </c>
      <c r="AY86" s="21" t="s">
        <v>198</v>
      </c>
      <c r="AZ86" s="21" t="s">
        <v>198</v>
      </c>
      <c r="BA86" s="17" t="s">
        <v>274</v>
      </c>
      <c r="BB86" s="17" t="s">
        <v>250</v>
      </c>
      <c r="BC86" s="18">
        <f>--ISNUMBER(SEARCH("Radio or television",BA86))</f>
        <v>1</v>
      </c>
      <c r="BD86" s="18">
        <f>--ISNUMBER(SEARCH("Newspapers or print media",BA86))</f>
        <v>1</v>
      </c>
      <c r="BE86" s="18">
        <f>--ISNUMBER(SEARCH("Social media (e.g. Facebook, WhatsApp, YouTube, X/Twitter)",BA86))</f>
        <v>1</v>
      </c>
      <c r="BF86" s="18">
        <f>--ISNUMBER(SEARCH("Family members",BA86))</f>
        <v>1</v>
      </c>
      <c r="BG86" s="18">
        <f>--ISNUMBER(SEARCH("Friends or fellow students",BA86))</f>
        <v>0</v>
      </c>
      <c r="BH86" s="18">
        <f>--ISNUMBER(SEARCH("School coursework or lectures",BA86))</f>
        <v>0</v>
      </c>
      <c r="BI86" s="18">
        <f>--ISNUMBER(SEARCH("NHIMA outreach activities or NHIMA offices",BA86))</f>
        <v>0</v>
      </c>
      <c r="BJ86" s="18">
        <f>--ISNUMBER(SEARCH("Health facility staff",BA86))</f>
        <v>0</v>
      </c>
      <c r="BK86" s="18">
        <f>--ISNUMBER(SEARCH("not received information",BA86))</f>
        <v>0</v>
      </c>
      <c r="BL86" s="18">
        <f>IF(T86="","",--(T86='Codebook'!$F$13))</f>
        <v>1</v>
      </c>
      <c r="BM86" s="18">
        <f>IF(U86="","",--(U86='Codebook'!$F$14))</f>
        <v>0</v>
      </c>
      <c r="BN86" s="18">
        <f>IF(V86="","",--(V86='Codebook'!$F$15))</f>
        <v>0</v>
      </c>
      <c r="BO86" s="18">
        <f>IF(W86="","",--(W86='Codebook'!$F$16))</f>
        <v>0</v>
      </c>
      <c r="BP86" s="18">
        <f>IF(X86="","",--(X86='Codebook'!$F$17))</f>
        <v>1</v>
      </c>
      <c r="BQ86" s="18">
        <f>IF(Y86="","",--(Y86='Codebook'!$F$18))</f>
        <v>0</v>
      </c>
      <c r="BR86" s="18">
        <f>IF(Z86="","",--(Z86='Codebook'!$F$19))</f>
        <v>1</v>
      </c>
      <c r="BS86" s="18">
        <f>IF(AA86="","",--(AA86='Codebook'!$F$20))</f>
        <v>0</v>
      </c>
      <c r="BT86" s="18">
        <f>IF(AB86="","",--(AB86='Codebook'!$F$21))</f>
        <v>0</v>
      </c>
      <c r="BU86" s="18">
        <f>IF(AC86="","",--(AC86='Codebook'!$F$22))</f>
        <v>0</v>
      </c>
      <c r="BV86" s="18">
        <f>IF(AD86="","",--(AD86='Codebook'!$F$23))</f>
        <v>0</v>
      </c>
      <c r="BW86" s="18">
        <f>IF(AE86="","",--(AE86='Codebook'!$F$24))</f>
        <v>1</v>
      </c>
      <c r="BX86" s="18">
        <f>IF(AF86="","",--(AF86='Codebook'!$F$25))</f>
        <v>1</v>
      </c>
      <c r="BY86" s="18">
        <f>IF(AG86="","",--(AG86='Codebook'!$F$26))</f>
        <v>1</v>
      </c>
      <c r="BZ86" s="18">
        <f>IF(AH86="","",--(AH86='Codebook'!$F$27))</f>
        <v>0</v>
      </c>
      <c r="CA86" s="18">
        <f>IF(AI86="","",--(AI86='Codebook'!$F$28))</f>
        <v>0</v>
      </c>
      <c r="CB86" s="18">
        <f>IF(AJ86="","",--(AJ86='Codebook'!$F$29))</f>
        <v>0</v>
      </c>
      <c r="CC86" s="18">
        <f>IF(AK86="","",--(AK86='Codebook'!$F$30))</f>
        <v>0</v>
      </c>
      <c r="CD86" s="18">
        <f>IF(AL86="","",--(AL86='Codebook'!$F$31))</f>
        <v>0</v>
      </c>
      <c r="CE86" s="18">
        <f>IF(AM86="","",--(AM86='Codebook'!$F$32))</f>
        <v>0</v>
      </c>
      <c r="CF86" s="18">
        <f>IF(AN86="","",--(AN86='Codebook'!$F$33))</f>
        <v>0</v>
      </c>
      <c r="CG86" s="18">
        <f>IF(AO86="","",--(AO86='Codebook'!$F$34))</f>
        <v>0</v>
      </c>
      <c r="CH86" s="18">
        <f>IF(AP86="","",--(AP86='Codebook'!$F$35))</f>
        <v>0</v>
      </c>
      <c r="CI86" s="18">
        <f>IF(AQ86="","",--(AQ86='Codebook'!$F$36))</f>
        <v>0</v>
      </c>
      <c r="CJ86" s="18">
        <f>IF(AR86="","",--(AR86='Codebook'!$F$37))</f>
        <v>0</v>
      </c>
      <c r="CK86" s="18">
        <f>IF(AS86="","",--(AS86='Codebook'!$F$38))</f>
        <v>0</v>
      </c>
      <c r="CL86" s="18">
        <f>IF(AT86="","",--(AT86='Codebook'!$F$39))</f>
        <v>0</v>
      </c>
      <c r="CM86" s="18">
        <f>IF(AU86="","",--(AU86='Codebook'!$F$40))</f>
        <v>0</v>
      </c>
      <c r="CN86" s="18">
        <f>IF(AV86="","",--(AV86='Codebook'!$F$41))</f>
        <v>0</v>
      </c>
      <c r="CO86" s="18">
        <f>IF(AW86="","",--(AW86='Codebook'!$F$42))</f>
        <v>0</v>
      </c>
      <c r="CP86" s="18">
        <f>IF(AX86="","",--(AX86='Codebook'!$F$43))</f>
        <v>0</v>
      </c>
      <c r="CQ86" s="18">
        <f>IF(AY86="","",--(AY86='Codebook'!$F$44))</f>
        <v>0</v>
      </c>
      <c r="CR86" s="18">
        <f>IF(AZ86="","",--(AZ86='Codebook'!$F$45))</f>
        <v>0</v>
      </c>
    </row>
    <row r="87" spans="2:96" ht="24" customHeight="1">
      <c r="B87" s="18">
        <v>82</v>
      </c>
      <c r="C87" s="23">
        <v>46283.39315261574</v>
      </c>
      <c r="D87" s="21" t="s">
        <v>275</v>
      </c>
      <c r="E87" s="21" t="s">
        <v>194</v>
      </c>
      <c r="F87" s="21" t="s">
        <v>195</v>
      </c>
      <c r="G87" s="17" t="s">
        <v>215</v>
      </c>
      <c r="H87" s="21" t="s">
        <v>207</v>
      </c>
      <c r="I87" s="18">
        <f>SUM(BL87:BU87)</f>
        <v>7</v>
      </c>
      <c r="J87" s="18">
        <f>IF(COUNT(BV87:CD87)=9,SUM(BV87:CD87),"")</f>
        <v>3</v>
      </c>
      <c r="K87" s="18">
        <f>SUM(BL87:CD87)</f>
        <v>10</v>
      </c>
      <c r="L87" s="18">
        <f>--(K87&gt;='Codebook'!$C$8)</f>
        <v>0</v>
      </c>
      <c r="M87" s="18">
        <f>--(COUNT(BL87:CD87)=19)</f>
        <v>1</v>
      </c>
      <c r="N87" s="18">
        <f>SUM(CE87:CL87)</f>
        <v>3</v>
      </c>
      <c r="O87" s="18">
        <f>SUM(CM87:CR87)</f>
        <v>2</v>
      </c>
      <c r="P87" s="18">
        <f>N87+O87</f>
        <v>5</v>
      </c>
      <c r="Q87" s="21" t="s">
        <v>198</v>
      </c>
      <c r="R87" s="17" t="s">
        <v>216</v>
      </c>
      <c r="S87" s="18">
        <f>--OR(Overview!$B$6="All",E87=Overview!$B$6)*--OR(Overview!$F$6="All",F87=Overview!$F$6)*--OR(Overview!$J$6="All",G87=Overview!$J$6)*--OR(Overview!$N$6="All",H87=Overview!$N$6)</f>
        <v>1</v>
      </c>
      <c r="T87" s="21" t="s">
        <v>22</v>
      </c>
      <c r="U87" s="21" t="s">
        <v>26</v>
      </c>
      <c r="V87" s="21" t="s">
        <v>22</v>
      </c>
      <c r="W87" s="21" t="s">
        <v>22</v>
      </c>
      <c r="X87" s="21" t="s">
        <v>22</v>
      </c>
      <c r="Y87" s="21" t="s">
        <v>22</v>
      </c>
      <c r="Z87" s="21" t="s">
        <v>22</v>
      </c>
      <c r="AA87" s="21" t="s">
        <v>22</v>
      </c>
      <c r="AB87" s="21" t="s">
        <v>22</v>
      </c>
      <c r="AC87" s="21" t="s">
        <v>22</v>
      </c>
      <c r="AD87" s="21" t="s">
        <v>22</v>
      </c>
      <c r="AE87" s="21" t="s">
        <v>22</v>
      </c>
      <c r="AF87" s="21" t="s">
        <v>22</v>
      </c>
      <c r="AG87" s="21" t="s">
        <v>22</v>
      </c>
      <c r="AH87" s="21" t="s">
        <v>198</v>
      </c>
      <c r="AI87" s="21" t="s">
        <v>198</v>
      </c>
      <c r="AJ87" s="21" t="s">
        <v>22</v>
      </c>
      <c r="AK87" s="21" t="s">
        <v>198</v>
      </c>
      <c r="AL87" s="21" t="s">
        <v>22</v>
      </c>
      <c r="AM87" s="21" t="s">
        <v>198</v>
      </c>
      <c r="AN87" s="21" t="s">
        <v>83</v>
      </c>
      <c r="AO87" s="21" t="s">
        <v>109</v>
      </c>
      <c r="AP87" s="21" t="s">
        <v>109</v>
      </c>
      <c r="AQ87" s="21" t="s">
        <v>83</v>
      </c>
      <c r="AR87" s="21" t="s">
        <v>198</v>
      </c>
      <c r="AS87" s="21" t="s">
        <v>83</v>
      </c>
      <c r="AT87" s="21" t="s">
        <v>198</v>
      </c>
      <c r="AU87" s="21" t="s">
        <v>198</v>
      </c>
      <c r="AV87" s="21" t="s">
        <v>109</v>
      </c>
      <c r="AW87" s="21" t="s">
        <v>198</v>
      </c>
      <c r="AX87" s="21" t="s">
        <v>109</v>
      </c>
      <c r="AY87" s="21" t="s">
        <v>198</v>
      </c>
      <c r="AZ87" s="21" t="s">
        <v>83</v>
      </c>
      <c r="BA87" s="17" t="s">
        <v>282</v>
      </c>
      <c r="BB87" s="17" t="s">
        <v>283</v>
      </c>
      <c r="BC87" s="18">
        <f>--ISNUMBER(SEARCH("Radio or television",BA87))</f>
        <v>1</v>
      </c>
      <c r="BD87" s="18">
        <f>--ISNUMBER(SEARCH("Newspapers or print media",BA87))</f>
        <v>1</v>
      </c>
      <c r="BE87" s="18">
        <f>--ISNUMBER(SEARCH("Social media (e.g. Facebook, WhatsApp, YouTube, X/Twitter)",BA87))</f>
        <v>1</v>
      </c>
      <c r="BF87" s="18">
        <f>--ISNUMBER(SEARCH("Family members",BA87))</f>
        <v>0</v>
      </c>
      <c r="BG87" s="18">
        <f>--ISNUMBER(SEARCH("Friends or fellow students",BA87))</f>
        <v>0</v>
      </c>
      <c r="BH87" s="18">
        <f>--ISNUMBER(SEARCH("School coursework or lectures",BA87))</f>
        <v>1</v>
      </c>
      <c r="BI87" s="18">
        <f>--ISNUMBER(SEARCH("NHIMA outreach activities or NHIMA offices",BA87))</f>
        <v>0</v>
      </c>
      <c r="BJ87" s="18">
        <f>--ISNUMBER(SEARCH("Health facility staff",BA87))</f>
        <v>0</v>
      </c>
      <c r="BK87" s="18">
        <f>--ISNUMBER(SEARCH("not received information",BA87))</f>
        <v>0</v>
      </c>
      <c r="BL87" s="18">
        <f>IF(T87="","",--(T87='Codebook'!$F$13))</f>
        <v>1</v>
      </c>
      <c r="BM87" s="18">
        <f>IF(U87="","",--(U87='Codebook'!$F$14))</f>
        <v>1</v>
      </c>
      <c r="BN87" s="18">
        <f>IF(V87="","",--(V87='Codebook'!$F$15))</f>
        <v>0</v>
      </c>
      <c r="BO87" s="18">
        <f>IF(W87="","",--(W87='Codebook'!$F$16))</f>
        <v>1</v>
      </c>
      <c r="BP87" s="18">
        <f>IF(X87="","",--(X87='Codebook'!$F$17))</f>
        <v>1</v>
      </c>
      <c r="BQ87" s="18">
        <f>IF(Y87="","",--(Y87='Codebook'!$F$18))</f>
        <v>0</v>
      </c>
      <c r="BR87" s="18">
        <f>IF(Z87="","",--(Z87='Codebook'!$F$19))</f>
        <v>1</v>
      </c>
      <c r="BS87" s="18">
        <f>IF(AA87="","",--(AA87='Codebook'!$F$20))</f>
        <v>1</v>
      </c>
      <c r="BT87" s="18">
        <f>IF(AB87="","",--(AB87='Codebook'!$F$21))</f>
        <v>0</v>
      </c>
      <c r="BU87" s="18">
        <f>IF(AC87="","",--(AC87='Codebook'!$F$22))</f>
        <v>1</v>
      </c>
      <c r="BV87" s="18">
        <f>IF(AD87="","",--(AD87='Codebook'!$F$23))</f>
        <v>1</v>
      </c>
      <c r="BW87" s="18">
        <f>IF(AE87="","",--(AE87='Codebook'!$F$24))</f>
        <v>1</v>
      </c>
      <c r="BX87" s="18">
        <f>IF(AF87="","",--(AF87='Codebook'!$F$25))</f>
        <v>0</v>
      </c>
      <c r="BY87" s="18">
        <f>IF(AG87="","",--(AG87='Codebook'!$F$26))</f>
        <v>1</v>
      </c>
      <c r="BZ87" s="18">
        <f>IF(AH87="","",--(AH87='Codebook'!$F$27))</f>
        <v>0</v>
      </c>
      <c r="CA87" s="18">
        <f>IF(AI87="","",--(AI87='Codebook'!$F$28))</f>
        <v>0</v>
      </c>
      <c r="CB87" s="18">
        <f>IF(AJ87="","",--(AJ87='Codebook'!$F$29))</f>
        <v>0</v>
      </c>
      <c r="CC87" s="18">
        <f>IF(AK87="","",--(AK87='Codebook'!$F$30))</f>
        <v>0</v>
      </c>
      <c r="CD87" s="18">
        <f>IF(AL87="","",--(AL87='Codebook'!$F$31))</f>
        <v>0</v>
      </c>
      <c r="CE87" s="18">
        <f>IF(AM87="","",--(AM87='Codebook'!$F$32))</f>
        <v>0</v>
      </c>
      <c r="CF87" s="18">
        <f>IF(AN87="","",--(AN87='Codebook'!$F$33))</f>
        <v>1</v>
      </c>
      <c r="CG87" s="18">
        <f>IF(AO87="","",--(AO87='Codebook'!$F$34))</f>
        <v>0</v>
      </c>
      <c r="CH87" s="18">
        <f>IF(AP87="","",--(AP87='Codebook'!$F$35))</f>
        <v>0</v>
      </c>
      <c r="CI87" s="18">
        <f>IF(AQ87="","",--(AQ87='Codebook'!$F$36))</f>
        <v>1</v>
      </c>
      <c r="CJ87" s="18">
        <f>IF(AR87="","",--(AR87='Codebook'!$F$37))</f>
        <v>0</v>
      </c>
      <c r="CK87" s="18">
        <f>IF(AS87="","",--(AS87='Codebook'!$F$38))</f>
        <v>1</v>
      </c>
      <c r="CL87" s="18">
        <f>IF(AT87="","",--(AT87='Codebook'!$F$39))</f>
        <v>0</v>
      </c>
      <c r="CM87" s="18">
        <f>IF(AU87="","",--(AU87='Codebook'!$F$40))</f>
        <v>0</v>
      </c>
      <c r="CN87" s="18">
        <f>IF(AV87="","",--(AV87='Codebook'!$F$41))</f>
        <v>1</v>
      </c>
      <c r="CO87" s="18">
        <f>IF(AW87="","",--(AW87='Codebook'!$F$42))</f>
        <v>0</v>
      </c>
      <c r="CP87" s="18">
        <f>IF(AX87="","",--(AX87='Codebook'!$F$43))</f>
        <v>1</v>
      </c>
      <c r="CQ87" s="18">
        <f>IF(AY87="","",--(AY87='Codebook'!$F$44))</f>
        <v>0</v>
      </c>
      <c r="CR87" s="18">
        <f>IF(AZ87="","",--(AZ87='Codebook'!$F$45))</f>
        <v>0</v>
      </c>
    </row>
    <row r="88" spans="2:96" ht="24" customHeight="1">
      <c r="B88" s="18">
        <v>83</v>
      </c>
      <c r="C88" s="23">
        <v>46284.34551994213</v>
      </c>
      <c r="D88" s="21" t="s">
        <v>268</v>
      </c>
      <c r="E88" s="21" t="s">
        <v>206</v>
      </c>
      <c r="F88" s="21" t="s">
        <v>201</v>
      </c>
      <c r="G88" s="17" t="s">
        <v>224</v>
      </c>
      <c r="H88" s="21" t="s">
        <v>207</v>
      </c>
      <c r="I88" s="18">
        <f>SUM(BL88:BU88)</f>
        <v>7</v>
      </c>
      <c r="J88" s="18">
        <f>IF(COUNT(BV88:CD88)=9,SUM(BV88:CD88),"")</f>
        <v>6</v>
      </c>
      <c r="K88" s="18">
        <f>SUM(BL88:CD88)</f>
        <v>13</v>
      </c>
      <c r="L88" s="18">
        <f>--(K88&gt;='Codebook'!$C$8)</f>
        <v>1</v>
      </c>
      <c r="M88" s="18">
        <f>--(COUNT(BL88:CD88)=19)</f>
        <v>1</v>
      </c>
      <c r="N88" s="18">
        <f>SUM(CE88:CL88)</f>
        <v>4</v>
      </c>
      <c r="O88" s="18">
        <f>SUM(CM88:CR88)</f>
        <v>2</v>
      </c>
      <c r="P88" s="18">
        <f>N88+O88</f>
        <v>6</v>
      </c>
      <c r="Q88" s="21" t="s">
        <v>197</v>
      </c>
      <c r="R88" s="17" t="s">
        <v>153</v>
      </c>
      <c r="S88" s="18">
        <f>--OR(Overview!$B$6="All",E88=Overview!$B$6)*--OR(Overview!$F$6="All",F88=Overview!$F$6)*--OR(Overview!$J$6="All",G88=Overview!$J$6)*--OR(Overview!$N$6="All",H88=Overview!$N$6)</f>
        <v>1</v>
      </c>
      <c r="T88" s="21" t="s">
        <v>22</v>
      </c>
      <c r="U88" s="21" t="s">
        <v>22</v>
      </c>
      <c r="V88" s="21" t="s">
        <v>26</v>
      </c>
      <c r="W88" s="21" t="s">
        <v>22</v>
      </c>
      <c r="X88" s="21" t="s">
        <v>198</v>
      </c>
      <c r="Y88" s="21" t="s">
        <v>26</v>
      </c>
      <c r="Z88" s="21" t="s">
        <v>22</v>
      </c>
      <c r="AA88" s="21" t="s">
        <v>22</v>
      </c>
      <c r="AB88" s="21" t="s">
        <v>22</v>
      </c>
      <c r="AC88" s="21" t="s">
        <v>22</v>
      </c>
      <c r="AD88" s="21" t="s">
        <v>22</v>
      </c>
      <c r="AE88" s="21" t="s">
        <v>22</v>
      </c>
      <c r="AF88" s="21" t="s">
        <v>22</v>
      </c>
      <c r="AG88" s="21" t="s">
        <v>22</v>
      </c>
      <c r="AH88" s="21" t="s">
        <v>22</v>
      </c>
      <c r="AI88" s="21" t="s">
        <v>26</v>
      </c>
      <c r="AJ88" s="21" t="s">
        <v>22</v>
      </c>
      <c r="AK88" s="21" t="s">
        <v>22</v>
      </c>
      <c r="AL88" s="21" t="s">
        <v>22</v>
      </c>
      <c r="AM88" s="21" t="s">
        <v>83</v>
      </c>
      <c r="AN88" s="21" t="s">
        <v>83</v>
      </c>
      <c r="AO88" s="21" t="s">
        <v>83</v>
      </c>
      <c r="AP88" s="21" t="s">
        <v>83</v>
      </c>
      <c r="AQ88" s="21" t="s">
        <v>198</v>
      </c>
      <c r="AR88" s="21" t="s">
        <v>198</v>
      </c>
      <c r="AS88" s="21" t="s">
        <v>198</v>
      </c>
      <c r="AT88" s="21" t="s">
        <v>198</v>
      </c>
      <c r="AU88" s="21" t="s">
        <v>83</v>
      </c>
      <c r="AV88" s="21" t="s">
        <v>83</v>
      </c>
      <c r="AW88" s="21" t="s">
        <v>109</v>
      </c>
      <c r="AX88" s="21" t="s">
        <v>83</v>
      </c>
      <c r="AY88" s="21" t="s">
        <v>83</v>
      </c>
      <c r="AZ88" s="21" t="s">
        <v>109</v>
      </c>
      <c r="BA88" s="17" t="s">
        <v>277</v>
      </c>
      <c r="BB88" s="17" t="s">
        <v>277</v>
      </c>
      <c r="BC88" s="18">
        <f>--ISNUMBER(SEARCH("Radio or television",BA88))</f>
        <v>0</v>
      </c>
      <c r="BD88" s="18">
        <f>--ISNUMBER(SEARCH("Newspapers or print media",BA88))</f>
        <v>1</v>
      </c>
      <c r="BE88" s="18">
        <f>--ISNUMBER(SEARCH("Social media (e.g. Facebook, WhatsApp, YouTube, X/Twitter)",BA88))</f>
        <v>0</v>
      </c>
      <c r="BF88" s="18">
        <f>--ISNUMBER(SEARCH("Family members",BA88))</f>
        <v>0</v>
      </c>
      <c r="BG88" s="18">
        <f>--ISNUMBER(SEARCH("Friends or fellow students",BA88))</f>
        <v>0</v>
      </c>
      <c r="BH88" s="18">
        <f>--ISNUMBER(SEARCH("School coursework or lectures",BA88))</f>
        <v>0</v>
      </c>
      <c r="BI88" s="18">
        <f>--ISNUMBER(SEARCH("NHIMA outreach activities or NHIMA offices",BA88))</f>
        <v>0</v>
      </c>
      <c r="BJ88" s="18">
        <f>--ISNUMBER(SEARCH("Health facility staff",BA88))</f>
        <v>0</v>
      </c>
      <c r="BK88" s="18">
        <f>--ISNUMBER(SEARCH("not received information",BA88))</f>
        <v>0</v>
      </c>
      <c r="BL88" s="18">
        <f>IF(T88="","",--(T88='Codebook'!$F$13))</f>
        <v>1</v>
      </c>
      <c r="BM88" s="18">
        <f>IF(U88="","",--(U88='Codebook'!$F$14))</f>
        <v>0</v>
      </c>
      <c r="BN88" s="18">
        <f>IF(V88="","",--(V88='Codebook'!$F$15))</f>
        <v>1</v>
      </c>
      <c r="BO88" s="18">
        <f>IF(W88="","",--(W88='Codebook'!$F$16))</f>
        <v>1</v>
      </c>
      <c r="BP88" s="18">
        <f>IF(X88="","",--(X88='Codebook'!$F$17))</f>
        <v>0</v>
      </c>
      <c r="BQ88" s="18">
        <f>IF(Y88="","",--(Y88='Codebook'!$F$18))</f>
        <v>1</v>
      </c>
      <c r="BR88" s="18">
        <f>IF(Z88="","",--(Z88='Codebook'!$F$19))</f>
        <v>1</v>
      </c>
      <c r="BS88" s="18">
        <f>IF(AA88="","",--(AA88='Codebook'!$F$20))</f>
        <v>1</v>
      </c>
      <c r="BT88" s="18">
        <f>IF(AB88="","",--(AB88='Codebook'!$F$21))</f>
        <v>0</v>
      </c>
      <c r="BU88" s="18">
        <f>IF(AC88="","",--(AC88='Codebook'!$F$22))</f>
        <v>1</v>
      </c>
      <c r="BV88" s="18">
        <f>IF(AD88="","",--(AD88='Codebook'!$F$23))</f>
        <v>1</v>
      </c>
      <c r="BW88" s="18">
        <f>IF(AE88="","",--(AE88='Codebook'!$F$24))</f>
        <v>1</v>
      </c>
      <c r="BX88" s="18">
        <f>IF(AF88="","",--(AF88='Codebook'!$F$25))</f>
        <v>0</v>
      </c>
      <c r="BY88" s="18">
        <f>IF(AG88="","",--(AG88='Codebook'!$F$26))</f>
        <v>1</v>
      </c>
      <c r="BZ88" s="18">
        <f>IF(AH88="","",--(AH88='Codebook'!$F$27))</f>
        <v>1</v>
      </c>
      <c r="CA88" s="18">
        <f>IF(AI88="","",--(AI88='Codebook'!$F$28))</f>
        <v>1</v>
      </c>
      <c r="CB88" s="18">
        <f>IF(AJ88="","",--(AJ88='Codebook'!$F$29))</f>
        <v>0</v>
      </c>
      <c r="CC88" s="18">
        <f>IF(AK88="","",--(AK88='Codebook'!$F$30))</f>
        <v>1</v>
      </c>
      <c r="CD88" s="18">
        <f>IF(AL88="","",--(AL88='Codebook'!$F$31))</f>
        <v>0</v>
      </c>
      <c r="CE88" s="18">
        <f>IF(AM88="","",--(AM88='Codebook'!$F$32))</f>
        <v>1</v>
      </c>
      <c r="CF88" s="18">
        <f>IF(AN88="","",--(AN88='Codebook'!$F$33))</f>
        <v>1</v>
      </c>
      <c r="CG88" s="18">
        <f>IF(AO88="","",--(AO88='Codebook'!$F$34))</f>
        <v>1</v>
      </c>
      <c r="CH88" s="18">
        <f>IF(AP88="","",--(AP88='Codebook'!$F$35))</f>
        <v>1</v>
      </c>
      <c r="CI88" s="18">
        <f>IF(AQ88="","",--(AQ88='Codebook'!$F$36))</f>
        <v>0</v>
      </c>
      <c r="CJ88" s="18">
        <f>IF(AR88="","",--(AR88='Codebook'!$F$37))</f>
        <v>0</v>
      </c>
      <c r="CK88" s="18">
        <f>IF(AS88="","",--(AS88='Codebook'!$F$38))</f>
        <v>0</v>
      </c>
      <c r="CL88" s="18">
        <f>IF(AT88="","",--(AT88='Codebook'!$F$39))</f>
        <v>0</v>
      </c>
      <c r="CM88" s="18">
        <f>IF(AU88="","",--(AU88='Codebook'!$F$40))</f>
        <v>0</v>
      </c>
      <c r="CN88" s="18">
        <f>IF(AV88="","",--(AV88='Codebook'!$F$41))</f>
        <v>0</v>
      </c>
      <c r="CO88" s="18">
        <f>IF(AW88="","",--(AW88='Codebook'!$F$42))</f>
        <v>1</v>
      </c>
      <c r="CP88" s="18">
        <f>IF(AX88="","",--(AX88='Codebook'!$F$43))</f>
        <v>0</v>
      </c>
      <c r="CQ88" s="18">
        <f>IF(AY88="","",--(AY88='Codebook'!$F$44))</f>
        <v>0</v>
      </c>
      <c r="CR88" s="18">
        <f>IF(AZ88="","",--(AZ88='Codebook'!$F$45))</f>
        <v>1</v>
      </c>
    </row>
    <row r="89" spans="2:96" ht="24" customHeight="1">
      <c r="B89" s="18">
        <v>84</v>
      </c>
      <c r="C89" s="23">
        <v>46284.39859974537</v>
      </c>
      <c r="D89" s="21" t="s">
        <v>268</v>
      </c>
      <c r="E89" s="21" t="s">
        <v>194</v>
      </c>
      <c r="F89" s="21" t="s">
        <v>195</v>
      </c>
      <c r="G89" s="17" t="s">
        <v>224</v>
      </c>
      <c r="H89" s="21" t="s">
        <v>197</v>
      </c>
      <c r="I89" s="18">
        <f>SUM(BL89:BU89)</f>
        <v>10</v>
      </c>
      <c r="J89" s="18">
        <f>IF(COUNT(BV89:CD89)=9,SUM(BV89:CD89),"")</f>
        <v>6</v>
      </c>
      <c r="K89" s="18">
        <f>SUM(BL89:CD89)</f>
        <v>16</v>
      </c>
      <c r="L89" s="18">
        <f>--(K89&gt;='Codebook'!$C$8)</f>
        <v>1</v>
      </c>
      <c r="M89" s="18">
        <f>--(COUNT(BL89:CD89)=19)</f>
        <v>1</v>
      </c>
      <c r="N89" s="18">
        <f>SUM(CE89:CL89)</f>
        <v>4</v>
      </c>
      <c r="O89" s="18">
        <f>SUM(CM89:CR89)</f>
        <v>6</v>
      </c>
      <c r="P89" s="18">
        <f>N89+O89</f>
        <v>10</v>
      </c>
      <c r="Q89" s="21" t="s">
        <v>198</v>
      </c>
      <c r="R89" s="17" t="s">
        <v>216</v>
      </c>
      <c r="S89" s="18">
        <f>--OR(Overview!$B$6="All",E89=Overview!$B$6)*--OR(Overview!$F$6="All",F89=Overview!$F$6)*--OR(Overview!$J$6="All",G89=Overview!$J$6)*--OR(Overview!$N$6="All",H89=Overview!$N$6)</f>
        <v>1</v>
      </c>
      <c r="T89" s="21" t="s">
        <v>22</v>
      </c>
      <c r="U89" s="21" t="s">
        <v>26</v>
      </c>
      <c r="V89" s="21" t="s">
        <v>26</v>
      </c>
      <c r="W89" s="21" t="s">
        <v>22</v>
      </c>
      <c r="X89" s="21" t="s">
        <v>22</v>
      </c>
      <c r="Y89" s="21" t="s">
        <v>26</v>
      </c>
      <c r="Z89" s="21" t="s">
        <v>22</v>
      </c>
      <c r="AA89" s="21" t="s">
        <v>22</v>
      </c>
      <c r="AB89" s="21" t="s">
        <v>26</v>
      </c>
      <c r="AC89" s="21" t="s">
        <v>22</v>
      </c>
      <c r="AD89" s="21" t="s">
        <v>198</v>
      </c>
      <c r="AE89" s="21" t="s">
        <v>22</v>
      </c>
      <c r="AF89" s="21" t="s">
        <v>26</v>
      </c>
      <c r="AG89" s="21" t="s">
        <v>26</v>
      </c>
      <c r="AH89" s="21" t="s">
        <v>22</v>
      </c>
      <c r="AI89" s="21" t="s">
        <v>26</v>
      </c>
      <c r="AJ89" s="21" t="s">
        <v>22</v>
      </c>
      <c r="AK89" s="21" t="s">
        <v>22</v>
      </c>
      <c r="AL89" s="21" t="s">
        <v>26</v>
      </c>
      <c r="AM89" s="21" t="s">
        <v>83</v>
      </c>
      <c r="AN89" s="21" t="s">
        <v>83</v>
      </c>
      <c r="AO89" s="21" t="s">
        <v>109</v>
      </c>
      <c r="AP89" s="21" t="s">
        <v>83</v>
      </c>
      <c r="AQ89" s="21" t="s">
        <v>198</v>
      </c>
      <c r="AR89" s="21" t="s">
        <v>83</v>
      </c>
      <c r="AS89" s="21" t="s">
        <v>109</v>
      </c>
      <c r="AT89" s="21" t="s">
        <v>109</v>
      </c>
      <c r="AU89" s="21" t="s">
        <v>109</v>
      </c>
      <c r="AV89" s="21" t="s">
        <v>109</v>
      </c>
      <c r="AW89" s="21" t="s">
        <v>109</v>
      </c>
      <c r="AX89" s="21" t="s">
        <v>109</v>
      </c>
      <c r="AY89" s="21" t="s">
        <v>109</v>
      </c>
      <c r="AZ89" s="21" t="s">
        <v>109</v>
      </c>
      <c r="BA89" s="17" t="s">
        <v>284</v>
      </c>
      <c r="BB89" s="17" t="s">
        <v>285</v>
      </c>
      <c r="BC89" s="18">
        <f>--ISNUMBER(SEARCH("Radio or television",BA89))</f>
        <v>1</v>
      </c>
      <c r="BD89" s="18">
        <f>--ISNUMBER(SEARCH("Newspapers or print media",BA89))</f>
        <v>1</v>
      </c>
      <c r="BE89" s="18">
        <f>--ISNUMBER(SEARCH("Social media (e.g. Facebook, WhatsApp, YouTube, X/Twitter)",BA89))</f>
        <v>1</v>
      </c>
      <c r="BF89" s="18">
        <f>--ISNUMBER(SEARCH("Family members",BA89))</f>
        <v>0</v>
      </c>
      <c r="BG89" s="18">
        <f>--ISNUMBER(SEARCH("Friends or fellow students",BA89))</f>
        <v>1</v>
      </c>
      <c r="BH89" s="18">
        <f>--ISNUMBER(SEARCH("School coursework or lectures",BA89))</f>
        <v>0</v>
      </c>
      <c r="BI89" s="18">
        <f>--ISNUMBER(SEARCH("NHIMA outreach activities or NHIMA offices",BA89))</f>
        <v>1</v>
      </c>
      <c r="BJ89" s="18">
        <f>--ISNUMBER(SEARCH("Health facility staff",BA89))</f>
        <v>0</v>
      </c>
      <c r="BK89" s="18">
        <f>--ISNUMBER(SEARCH("not received information",BA89))</f>
        <v>0</v>
      </c>
      <c r="BL89" s="18">
        <f>IF(T89="","",--(T89='Codebook'!$F$13))</f>
        <v>1</v>
      </c>
      <c r="BM89" s="18">
        <f>IF(U89="","",--(U89='Codebook'!$F$14))</f>
        <v>1</v>
      </c>
      <c r="BN89" s="18">
        <f>IF(V89="","",--(V89='Codebook'!$F$15))</f>
        <v>1</v>
      </c>
      <c r="BO89" s="18">
        <f>IF(W89="","",--(W89='Codebook'!$F$16))</f>
        <v>1</v>
      </c>
      <c r="BP89" s="18">
        <f>IF(X89="","",--(X89='Codebook'!$F$17))</f>
        <v>1</v>
      </c>
      <c r="BQ89" s="18">
        <f>IF(Y89="","",--(Y89='Codebook'!$F$18))</f>
        <v>1</v>
      </c>
      <c r="BR89" s="18">
        <f>IF(Z89="","",--(Z89='Codebook'!$F$19))</f>
        <v>1</v>
      </c>
      <c r="BS89" s="18">
        <f>IF(AA89="","",--(AA89='Codebook'!$F$20))</f>
        <v>1</v>
      </c>
      <c r="BT89" s="18">
        <f>IF(AB89="","",--(AB89='Codebook'!$F$21))</f>
        <v>1</v>
      </c>
      <c r="BU89" s="18">
        <f>IF(AC89="","",--(AC89='Codebook'!$F$22))</f>
        <v>1</v>
      </c>
      <c r="BV89" s="18">
        <f>IF(AD89="","",--(AD89='Codebook'!$F$23))</f>
        <v>0</v>
      </c>
      <c r="BW89" s="18">
        <f>IF(AE89="","",--(AE89='Codebook'!$F$24))</f>
        <v>1</v>
      </c>
      <c r="BX89" s="18">
        <f>IF(AF89="","",--(AF89='Codebook'!$F$25))</f>
        <v>1</v>
      </c>
      <c r="BY89" s="18">
        <f>IF(AG89="","",--(AG89='Codebook'!$F$26))</f>
        <v>0</v>
      </c>
      <c r="BZ89" s="18">
        <f>IF(AH89="","",--(AH89='Codebook'!$F$27))</f>
        <v>1</v>
      </c>
      <c r="CA89" s="18">
        <f>IF(AI89="","",--(AI89='Codebook'!$F$28))</f>
        <v>1</v>
      </c>
      <c r="CB89" s="18">
        <f>IF(AJ89="","",--(AJ89='Codebook'!$F$29))</f>
        <v>0</v>
      </c>
      <c r="CC89" s="18">
        <f>IF(AK89="","",--(AK89='Codebook'!$F$30))</f>
        <v>1</v>
      </c>
      <c r="CD89" s="18">
        <f>IF(AL89="","",--(AL89='Codebook'!$F$31))</f>
        <v>1</v>
      </c>
      <c r="CE89" s="18">
        <f>IF(AM89="","",--(AM89='Codebook'!$F$32))</f>
        <v>1</v>
      </c>
      <c r="CF89" s="18">
        <f>IF(AN89="","",--(AN89='Codebook'!$F$33))</f>
        <v>1</v>
      </c>
      <c r="CG89" s="18">
        <f>IF(AO89="","",--(AO89='Codebook'!$F$34))</f>
        <v>0</v>
      </c>
      <c r="CH89" s="18">
        <f>IF(AP89="","",--(AP89='Codebook'!$F$35))</f>
        <v>1</v>
      </c>
      <c r="CI89" s="18">
        <f>IF(AQ89="","",--(AQ89='Codebook'!$F$36))</f>
        <v>0</v>
      </c>
      <c r="CJ89" s="18">
        <f>IF(AR89="","",--(AR89='Codebook'!$F$37))</f>
        <v>1</v>
      </c>
      <c r="CK89" s="18">
        <f>IF(AS89="","",--(AS89='Codebook'!$F$38))</f>
        <v>0</v>
      </c>
      <c r="CL89" s="18">
        <f>IF(AT89="","",--(AT89='Codebook'!$F$39))</f>
        <v>0</v>
      </c>
      <c r="CM89" s="18">
        <f>IF(AU89="","",--(AU89='Codebook'!$F$40))</f>
        <v>1</v>
      </c>
      <c r="CN89" s="18">
        <f>IF(AV89="","",--(AV89='Codebook'!$F$41))</f>
        <v>1</v>
      </c>
      <c r="CO89" s="18">
        <f>IF(AW89="","",--(AW89='Codebook'!$F$42))</f>
        <v>1</v>
      </c>
      <c r="CP89" s="18">
        <f>IF(AX89="","",--(AX89='Codebook'!$F$43))</f>
        <v>1</v>
      </c>
      <c r="CQ89" s="18">
        <f>IF(AY89="","",--(AY89='Codebook'!$F$44))</f>
        <v>1</v>
      </c>
      <c r="CR89" s="18">
        <f>IF(AZ89="","",--(AZ89='Codebook'!$F$45))</f>
        <v>1</v>
      </c>
    </row>
    <row r="90" spans="2:96" ht="24" customHeight="1">
      <c r="B90" s="18">
        <v>85</v>
      </c>
      <c r="C90" s="23">
        <v>46284.40054899306</v>
      </c>
      <c r="D90" s="21" t="s">
        <v>275</v>
      </c>
      <c r="E90" s="21" t="s">
        <v>194</v>
      </c>
      <c r="F90" s="21" t="s">
        <v>201</v>
      </c>
      <c r="G90" s="17" t="s">
        <v>202</v>
      </c>
      <c r="H90" s="21" t="s">
        <v>207</v>
      </c>
      <c r="I90" s="18">
        <f>SUM(BL90:BU90)</f>
        <v>9</v>
      </c>
      <c r="J90" s="18">
        <f>IF(COUNT(BV90:CD90)=9,SUM(BV90:CD90),"")</f>
        <v>5</v>
      </c>
      <c r="K90" s="18">
        <f>SUM(BL90:CD90)</f>
        <v>14</v>
      </c>
      <c r="L90" s="18">
        <f>--(K90&gt;='Codebook'!$C$8)</f>
        <v>1</v>
      </c>
      <c r="M90" s="18">
        <f>--(COUNT(BL90:CD90)=19)</f>
        <v>1</v>
      </c>
      <c r="N90" s="18">
        <f>SUM(CE90:CL90)</f>
        <v>2</v>
      </c>
      <c r="O90" s="18">
        <f>SUM(CM90:CR90)</f>
        <v>6</v>
      </c>
      <c r="P90" s="18">
        <f>N90+O90</f>
        <v>8</v>
      </c>
      <c r="Q90" s="21" t="s">
        <v>197</v>
      </c>
      <c r="R90" s="17" t="s">
        <v>216</v>
      </c>
      <c r="S90" s="18">
        <f>--OR(Overview!$B$6="All",E90=Overview!$B$6)*--OR(Overview!$F$6="All",F90=Overview!$F$6)*--OR(Overview!$J$6="All",G90=Overview!$J$6)*--OR(Overview!$N$6="All",H90=Overview!$N$6)</f>
        <v>1</v>
      </c>
      <c r="T90" s="21" t="s">
        <v>26</v>
      </c>
      <c r="U90" s="21" t="s">
        <v>26</v>
      </c>
      <c r="V90" s="21" t="s">
        <v>26</v>
      </c>
      <c r="W90" s="21" t="s">
        <v>22</v>
      </c>
      <c r="X90" s="21" t="s">
        <v>22</v>
      </c>
      <c r="Y90" s="21" t="s">
        <v>26</v>
      </c>
      <c r="Z90" s="21" t="s">
        <v>22</v>
      </c>
      <c r="AA90" s="21" t="s">
        <v>22</v>
      </c>
      <c r="AB90" s="21" t="s">
        <v>26</v>
      </c>
      <c r="AC90" s="21" t="s">
        <v>22</v>
      </c>
      <c r="AD90" s="21" t="s">
        <v>22</v>
      </c>
      <c r="AE90" s="21" t="s">
        <v>198</v>
      </c>
      <c r="AF90" s="21" t="s">
        <v>26</v>
      </c>
      <c r="AG90" s="21" t="s">
        <v>198</v>
      </c>
      <c r="AH90" s="21" t="s">
        <v>198</v>
      </c>
      <c r="AI90" s="21" t="s">
        <v>26</v>
      </c>
      <c r="AJ90" s="21" t="s">
        <v>198</v>
      </c>
      <c r="AK90" s="21" t="s">
        <v>22</v>
      </c>
      <c r="AL90" s="21" t="s">
        <v>26</v>
      </c>
      <c r="AM90" s="21" t="s">
        <v>198</v>
      </c>
      <c r="AN90" s="21" t="s">
        <v>83</v>
      </c>
      <c r="AO90" s="21" t="s">
        <v>109</v>
      </c>
      <c r="AP90" s="21" t="s">
        <v>83</v>
      </c>
      <c r="AQ90" s="21" t="s">
        <v>198</v>
      </c>
      <c r="AR90" s="21" t="s">
        <v>198</v>
      </c>
      <c r="AS90" s="21" t="s">
        <v>109</v>
      </c>
      <c r="AT90" s="21" t="s">
        <v>109</v>
      </c>
      <c r="AU90" s="21" t="s">
        <v>109</v>
      </c>
      <c r="AV90" s="21" t="s">
        <v>109</v>
      </c>
      <c r="AW90" s="21" t="s">
        <v>109</v>
      </c>
      <c r="AX90" s="21" t="s">
        <v>109</v>
      </c>
      <c r="AY90" s="21" t="s">
        <v>109</v>
      </c>
      <c r="AZ90" s="21" t="s">
        <v>109</v>
      </c>
      <c r="BA90" s="17" t="s">
        <v>286</v>
      </c>
      <c r="BB90" s="17" t="s">
        <v>287</v>
      </c>
      <c r="BC90" s="18">
        <f>--ISNUMBER(SEARCH("Radio or television",BA90))</f>
        <v>0</v>
      </c>
      <c r="BD90" s="18">
        <f>--ISNUMBER(SEARCH("Newspapers or print media",BA90))</f>
        <v>0</v>
      </c>
      <c r="BE90" s="18">
        <f>--ISNUMBER(SEARCH("Social media (e.g. Facebook, WhatsApp, YouTube, X/Twitter)",BA90))</f>
        <v>0</v>
      </c>
      <c r="BF90" s="18">
        <f>--ISNUMBER(SEARCH("Family members",BA90))</f>
        <v>0</v>
      </c>
      <c r="BG90" s="18">
        <f>--ISNUMBER(SEARCH("Friends or fellow students",BA90))</f>
        <v>1</v>
      </c>
      <c r="BH90" s="18">
        <f>--ISNUMBER(SEARCH("School coursework or lectures",BA90))</f>
        <v>1</v>
      </c>
      <c r="BI90" s="18">
        <f>--ISNUMBER(SEARCH("NHIMA outreach activities or NHIMA offices",BA90))</f>
        <v>1</v>
      </c>
      <c r="BJ90" s="18">
        <f>--ISNUMBER(SEARCH("Health facility staff",BA90))</f>
        <v>0</v>
      </c>
      <c r="BK90" s="18">
        <f>--ISNUMBER(SEARCH("not received information",BA90))</f>
        <v>0</v>
      </c>
      <c r="BL90" s="18">
        <f>IF(T90="","",--(T90='Codebook'!$F$13))</f>
        <v>0</v>
      </c>
      <c r="BM90" s="18">
        <f>IF(U90="","",--(U90='Codebook'!$F$14))</f>
        <v>1</v>
      </c>
      <c r="BN90" s="18">
        <f>IF(V90="","",--(V90='Codebook'!$F$15))</f>
        <v>1</v>
      </c>
      <c r="BO90" s="18">
        <f>IF(W90="","",--(W90='Codebook'!$F$16))</f>
        <v>1</v>
      </c>
      <c r="BP90" s="18">
        <f>IF(X90="","",--(X90='Codebook'!$F$17))</f>
        <v>1</v>
      </c>
      <c r="BQ90" s="18">
        <f>IF(Y90="","",--(Y90='Codebook'!$F$18))</f>
        <v>1</v>
      </c>
      <c r="BR90" s="18">
        <f>IF(Z90="","",--(Z90='Codebook'!$F$19))</f>
        <v>1</v>
      </c>
      <c r="BS90" s="18">
        <f>IF(AA90="","",--(AA90='Codebook'!$F$20))</f>
        <v>1</v>
      </c>
      <c r="BT90" s="18">
        <f>IF(AB90="","",--(AB90='Codebook'!$F$21))</f>
        <v>1</v>
      </c>
      <c r="BU90" s="18">
        <f>IF(AC90="","",--(AC90='Codebook'!$F$22))</f>
        <v>1</v>
      </c>
      <c r="BV90" s="18">
        <f>IF(AD90="","",--(AD90='Codebook'!$F$23))</f>
        <v>1</v>
      </c>
      <c r="BW90" s="18">
        <f>IF(AE90="","",--(AE90='Codebook'!$F$24))</f>
        <v>0</v>
      </c>
      <c r="BX90" s="18">
        <f>IF(AF90="","",--(AF90='Codebook'!$F$25))</f>
        <v>1</v>
      </c>
      <c r="BY90" s="18">
        <f>IF(AG90="","",--(AG90='Codebook'!$F$26))</f>
        <v>0</v>
      </c>
      <c r="BZ90" s="18">
        <f>IF(AH90="","",--(AH90='Codebook'!$F$27))</f>
        <v>0</v>
      </c>
      <c r="CA90" s="18">
        <f>IF(AI90="","",--(AI90='Codebook'!$F$28))</f>
        <v>1</v>
      </c>
      <c r="CB90" s="18">
        <f>IF(AJ90="","",--(AJ90='Codebook'!$F$29))</f>
        <v>0</v>
      </c>
      <c r="CC90" s="18">
        <f>IF(AK90="","",--(AK90='Codebook'!$F$30))</f>
        <v>1</v>
      </c>
      <c r="CD90" s="18">
        <f>IF(AL90="","",--(AL90='Codebook'!$F$31))</f>
        <v>1</v>
      </c>
      <c r="CE90" s="18">
        <f>IF(AM90="","",--(AM90='Codebook'!$F$32))</f>
        <v>0</v>
      </c>
      <c r="CF90" s="18">
        <f>IF(AN90="","",--(AN90='Codebook'!$F$33))</f>
        <v>1</v>
      </c>
      <c r="CG90" s="18">
        <f>IF(AO90="","",--(AO90='Codebook'!$F$34))</f>
        <v>0</v>
      </c>
      <c r="CH90" s="18">
        <f>IF(AP90="","",--(AP90='Codebook'!$F$35))</f>
        <v>1</v>
      </c>
      <c r="CI90" s="18">
        <f>IF(AQ90="","",--(AQ90='Codebook'!$F$36))</f>
        <v>0</v>
      </c>
      <c r="CJ90" s="18">
        <f>IF(AR90="","",--(AR90='Codebook'!$F$37))</f>
        <v>0</v>
      </c>
      <c r="CK90" s="18">
        <f>IF(AS90="","",--(AS90='Codebook'!$F$38))</f>
        <v>0</v>
      </c>
      <c r="CL90" s="18">
        <f>IF(AT90="","",--(AT90='Codebook'!$F$39))</f>
        <v>0</v>
      </c>
      <c r="CM90" s="18">
        <f>IF(AU90="","",--(AU90='Codebook'!$F$40))</f>
        <v>1</v>
      </c>
      <c r="CN90" s="18">
        <f>IF(AV90="","",--(AV90='Codebook'!$F$41))</f>
        <v>1</v>
      </c>
      <c r="CO90" s="18">
        <f>IF(AW90="","",--(AW90='Codebook'!$F$42))</f>
        <v>1</v>
      </c>
      <c r="CP90" s="18">
        <f>IF(AX90="","",--(AX90='Codebook'!$F$43))</f>
        <v>1</v>
      </c>
      <c r="CQ90" s="18">
        <f>IF(AY90="","",--(AY90='Codebook'!$F$44))</f>
        <v>1</v>
      </c>
      <c r="CR90" s="18">
        <f>IF(AZ90="","",--(AZ90='Codebook'!$F$45))</f>
        <v>1</v>
      </c>
    </row>
    <row r="91" spans="2:96" ht="24" customHeight="1">
      <c r="B91" s="18">
        <v>86</v>
      </c>
      <c r="C91" s="23">
        <v>46284.40241916667</v>
      </c>
      <c r="D91" s="21" t="s">
        <v>275</v>
      </c>
      <c r="E91" s="21" t="s">
        <v>206</v>
      </c>
      <c r="F91" s="21" t="s">
        <v>212</v>
      </c>
      <c r="G91" s="17" t="s">
        <v>215</v>
      </c>
      <c r="H91" s="21" t="s">
        <v>207</v>
      </c>
      <c r="I91" s="18">
        <f>SUM(BL91:BU91)</f>
        <v>7</v>
      </c>
      <c r="J91" s="18">
        <f>IF(COUNT(BV91:CD91)=9,SUM(BV91:CD91),"")</f>
        <v>5</v>
      </c>
      <c r="K91" s="18">
        <f>SUM(BL91:CD91)</f>
        <v>12</v>
      </c>
      <c r="L91" s="18">
        <f>--(K91&gt;='Codebook'!$C$8)</f>
        <v>1</v>
      </c>
      <c r="M91" s="18">
        <f>--(COUNT(BL91:CD91)=19)</f>
        <v>1</v>
      </c>
      <c r="N91" s="18">
        <f>SUM(CE91:CL91)</f>
        <v>2</v>
      </c>
      <c r="O91" s="18">
        <f>SUM(CM91:CR91)</f>
        <v>6</v>
      </c>
      <c r="P91" s="18">
        <f>N91+O91</f>
        <v>8</v>
      </c>
      <c r="Q91" s="21" t="s">
        <v>207</v>
      </c>
      <c r="R91" s="17" t="s">
        <v>154</v>
      </c>
      <c r="S91" s="18">
        <f>--OR(Overview!$B$6="All",E91=Overview!$B$6)*--OR(Overview!$F$6="All",F91=Overview!$F$6)*--OR(Overview!$J$6="All",G91=Overview!$J$6)*--OR(Overview!$N$6="All",H91=Overview!$N$6)</f>
        <v>1</v>
      </c>
      <c r="T91" s="21" t="s">
        <v>22</v>
      </c>
      <c r="U91" s="21" t="s">
        <v>26</v>
      </c>
      <c r="V91" s="21" t="s">
        <v>26</v>
      </c>
      <c r="W91" s="21" t="s">
        <v>198</v>
      </c>
      <c r="X91" s="21" t="s">
        <v>22</v>
      </c>
      <c r="Y91" s="21" t="s">
        <v>198</v>
      </c>
      <c r="Z91" s="21" t="s">
        <v>22</v>
      </c>
      <c r="AA91" s="21" t="s">
        <v>198</v>
      </c>
      <c r="AB91" s="21" t="s">
        <v>26</v>
      </c>
      <c r="AC91" s="21" t="s">
        <v>22</v>
      </c>
      <c r="AD91" s="21" t="s">
        <v>22</v>
      </c>
      <c r="AE91" s="21" t="s">
        <v>198</v>
      </c>
      <c r="AF91" s="21" t="s">
        <v>198</v>
      </c>
      <c r="AG91" s="21" t="s">
        <v>26</v>
      </c>
      <c r="AH91" s="21" t="s">
        <v>22</v>
      </c>
      <c r="AI91" s="21" t="s">
        <v>26</v>
      </c>
      <c r="AJ91" s="21" t="s">
        <v>22</v>
      </c>
      <c r="AK91" s="21" t="s">
        <v>22</v>
      </c>
      <c r="AL91" s="21" t="s">
        <v>26</v>
      </c>
      <c r="AM91" s="21" t="s">
        <v>109</v>
      </c>
      <c r="AN91" s="21" t="s">
        <v>83</v>
      </c>
      <c r="AO91" s="21" t="s">
        <v>109</v>
      </c>
      <c r="AP91" s="21" t="s">
        <v>83</v>
      </c>
      <c r="AQ91" s="21" t="s">
        <v>198</v>
      </c>
      <c r="AR91" s="21" t="s">
        <v>198</v>
      </c>
      <c r="AS91" s="21" t="s">
        <v>198</v>
      </c>
      <c r="AT91" s="21" t="s">
        <v>198</v>
      </c>
      <c r="AU91" s="21" t="s">
        <v>109</v>
      </c>
      <c r="AV91" s="21" t="s">
        <v>109</v>
      </c>
      <c r="AW91" s="21" t="s">
        <v>109</v>
      </c>
      <c r="AX91" s="21" t="s">
        <v>109</v>
      </c>
      <c r="AY91" s="21" t="s">
        <v>109</v>
      </c>
      <c r="AZ91" s="21" t="s">
        <v>109</v>
      </c>
      <c r="BA91" s="17" t="s">
        <v>250</v>
      </c>
      <c r="BB91" s="17" t="s">
        <v>250</v>
      </c>
      <c r="BC91" s="18">
        <f>--ISNUMBER(SEARCH("Radio or television",BA91))</f>
        <v>0</v>
      </c>
      <c r="BD91" s="18">
        <f>--ISNUMBER(SEARCH("Newspapers or print media",BA91))</f>
        <v>0</v>
      </c>
      <c r="BE91" s="18">
        <f>--ISNUMBER(SEARCH("Social media (e.g. Facebook, WhatsApp, YouTube, X/Twitter)",BA91))</f>
        <v>1</v>
      </c>
      <c r="BF91" s="18">
        <f>--ISNUMBER(SEARCH("Family members",BA91))</f>
        <v>0</v>
      </c>
      <c r="BG91" s="18">
        <f>--ISNUMBER(SEARCH("Friends or fellow students",BA91))</f>
        <v>0</v>
      </c>
      <c r="BH91" s="18">
        <f>--ISNUMBER(SEARCH("School coursework or lectures",BA91))</f>
        <v>0</v>
      </c>
      <c r="BI91" s="18">
        <f>--ISNUMBER(SEARCH("NHIMA outreach activities or NHIMA offices",BA91))</f>
        <v>0</v>
      </c>
      <c r="BJ91" s="18">
        <f>--ISNUMBER(SEARCH("Health facility staff",BA91))</f>
        <v>0</v>
      </c>
      <c r="BK91" s="18">
        <f>--ISNUMBER(SEARCH("not received information",BA91))</f>
        <v>0</v>
      </c>
      <c r="BL91" s="18">
        <f>IF(T91="","",--(T91='Codebook'!$F$13))</f>
        <v>1</v>
      </c>
      <c r="BM91" s="18">
        <f>IF(U91="","",--(U91='Codebook'!$F$14))</f>
        <v>1</v>
      </c>
      <c r="BN91" s="18">
        <f>IF(V91="","",--(V91='Codebook'!$F$15))</f>
        <v>1</v>
      </c>
      <c r="BO91" s="18">
        <f>IF(W91="","",--(W91='Codebook'!$F$16))</f>
        <v>0</v>
      </c>
      <c r="BP91" s="18">
        <f>IF(X91="","",--(X91='Codebook'!$F$17))</f>
        <v>1</v>
      </c>
      <c r="BQ91" s="18">
        <f>IF(Y91="","",--(Y91='Codebook'!$F$18))</f>
        <v>0</v>
      </c>
      <c r="BR91" s="18">
        <f>IF(Z91="","",--(Z91='Codebook'!$F$19))</f>
        <v>1</v>
      </c>
      <c r="BS91" s="18">
        <f>IF(AA91="","",--(AA91='Codebook'!$F$20))</f>
        <v>0</v>
      </c>
      <c r="BT91" s="18">
        <f>IF(AB91="","",--(AB91='Codebook'!$F$21))</f>
        <v>1</v>
      </c>
      <c r="BU91" s="18">
        <f>IF(AC91="","",--(AC91='Codebook'!$F$22))</f>
        <v>1</v>
      </c>
      <c r="BV91" s="18">
        <f>IF(AD91="","",--(AD91='Codebook'!$F$23))</f>
        <v>1</v>
      </c>
      <c r="BW91" s="18">
        <f>IF(AE91="","",--(AE91='Codebook'!$F$24))</f>
        <v>0</v>
      </c>
      <c r="BX91" s="18">
        <f>IF(AF91="","",--(AF91='Codebook'!$F$25))</f>
        <v>0</v>
      </c>
      <c r="BY91" s="18">
        <f>IF(AG91="","",--(AG91='Codebook'!$F$26))</f>
        <v>0</v>
      </c>
      <c r="BZ91" s="18">
        <f>IF(AH91="","",--(AH91='Codebook'!$F$27))</f>
        <v>1</v>
      </c>
      <c r="CA91" s="18">
        <f>IF(AI91="","",--(AI91='Codebook'!$F$28))</f>
        <v>1</v>
      </c>
      <c r="CB91" s="18">
        <f>IF(AJ91="","",--(AJ91='Codebook'!$F$29))</f>
        <v>0</v>
      </c>
      <c r="CC91" s="18">
        <f>IF(AK91="","",--(AK91='Codebook'!$F$30))</f>
        <v>1</v>
      </c>
      <c r="CD91" s="18">
        <f>IF(AL91="","",--(AL91='Codebook'!$F$31))</f>
        <v>1</v>
      </c>
      <c r="CE91" s="18">
        <f>IF(AM91="","",--(AM91='Codebook'!$F$32))</f>
        <v>0</v>
      </c>
      <c r="CF91" s="18">
        <f>IF(AN91="","",--(AN91='Codebook'!$F$33))</f>
        <v>1</v>
      </c>
      <c r="CG91" s="18">
        <f>IF(AO91="","",--(AO91='Codebook'!$F$34))</f>
        <v>0</v>
      </c>
      <c r="CH91" s="18">
        <f>IF(AP91="","",--(AP91='Codebook'!$F$35))</f>
        <v>1</v>
      </c>
      <c r="CI91" s="18">
        <f>IF(AQ91="","",--(AQ91='Codebook'!$F$36))</f>
        <v>0</v>
      </c>
      <c r="CJ91" s="18">
        <f>IF(AR91="","",--(AR91='Codebook'!$F$37))</f>
        <v>0</v>
      </c>
      <c r="CK91" s="18">
        <f>IF(AS91="","",--(AS91='Codebook'!$F$38))</f>
        <v>0</v>
      </c>
      <c r="CL91" s="18">
        <f>IF(AT91="","",--(AT91='Codebook'!$F$39))</f>
        <v>0</v>
      </c>
      <c r="CM91" s="18">
        <f>IF(AU91="","",--(AU91='Codebook'!$F$40))</f>
        <v>1</v>
      </c>
      <c r="CN91" s="18">
        <f>IF(AV91="","",--(AV91='Codebook'!$F$41))</f>
        <v>1</v>
      </c>
      <c r="CO91" s="18">
        <f>IF(AW91="","",--(AW91='Codebook'!$F$42))</f>
        <v>1</v>
      </c>
      <c r="CP91" s="18">
        <f>IF(AX91="","",--(AX91='Codebook'!$F$43))</f>
        <v>1</v>
      </c>
      <c r="CQ91" s="18">
        <f>IF(AY91="","",--(AY91='Codebook'!$F$44))</f>
        <v>1</v>
      </c>
      <c r="CR91" s="18">
        <f>IF(AZ91="","",--(AZ91='Codebook'!$F$45))</f>
        <v>1</v>
      </c>
    </row>
    <row r="92" spans="2:96" ht="24" customHeight="1">
      <c r="B92" s="18">
        <v>87</v>
      </c>
      <c r="C92" s="23">
        <v>46284.40386913194</v>
      </c>
      <c r="D92" s="21" t="s">
        <v>270</v>
      </c>
      <c r="E92" s="21" t="s">
        <v>194</v>
      </c>
      <c r="F92" s="21" t="s">
        <v>212</v>
      </c>
      <c r="G92" s="17" t="s">
        <v>196</v>
      </c>
      <c r="H92" s="21" t="s">
        <v>207</v>
      </c>
      <c r="I92" s="18">
        <f>SUM(BL92:BU92)</f>
        <v>9</v>
      </c>
      <c r="J92" s="18">
        <f>IF(COUNT(BV92:CD92)=9,SUM(BV92:CD92),"")</f>
        <v>6</v>
      </c>
      <c r="K92" s="18">
        <f>SUM(BL92:CD92)</f>
        <v>15</v>
      </c>
      <c r="L92" s="18">
        <f>--(K92&gt;='Codebook'!$C$8)</f>
        <v>1</v>
      </c>
      <c r="M92" s="18">
        <f>--(COUNT(BL92:CD92)=19)</f>
        <v>1</v>
      </c>
      <c r="N92" s="18">
        <f>SUM(CE92:CL92)</f>
        <v>4</v>
      </c>
      <c r="O92" s="18">
        <f>SUM(CM92:CR92)</f>
        <v>6</v>
      </c>
      <c r="P92" s="18">
        <f>N92+O92</f>
        <v>10</v>
      </c>
      <c r="Q92" s="21" t="s">
        <v>197</v>
      </c>
      <c r="R92" s="17" t="s">
        <v>158</v>
      </c>
      <c r="S92" s="18">
        <f>--OR(Overview!$B$6="All",E92=Overview!$B$6)*--OR(Overview!$F$6="All",F92=Overview!$F$6)*--OR(Overview!$J$6="All",G92=Overview!$J$6)*--OR(Overview!$N$6="All",H92=Overview!$N$6)</f>
        <v>1</v>
      </c>
      <c r="T92" s="21" t="s">
        <v>22</v>
      </c>
      <c r="U92" s="21" t="s">
        <v>26</v>
      </c>
      <c r="V92" s="21" t="s">
        <v>26</v>
      </c>
      <c r="W92" s="21" t="s">
        <v>22</v>
      </c>
      <c r="X92" s="21" t="s">
        <v>22</v>
      </c>
      <c r="Y92" s="21" t="s">
        <v>26</v>
      </c>
      <c r="Z92" s="21" t="s">
        <v>22</v>
      </c>
      <c r="AA92" s="21" t="s">
        <v>198</v>
      </c>
      <c r="AB92" s="21" t="s">
        <v>26</v>
      </c>
      <c r="AC92" s="21" t="s">
        <v>22</v>
      </c>
      <c r="AD92" s="21" t="s">
        <v>22</v>
      </c>
      <c r="AE92" s="21" t="s">
        <v>22</v>
      </c>
      <c r="AF92" s="21" t="s">
        <v>26</v>
      </c>
      <c r="AG92" s="21" t="s">
        <v>26</v>
      </c>
      <c r="AH92" s="21" t="s">
        <v>198</v>
      </c>
      <c r="AI92" s="21" t="s">
        <v>26</v>
      </c>
      <c r="AJ92" s="21" t="s">
        <v>22</v>
      </c>
      <c r="AK92" s="21" t="s">
        <v>22</v>
      </c>
      <c r="AL92" s="21" t="s">
        <v>26</v>
      </c>
      <c r="AM92" s="21" t="s">
        <v>83</v>
      </c>
      <c r="AN92" s="21" t="s">
        <v>83</v>
      </c>
      <c r="AO92" s="21" t="s">
        <v>109</v>
      </c>
      <c r="AP92" s="21" t="s">
        <v>83</v>
      </c>
      <c r="AQ92" s="21" t="s">
        <v>109</v>
      </c>
      <c r="AR92" s="21" t="s">
        <v>83</v>
      </c>
      <c r="AS92" s="21" t="s">
        <v>109</v>
      </c>
      <c r="AT92" s="21" t="s">
        <v>109</v>
      </c>
      <c r="AU92" s="21" t="s">
        <v>109</v>
      </c>
      <c r="AV92" s="21" t="s">
        <v>109</v>
      </c>
      <c r="AW92" s="21" t="s">
        <v>109</v>
      </c>
      <c r="AX92" s="21" t="s">
        <v>109</v>
      </c>
      <c r="AY92" s="21" t="s">
        <v>109</v>
      </c>
      <c r="AZ92" s="21" t="s">
        <v>109</v>
      </c>
      <c r="BA92" s="17" t="s">
        <v>288</v>
      </c>
      <c r="BB92" s="17" t="s">
        <v>225</v>
      </c>
      <c r="BC92" s="18">
        <f>--ISNUMBER(SEARCH("Radio or television",BA92))</f>
        <v>0</v>
      </c>
      <c r="BD92" s="18">
        <f>--ISNUMBER(SEARCH("Newspapers or print media",BA92))</f>
        <v>0</v>
      </c>
      <c r="BE92" s="18">
        <f>--ISNUMBER(SEARCH("Social media (e.g. Facebook, WhatsApp, YouTube, X/Twitter)",BA92))</f>
        <v>0</v>
      </c>
      <c r="BF92" s="18">
        <f>--ISNUMBER(SEARCH("Family members",BA92))</f>
        <v>0</v>
      </c>
      <c r="BG92" s="18">
        <f>--ISNUMBER(SEARCH("Friends or fellow students",BA92))</f>
        <v>1</v>
      </c>
      <c r="BH92" s="18">
        <f>--ISNUMBER(SEARCH("School coursework or lectures",BA92))</f>
        <v>1</v>
      </c>
      <c r="BI92" s="18">
        <f>--ISNUMBER(SEARCH("NHIMA outreach activities or NHIMA offices",BA92))</f>
        <v>1</v>
      </c>
      <c r="BJ92" s="18">
        <f>--ISNUMBER(SEARCH("Health facility staff",BA92))</f>
        <v>1</v>
      </c>
      <c r="BK92" s="18">
        <f>--ISNUMBER(SEARCH("not received information",BA92))</f>
        <v>0</v>
      </c>
      <c r="BL92" s="18">
        <f>IF(T92="","",--(T92='Codebook'!$F$13))</f>
        <v>1</v>
      </c>
      <c r="BM92" s="18">
        <f>IF(U92="","",--(U92='Codebook'!$F$14))</f>
        <v>1</v>
      </c>
      <c r="BN92" s="18">
        <f>IF(V92="","",--(V92='Codebook'!$F$15))</f>
        <v>1</v>
      </c>
      <c r="BO92" s="18">
        <f>IF(W92="","",--(W92='Codebook'!$F$16))</f>
        <v>1</v>
      </c>
      <c r="BP92" s="18">
        <f>IF(X92="","",--(X92='Codebook'!$F$17))</f>
        <v>1</v>
      </c>
      <c r="BQ92" s="18">
        <f>IF(Y92="","",--(Y92='Codebook'!$F$18))</f>
        <v>1</v>
      </c>
      <c r="BR92" s="18">
        <f>IF(Z92="","",--(Z92='Codebook'!$F$19))</f>
        <v>1</v>
      </c>
      <c r="BS92" s="18">
        <f>IF(AA92="","",--(AA92='Codebook'!$F$20))</f>
        <v>0</v>
      </c>
      <c r="BT92" s="18">
        <f>IF(AB92="","",--(AB92='Codebook'!$F$21))</f>
        <v>1</v>
      </c>
      <c r="BU92" s="18">
        <f>IF(AC92="","",--(AC92='Codebook'!$F$22))</f>
        <v>1</v>
      </c>
      <c r="BV92" s="18">
        <f>IF(AD92="","",--(AD92='Codebook'!$F$23))</f>
        <v>1</v>
      </c>
      <c r="BW92" s="18">
        <f>IF(AE92="","",--(AE92='Codebook'!$F$24))</f>
        <v>1</v>
      </c>
      <c r="BX92" s="18">
        <f>IF(AF92="","",--(AF92='Codebook'!$F$25))</f>
        <v>1</v>
      </c>
      <c r="BY92" s="18">
        <f>IF(AG92="","",--(AG92='Codebook'!$F$26))</f>
        <v>0</v>
      </c>
      <c r="BZ92" s="18">
        <f>IF(AH92="","",--(AH92='Codebook'!$F$27))</f>
        <v>0</v>
      </c>
      <c r="CA92" s="18">
        <f>IF(AI92="","",--(AI92='Codebook'!$F$28))</f>
        <v>1</v>
      </c>
      <c r="CB92" s="18">
        <f>IF(AJ92="","",--(AJ92='Codebook'!$F$29))</f>
        <v>0</v>
      </c>
      <c r="CC92" s="18">
        <f>IF(AK92="","",--(AK92='Codebook'!$F$30))</f>
        <v>1</v>
      </c>
      <c r="CD92" s="18">
        <f>IF(AL92="","",--(AL92='Codebook'!$F$31))</f>
        <v>1</v>
      </c>
      <c r="CE92" s="18">
        <f>IF(AM92="","",--(AM92='Codebook'!$F$32))</f>
        <v>1</v>
      </c>
      <c r="CF92" s="18">
        <f>IF(AN92="","",--(AN92='Codebook'!$F$33))</f>
        <v>1</v>
      </c>
      <c r="CG92" s="18">
        <f>IF(AO92="","",--(AO92='Codebook'!$F$34))</f>
        <v>0</v>
      </c>
      <c r="CH92" s="18">
        <f>IF(AP92="","",--(AP92='Codebook'!$F$35))</f>
        <v>1</v>
      </c>
      <c r="CI92" s="18">
        <f>IF(AQ92="","",--(AQ92='Codebook'!$F$36))</f>
        <v>0</v>
      </c>
      <c r="CJ92" s="18">
        <f>IF(AR92="","",--(AR92='Codebook'!$F$37))</f>
        <v>1</v>
      </c>
      <c r="CK92" s="18">
        <f>IF(AS92="","",--(AS92='Codebook'!$F$38))</f>
        <v>0</v>
      </c>
      <c r="CL92" s="18">
        <f>IF(AT92="","",--(AT92='Codebook'!$F$39))</f>
        <v>0</v>
      </c>
      <c r="CM92" s="18">
        <f>IF(AU92="","",--(AU92='Codebook'!$F$40))</f>
        <v>1</v>
      </c>
      <c r="CN92" s="18">
        <f>IF(AV92="","",--(AV92='Codebook'!$F$41))</f>
        <v>1</v>
      </c>
      <c r="CO92" s="18">
        <f>IF(AW92="","",--(AW92='Codebook'!$F$42))</f>
        <v>1</v>
      </c>
      <c r="CP92" s="18">
        <f>IF(AX92="","",--(AX92='Codebook'!$F$43))</f>
        <v>1</v>
      </c>
      <c r="CQ92" s="18">
        <f>IF(AY92="","",--(AY92='Codebook'!$F$44))</f>
        <v>1</v>
      </c>
      <c r="CR92" s="18">
        <f>IF(AZ92="","",--(AZ92='Codebook'!$F$45))</f>
        <v>1</v>
      </c>
    </row>
    <row r="93" spans="2:96" ht="24" customHeight="1">
      <c r="B93" s="18">
        <v>88</v>
      </c>
      <c r="C93" s="23">
        <v>46284.40533674769</v>
      </c>
      <c r="D93" s="21" t="s">
        <v>275</v>
      </c>
      <c r="E93" s="21" t="s">
        <v>206</v>
      </c>
      <c r="F93" s="21" t="s">
        <v>226</v>
      </c>
      <c r="G93" s="17" t="s">
        <v>202</v>
      </c>
      <c r="H93" s="21" t="s">
        <v>207</v>
      </c>
      <c r="I93" s="18">
        <f>SUM(BL93:BU93)</f>
        <v>10</v>
      </c>
      <c r="J93" s="18">
        <f>IF(COUNT(BV93:CD93)=9,SUM(BV93:CD93),"")</f>
        <v>7</v>
      </c>
      <c r="K93" s="18">
        <f>SUM(BL93:CD93)</f>
        <v>17</v>
      </c>
      <c r="L93" s="18">
        <f>--(K93&gt;='Codebook'!$C$8)</f>
        <v>1</v>
      </c>
      <c r="M93" s="18">
        <f>--(COUNT(BL93:CD93)=19)</f>
        <v>1</v>
      </c>
      <c r="N93" s="18">
        <f>SUM(CE93:CL93)</f>
        <v>5</v>
      </c>
      <c r="O93" s="18">
        <f>SUM(CM93:CR93)</f>
        <v>6</v>
      </c>
      <c r="P93" s="18">
        <f>N93+O93</f>
        <v>11</v>
      </c>
      <c r="Q93" s="21" t="s">
        <v>207</v>
      </c>
      <c r="R93" s="17" t="s">
        <v>216</v>
      </c>
      <c r="S93" s="18">
        <f>--OR(Overview!$B$6="All",E93=Overview!$B$6)*--OR(Overview!$F$6="All",F93=Overview!$F$6)*--OR(Overview!$J$6="All",G93=Overview!$J$6)*--OR(Overview!$N$6="All",H93=Overview!$N$6)</f>
        <v>1</v>
      </c>
      <c r="T93" s="21" t="s">
        <v>22</v>
      </c>
      <c r="U93" s="21" t="s">
        <v>26</v>
      </c>
      <c r="V93" s="21" t="s">
        <v>26</v>
      </c>
      <c r="W93" s="21" t="s">
        <v>22</v>
      </c>
      <c r="X93" s="21" t="s">
        <v>22</v>
      </c>
      <c r="Y93" s="21" t="s">
        <v>26</v>
      </c>
      <c r="Z93" s="21" t="s">
        <v>22</v>
      </c>
      <c r="AA93" s="21" t="s">
        <v>22</v>
      </c>
      <c r="AB93" s="21" t="s">
        <v>26</v>
      </c>
      <c r="AC93" s="21" t="s">
        <v>22</v>
      </c>
      <c r="AD93" s="21" t="s">
        <v>22</v>
      </c>
      <c r="AE93" s="21" t="s">
        <v>22</v>
      </c>
      <c r="AF93" s="21" t="s">
        <v>26</v>
      </c>
      <c r="AG93" s="21" t="s">
        <v>26</v>
      </c>
      <c r="AH93" s="21" t="s">
        <v>22</v>
      </c>
      <c r="AI93" s="21" t="s">
        <v>26</v>
      </c>
      <c r="AJ93" s="21" t="s">
        <v>22</v>
      </c>
      <c r="AK93" s="21" t="s">
        <v>22</v>
      </c>
      <c r="AL93" s="21" t="s">
        <v>26</v>
      </c>
      <c r="AM93" s="21" t="s">
        <v>83</v>
      </c>
      <c r="AN93" s="21" t="s">
        <v>83</v>
      </c>
      <c r="AO93" s="21" t="s">
        <v>109</v>
      </c>
      <c r="AP93" s="21" t="s">
        <v>83</v>
      </c>
      <c r="AQ93" s="21" t="s">
        <v>83</v>
      </c>
      <c r="AR93" s="21" t="s">
        <v>83</v>
      </c>
      <c r="AS93" s="21" t="s">
        <v>109</v>
      </c>
      <c r="AT93" s="21" t="s">
        <v>109</v>
      </c>
      <c r="AU93" s="21" t="s">
        <v>109</v>
      </c>
      <c r="AV93" s="21" t="s">
        <v>109</v>
      </c>
      <c r="AW93" s="21" t="s">
        <v>109</v>
      </c>
      <c r="AX93" s="21" t="s">
        <v>109</v>
      </c>
      <c r="AY93" s="21" t="s">
        <v>109</v>
      </c>
      <c r="AZ93" s="21" t="s">
        <v>109</v>
      </c>
      <c r="BA93" s="17" t="s">
        <v>289</v>
      </c>
      <c r="BB93" s="17" t="s">
        <v>287</v>
      </c>
      <c r="BC93" s="18">
        <f>--ISNUMBER(SEARCH("Radio or television",BA93))</f>
        <v>1</v>
      </c>
      <c r="BD93" s="18">
        <f>--ISNUMBER(SEARCH("Newspapers or print media",BA93))</f>
        <v>1</v>
      </c>
      <c r="BE93" s="18">
        <f>--ISNUMBER(SEARCH("Social media (e.g. Facebook, WhatsApp, YouTube, X/Twitter)",BA93))</f>
        <v>1</v>
      </c>
      <c r="BF93" s="18">
        <f>--ISNUMBER(SEARCH("Family members",BA93))</f>
        <v>0</v>
      </c>
      <c r="BG93" s="18">
        <f>--ISNUMBER(SEARCH("Friends or fellow students",BA93))</f>
        <v>0</v>
      </c>
      <c r="BH93" s="18">
        <f>--ISNUMBER(SEARCH("School coursework or lectures",BA93))</f>
        <v>1</v>
      </c>
      <c r="BI93" s="18">
        <f>--ISNUMBER(SEARCH("NHIMA outreach activities or NHIMA offices",BA93))</f>
        <v>1</v>
      </c>
      <c r="BJ93" s="18">
        <f>--ISNUMBER(SEARCH("Health facility staff",BA93))</f>
        <v>1</v>
      </c>
      <c r="BK93" s="18">
        <f>--ISNUMBER(SEARCH("not received information",BA93))</f>
        <v>0</v>
      </c>
      <c r="BL93" s="18">
        <f>IF(T93="","",--(T93='Codebook'!$F$13))</f>
        <v>1</v>
      </c>
      <c r="BM93" s="18">
        <f>IF(U93="","",--(U93='Codebook'!$F$14))</f>
        <v>1</v>
      </c>
      <c r="BN93" s="18">
        <f>IF(V93="","",--(V93='Codebook'!$F$15))</f>
        <v>1</v>
      </c>
      <c r="BO93" s="18">
        <f>IF(W93="","",--(W93='Codebook'!$F$16))</f>
        <v>1</v>
      </c>
      <c r="BP93" s="18">
        <f>IF(X93="","",--(X93='Codebook'!$F$17))</f>
        <v>1</v>
      </c>
      <c r="BQ93" s="18">
        <f>IF(Y93="","",--(Y93='Codebook'!$F$18))</f>
        <v>1</v>
      </c>
      <c r="BR93" s="18">
        <f>IF(Z93="","",--(Z93='Codebook'!$F$19))</f>
        <v>1</v>
      </c>
      <c r="BS93" s="18">
        <f>IF(AA93="","",--(AA93='Codebook'!$F$20))</f>
        <v>1</v>
      </c>
      <c r="BT93" s="18">
        <f>IF(AB93="","",--(AB93='Codebook'!$F$21))</f>
        <v>1</v>
      </c>
      <c r="BU93" s="18">
        <f>IF(AC93="","",--(AC93='Codebook'!$F$22))</f>
        <v>1</v>
      </c>
      <c r="BV93" s="18">
        <f>IF(AD93="","",--(AD93='Codebook'!$F$23))</f>
        <v>1</v>
      </c>
      <c r="BW93" s="18">
        <f>IF(AE93="","",--(AE93='Codebook'!$F$24))</f>
        <v>1</v>
      </c>
      <c r="BX93" s="18">
        <f>IF(AF93="","",--(AF93='Codebook'!$F$25))</f>
        <v>1</v>
      </c>
      <c r="BY93" s="18">
        <f>IF(AG93="","",--(AG93='Codebook'!$F$26))</f>
        <v>0</v>
      </c>
      <c r="BZ93" s="18">
        <f>IF(AH93="","",--(AH93='Codebook'!$F$27))</f>
        <v>1</v>
      </c>
      <c r="CA93" s="18">
        <f>IF(AI93="","",--(AI93='Codebook'!$F$28))</f>
        <v>1</v>
      </c>
      <c r="CB93" s="18">
        <f>IF(AJ93="","",--(AJ93='Codebook'!$F$29))</f>
        <v>0</v>
      </c>
      <c r="CC93" s="18">
        <f>IF(AK93="","",--(AK93='Codebook'!$F$30))</f>
        <v>1</v>
      </c>
      <c r="CD93" s="18">
        <f>IF(AL93="","",--(AL93='Codebook'!$F$31))</f>
        <v>1</v>
      </c>
      <c r="CE93" s="18">
        <f>IF(AM93="","",--(AM93='Codebook'!$F$32))</f>
        <v>1</v>
      </c>
      <c r="CF93" s="18">
        <f>IF(AN93="","",--(AN93='Codebook'!$F$33))</f>
        <v>1</v>
      </c>
      <c r="CG93" s="18">
        <f>IF(AO93="","",--(AO93='Codebook'!$F$34))</f>
        <v>0</v>
      </c>
      <c r="CH93" s="18">
        <f>IF(AP93="","",--(AP93='Codebook'!$F$35))</f>
        <v>1</v>
      </c>
      <c r="CI93" s="18">
        <f>IF(AQ93="","",--(AQ93='Codebook'!$F$36))</f>
        <v>1</v>
      </c>
      <c r="CJ93" s="18">
        <f>IF(AR93="","",--(AR93='Codebook'!$F$37))</f>
        <v>1</v>
      </c>
      <c r="CK93" s="18">
        <f>IF(AS93="","",--(AS93='Codebook'!$F$38))</f>
        <v>0</v>
      </c>
      <c r="CL93" s="18">
        <f>IF(AT93="","",--(AT93='Codebook'!$F$39))</f>
        <v>0</v>
      </c>
      <c r="CM93" s="18">
        <f>IF(AU93="","",--(AU93='Codebook'!$F$40))</f>
        <v>1</v>
      </c>
      <c r="CN93" s="18">
        <f>IF(AV93="","",--(AV93='Codebook'!$F$41))</f>
        <v>1</v>
      </c>
      <c r="CO93" s="18">
        <f>IF(AW93="","",--(AW93='Codebook'!$F$42))</f>
        <v>1</v>
      </c>
      <c r="CP93" s="18">
        <f>IF(AX93="","",--(AX93='Codebook'!$F$43))</f>
        <v>1</v>
      </c>
      <c r="CQ93" s="18">
        <f>IF(AY93="","",--(AY93='Codebook'!$F$44))</f>
        <v>1</v>
      </c>
      <c r="CR93" s="18">
        <f>IF(AZ93="","",--(AZ93='Codebook'!$F$45))</f>
        <v>1</v>
      </c>
    </row>
    <row r="94" spans="2:96" ht="24" customHeight="1">
      <c r="B94" s="18">
        <v>89</v>
      </c>
      <c r="C94" s="23">
        <v>46284.48751916667</v>
      </c>
      <c r="D94" s="21" t="s">
        <v>270</v>
      </c>
      <c r="E94" s="21" t="s">
        <v>194</v>
      </c>
      <c r="F94" s="21" t="s">
        <v>212</v>
      </c>
      <c r="G94" s="17" t="s">
        <v>202</v>
      </c>
      <c r="H94" s="21" t="s">
        <v>207</v>
      </c>
      <c r="I94" s="18">
        <f>SUM(BL94:BU94)</f>
        <v>8</v>
      </c>
      <c r="J94" s="18">
        <f>IF(COUNT(BV94:CD94)=9,SUM(BV94:CD94),"")</f>
        <v>2</v>
      </c>
      <c r="K94" s="18">
        <f>SUM(BL94:CD94)</f>
        <v>10</v>
      </c>
      <c r="L94" s="18">
        <f>--(K94&gt;='Codebook'!$C$8)</f>
        <v>0</v>
      </c>
      <c r="M94" s="18">
        <f>--(COUNT(BL94:CD94)=19)</f>
        <v>1</v>
      </c>
      <c r="N94" s="18">
        <f>SUM(CE94:CL94)</f>
        <v>0</v>
      </c>
      <c r="O94" s="18">
        <f>SUM(CM94:CR94)</f>
        <v>6</v>
      </c>
      <c r="P94" s="18">
        <f>N94+O94</f>
        <v>6</v>
      </c>
      <c r="Q94" s="21" t="s">
        <v>197</v>
      </c>
      <c r="R94" s="17" t="s">
        <v>216</v>
      </c>
      <c r="S94" s="18">
        <f>--OR(Overview!$B$6="All",E94=Overview!$B$6)*--OR(Overview!$F$6="All",F94=Overview!$F$6)*--OR(Overview!$J$6="All",G94=Overview!$J$6)*--OR(Overview!$N$6="All",H94=Overview!$N$6)</f>
        <v>1</v>
      </c>
      <c r="T94" s="21" t="s">
        <v>22</v>
      </c>
      <c r="U94" s="21" t="s">
        <v>198</v>
      </c>
      <c r="V94" s="21" t="s">
        <v>26</v>
      </c>
      <c r="W94" s="21" t="s">
        <v>22</v>
      </c>
      <c r="X94" s="21" t="s">
        <v>22</v>
      </c>
      <c r="Y94" s="21" t="s">
        <v>26</v>
      </c>
      <c r="Z94" s="21" t="s">
        <v>22</v>
      </c>
      <c r="AA94" s="21" t="s">
        <v>22</v>
      </c>
      <c r="AB94" s="21" t="s">
        <v>198</v>
      </c>
      <c r="AC94" s="21" t="s">
        <v>22</v>
      </c>
      <c r="AD94" s="21" t="s">
        <v>22</v>
      </c>
      <c r="AE94" s="21" t="s">
        <v>198</v>
      </c>
      <c r="AF94" s="21" t="s">
        <v>26</v>
      </c>
      <c r="AG94" s="21" t="s">
        <v>198</v>
      </c>
      <c r="AH94" s="21" t="s">
        <v>198</v>
      </c>
      <c r="AI94" s="21" t="s">
        <v>198</v>
      </c>
      <c r="AJ94" s="21" t="s">
        <v>198</v>
      </c>
      <c r="AK94" s="21" t="s">
        <v>198</v>
      </c>
      <c r="AL94" s="21" t="s">
        <v>198</v>
      </c>
      <c r="AM94" s="21" t="s">
        <v>109</v>
      </c>
      <c r="AN94" s="21" t="s">
        <v>109</v>
      </c>
      <c r="AO94" s="21" t="s">
        <v>109</v>
      </c>
      <c r="AP94" s="21" t="s">
        <v>198</v>
      </c>
      <c r="AQ94" s="21" t="s">
        <v>109</v>
      </c>
      <c r="AR94" s="21" t="s">
        <v>109</v>
      </c>
      <c r="AS94" s="21" t="s">
        <v>109</v>
      </c>
      <c r="AT94" s="21" t="s">
        <v>109</v>
      </c>
      <c r="AU94" s="21" t="s">
        <v>109</v>
      </c>
      <c r="AV94" s="21" t="s">
        <v>109</v>
      </c>
      <c r="AW94" s="21" t="s">
        <v>109</v>
      </c>
      <c r="AX94" s="21" t="s">
        <v>109</v>
      </c>
      <c r="AY94" s="21" t="s">
        <v>109</v>
      </c>
      <c r="AZ94" s="21" t="s">
        <v>109</v>
      </c>
      <c r="BA94" s="17" t="s">
        <v>258</v>
      </c>
      <c r="BB94" s="17" t="s">
        <v>258</v>
      </c>
      <c r="BC94" s="18">
        <f>--ISNUMBER(SEARCH("Radio or television",BA94))</f>
        <v>0</v>
      </c>
      <c r="BD94" s="18">
        <f>--ISNUMBER(SEARCH("Newspapers or print media",BA94))</f>
        <v>0</v>
      </c>
      <c r="BE94" s="18">
        <f>--ISNUMBER(SEARCH("Social media (e.g. Facebook, WhatsApp, YouTube, X/Twitter)",BA94))</f>
        <v>1</v>
      </c>
      <c r="BF94" s="18">
        <f>--ISNUMBER(SEARCH("Family members",BA94))</f>
        <v>1</v>
      </c>
      <c r="BG94" s="18">
        <f>--ISNUMBER(SEARCH("Friends or fellow students",BA94))</f>
        <v>1</v>
      </c>
      <c r="BH94" s="18">
        <f>--ISNUMBER(SEARCH("School coursework or lectures",BA94))</f>
        <v>0</v>
      </c>
      <c r="BI94" s="18">
        <f>--ISNUMBER(SEARCH("NHIMA outreach activities or NHIMA offices",BA94))</f>
        <v>0</v>
      </c>
      <c r="BJ94" s="18">
        <f>--ISNUMBER(SEARCH("Health facility staff",BA94))</f>
        <v>0</v>
      </c>
      <c r="BK94" s="18">
        <f>--ISNUMBER(SEARCH("not received information",BA94))</f>
        <v>0</v>
      </c>
      <c r="BL94" s="18">
        <f>IF(T94="","",--(T94='Codebook'!$F$13))</f>
        <v>1</v>
      </c>
      <c r="BM94" s="18">
        <f>IF(U94="","",--(U94='Codebook'!$F$14))</f>
        <v>0</v>
      </c>
      <c r="BN94" s="18">
        <f>IF(V94="","",--(V94='Codebook'!$F$15))</f>
        <v>1</v>
      </c>
      <c r="BO94" s="18">
        <f>IF(W94="","",--(W94='Codebook'!$F$16))</f>
        <v>1</v>
      </c>
      <c r="BP94" s="18">
        <f>IF(X94="","",--(X94='Codebook'!$F$17))</f>
        <v>1</v>
      </c>
      <c r="BQ94" s="18">
        <f>IF(Y94="","",--(Y94='Codebook'!$F$18))</f>
        <v>1</v>
      </c>
      <c r="BR94" s="18">
        <f>IF(Z94="","",--(Z94='Codebook'!$F$19))</f>
        <v>1</v>
      </c>
      <c r="BS94" s="18">
        <f>IF(AA94="","",--(AA94='Codebook'!$F$20))</f>
        <v>1</v>
      </c>
      <c r="BT94" s="18">
        <f>IF(AB94="","",--(AB94='Codebook'!$F$21))</f>
        <v>0</v>
      </c>
      <c r="BU94" s="18">
        <f>IF(AC94="","",--(AC94='Codebook'!$F$22))</f>
        <v>1</v>
      </c>
      <c r="BV94" s="18">
        <f>IF(AD94="","",--(AD94='Codebook'!$F$23))</f>
        <v>1</v>
      </c>
      <c r="BW94" s="18">
        <f>IF(AE94="","",--(AE94='Codebook'!$F$24))</f>
        <v>0</v>
      </c>
      <c r="BX94" s="18">
        <f>IF(AF94="","",--(AF94='Codebook'!$F$25))</f>
        <v>1</v>
      </c>
      <c r="BY94" s="18">
        <f>IF(AG94="","",--(AG94='Codebook'!$F$26))</f>
        <v>0</v>
      </c>
      <c r="BZ94" s="18">
        <f>IF(AH94="","",--(AH94='Codebook'!$F$27))</f>
        <v>0</v>
      </c>
      <c r="CA94" s="18">
        <f>IF(AI94="","",--(AI94='Codebook'!$F$28))</f>
        <v>0</v>
      </c>
      <c r="CB94" s="18">
        <f>IF(AJ94="","",--(AJ94='Codebook'!$F$29))</f>
        <v>0</v>
      </c>
      <c r="CC94" s="18">
        <f>IF(AK94="","",--(AK94='Codebook'!$F$30))</f>
        <v>0</v>
      </c>
      <c r="CD94" s="18">
        <f>IF(AL94="","",--(AL94='Codebook'!$F$31))</f>
        <v>0</v>
      </c>
      <c r="CE94" s="18">
        <f>IF(AM94="","",--(AM94='Codebook'!$F$32))</f>
        <v>0</v>
      </c>
      <c r="CF94" s="18">
        <f>IF(AN94="","",--(AN94='Codebook'!$F$33))</f>
        <v>0</v>
      </c>
      <c r="CG94" s="18">
        <f>IF(AO94="","",--(AO94='Codebook'!$F$34))</f>
        <v>0</v>
      </c>
      <c r="CH94" s="18">
        <f>IF(AP94="","",--(AP94='Codebook'!$F$35))</f>
        <v>0</v>
      </c>
      <c r="CI94" s="18">
        <f>IF(AQ94="","",--(AQ94='Codebook'!$F$36))</f>
        <v>0</v>
      </c>
      <c r="CJ94" s="18">
        <f>IF(AR94="","",--(AR94='Codebook'!$F$37))</f>
        <v>0</v>
      </c>
      <c r="CK94" s="18">
        <f>IF(AS94="","",--(AS94='Codebook'!$F$38))</f>
        <v>0</v>
      </c>
      <c r="CL94" s="18">
        <f>IF(AT94="","",--(AT94='Codebook'!$F$39))</f>
        <v>0</v>
      </c>
      <c r="CM94" s="18">
        <f>IF(AU94="","",--(AU94='Codebook'!$F$40))</f>
        <v>1</v>
      </c>
      <c r="CN94" s="18">
        <f>IF(AV94="","",--(AV94='Codebook'!$F$41))</f>
        <v>1</v>
      </c>
      <c r="CO94" s="18">
        <f>IF(AW94="","",--(AW94='Codebook'!$F$42))</f>
        <v>1</v>
      </c>
      <c r="CP94" s="18">
        <f>IF(AX94="","",--(AX94='Codebook'!$F$43))</f>
        <v>1</v>
      </c>
      <c r="CQ94" s="18">
        <f>IF(AY94="","",--(AY94='Codebook'!$F$44))</f>
        <v>1</v>
      </c>
      <c r="CR94" s="18">
        <f>IF(AZ94="","",--(AZ94='Codebook'!$F$45))</f>
        <v>1</v>
      </c>
    </row>
    <row r="95" spans="2:96" ht="24" customHeight="1">
      <c r="B95" s="18">
        <v>90</v>
      </c>
      <c r="C95" s="23">
        <v>46284.48921583333</v>
      </c>
      <c r="D95" s="21" t="s">
        <v>268</v>
      </c>
      <c r="E95" s="21" t="s">
        <v>206</v>
      </c>
      <c r="F95" s="21" t="s">
        <v>195</v>
      </c>
      <c r="G95" s="17" t="s">
        <v>224</v>
      </c>
      <c r="H95" s="21" t="s">
        <v>197</v>
      </c>
      <c r="I95" s="18">
        <f>SUM(BL95:BU95)</f>
        <v>6</v>
      </c>
      <c r="J95" s="18">
        <f>IF(COUNT(BV95:CD95)=9,SUM(BV95:CD95),"")</f>
        <v>0</v>
      </c>
      <c r="K95" s="18">
        <f>SUM(BL95:CD95)</f>
        <v>6</v>
      </c>
      <c r="L95" s="18">
        <f>--(K95&gt;='Codebook'!$C$8)</f>
        <v>0</v>
      </c>
      <c r="M95" s="18">
        <f>--(COUNT(BL95:CD95)=19)</f>
        <v>1</v>
      </c>
      <c r="N95" s="18">
        <f>SUM(CE95:CL95)</f>
        <v>0</v>
      </c>
      <c r="O95" s="18">
        <f>SUM(CM95:CR95)</f>
        <v>6</v>
      </c>
      <c r="P95" s="18">
        <f>N95+O95</f>
        <v>6</v>
      </c>
      <c r="Q95" s="21" t="s">
        <v>197</v>
      </c>
      <c r="R95" s="17" t="s">
        <v>216</v>
      </c>
      <c r="S95" s="18">
        <f>--OR(Overview!$B$6="All",E95=Overview!$B$6)*--OR(Overview!$F$6="All",F95=Overview!$F$6)*--OR(Overview!$J$6="All",G95=Overview!$J$6)*--OR(Overview!$N$6="All",H95=Overview!$N$6)</f>
        <v>1</v>
      </c>
      <c r="T95" s="21" t="s">
        <v>22</v>
      </c>
      <c r="U95" s="21" t="s">
        <v>22</v>
      </c>
      <c r="V95" s="21" t="s">
        <v>22</v>
      </c>
      <c r="W95" s="21" t="s">
        <v>22</v>
      </c>
      <c r="X95" s="21" t="s">
        <v>22</v>
      </c>
      <c r="Y95" s="21" t="s">
        <v>26</v>
      </c>
      <c r="Z95" s="21" t="s">
        <v>22</v>
      </c>
      <c r="AA95" s="21" t="s">
        <v>22</v>
      </c>
      <c r="AB95" s="21" t="s">
        <v>198</v>
      </c>
      <c r="AC95" s="21" t="s">
        <v>198</v>
      </c>
      <c r="AD95" s="21" t="s">
        <v>198</v>
      </c>
      <c r="AE95" s="21" t="s">
        <v>198</v>
      </c>
      <c r="AF95" s="21" t="s">
        <v>198</v>
      </c>
      <c r="AG95" s="21" t="s">
        <v>198</v>
      </c>
      <c r="AH95" s="21" t="s">
        <v>198</v>
      </c>
      <c r="AI95" s="21" t="s">
        <v>198</v>
      </c>
      <c r="AJ95" s="21" t="s">
        <v>198</v>
      </c>
      <c r="AK95" s="21" t="s">
        <v>198</v>
      </c>
      <c r="AL95" s="21" t="s">
        <v>198</v>
      </c>
      <c r="AM95" s="21" t="s">
        <v>109</v>
      </c>
      <c r="AN95" s="21" t="s">
        <v>109</v>
      </c>
      <c r="AO95" s="21" t="s">
        <v>109</v>
      </c>
      <c r="AP95" s="21" t="s">
        <v>109</v>
      </c>
      <c r="AQ95" s="21" t="s">
        <v>109</v>
      </c>
      <c r="AR95" s="21" t="s">
        <v>109</v>
      </c>
      <c r="AS95" s="21" t="s">
        <v>109</v>
      </c>
      <c r="AT95" s="21" t="s">
        <v>109</v>
      </c>
      <c r="AU95" s="21" t="s">
        <v>109</v>
      </c>
      <c r="AV95" s="21" t="s">
        <v>109</v>
      </c>
      <c r="AW95" s="21" t="s">
        <v>109</v>
      </c>
      <c r="AX95" s="21" t="s">
        <v>109</v>
      </c>
      <c r="AY95" s="21" t="s">
        <v>109</v>
      </c>
      <c r="AZ95" s="21" t="s">
        <v>109</v>
      </c>
      <c r="BA95" s="17" t="s">
        <v>236</v>
      </c>
      <c r="BB95" s="17" t="s">
        <v>236</v>
      </c>
      <c r="BC95" s="18">
        <f>--ISNUMBER(SEARCH("Radio or television",BA95))</f>
        <v>1</v>
      </c>
      <c r="BD95" s="18">
        <f>--ISNUMBER(SEARCH("Newspapers or print media",BA95))</f>
        <v>1</v>
      </c>
      <c r="BE95" s="18">
        <f>--ISNUMBER(SEARCH("Social media (e.g. Facebook, WhatsApp, YouTube, X/Twitter)",BA95))</f>
        <v>1</v>
      </c>
      <c r="BF95" s="18">
        <f>--ISNUMBER(SEARCH("Family members",BA95))</f>
        <v>1</v>
      </c>
      <c r="BG95" s="18">
        <f>--ISNUMBER(SEARCH("Friends or fellow students",BA95))</f>
        <v>1</v>
      </c>
      <c r="BH95" s="18">
        <f>--ISNUMBER(SEARCH("School coursework or lectures",BA95))</f>
        <v>0</v>
      </c>
      <c r="BI95" s="18">
        <f>--ISNUMBER(SEARCH("NHIMA outreach activities or NHIMA offices",BA95))</f>
        <v>0</v>
      </c>
      <c r="BJ95" s="18">
        <f>--ISNUMBER(SEARCH("Health facility staff",BA95))</f>
        <v>0</v>
      </c>
      <c r="BK95" s="18">
        <f>--ISNUMBER(SEARCH("not received information",BA95))</f>
        <v>0</v>
      </c>
      <c r="BL95" s="18">
        <f>IF(T95="","",--(T95='Codebook'!$F$13))</f>
        <v>1</v>
      </c>
      <c r="BM95" s="18">
        <f>IF(U95="","",--(U95='Codebook'!$F$14))</f>
        <v>0</v>
      </c>
      <c r="BN95" s="18">
        <f>IF(V95="","",--(V95='Codebook'!$F$15))</f>
        <v>0</v>
      </c>
      <c r="BO95" s="18">
        <f>IF(W95="","",--(W95='Codebook'!$F$16))</f>
        <v>1</v>
      </c>
      <c r="BP95" s="18">
        <f>IF(X95="","",--(X95='Codebook'!$F$17))</f>
        <v>1</v>
      </c>
      <c r="BQ95" s="18">
        <f>IF(Y95="","",--(Y95='Codebook'!$F$18))</f>
        <v>1</v>
      </c>
      <c r="BR95" s="18">
        <f>IF(Z95="","",--(Z95='Codebook'!$F$19))</f>
        <v>1</v>
      </c>
      <c r="BS95" s="18">
        <f>IF(AA95="","",--(AA95='Codebook'!$F$20))</f>
        <v>1</v>
      </c>
      <c r="BT95" s="18">
        <f>IF(AB95="","",--(AB95='Codebook'!$F$21))</f>
        <v>0</v>
      </c>
      <c r="BU95" s="18">
        <f>IF(AC95="","",--(AC95='Codebook'!$F$22))</f>
        <v>0</v>
      </c>
      <c r="BV95" s="18">
        <f>IF(AD95="","",--(AD95='Codebook'!$F$23))</f>
        <v>0</v>
      </c>
      <c r="BW95" s="18">
        <f>IF(AE95="","",--(AE95='Codebook'!$F$24))</f>
        <v>0</v>
      </c>
      <c r="BX95" s="18">
        <f>IF(AF95="","",--(AF95='Codebook'!$F$25))</f>
        <v>0</v>
      </c>
      <c r="BY95" s="18">
        <f>IF(AG95="","",--(AG95='Codebook'!$F$26))</f>
        <v>0</v>
      </c>
      <c r="BZ95" s="18">
        <f>IF(AH95="","",--(AH95='Codebook'!$F$27))</f>
        <v>0</v>
      </c>
      <c r="CA95" s="18">
        <f>IF(AI95="","",--(AI95='Codebook'!$F$28))</f>
        <v>0</v>
      </c>
      <c r="CB95" s="18">
        <f>IF(AJ95="","",--(AJ95='Codebook'!$F$29))</f>
        <v>0</v>
      </c>
      <c r="CC95" s="18">
        <f>IF(AK95="","",--(AK95='Codebook'!$F$30))</f>
        <v>0</v>
      </c>
      <c r="CD95" s="18">
        <f>IF(AL95="","",--(AL95='Codebook'!$F$31))</f>
        <v>0</v>
      </c>
      <c r="CE95" s="18">
        <f>IF(AM95="","",--(AM95='Codebook'!$F$32))</f>
        <v>0</v>
      </c>
      <c r="CF95" s="18">
        <f>IF(AN95="","",--(AN95='Codebook'!$F$33))</f>
        <v>0</v>
      </c>
      <c r="CG95" s="18">
        <f>IF(AO95="","",--(AO95='Codebook'!$F$34))</f>
        <v>0</v>
      </c>
      <c r="CH95" s="18">
        <f>IF(AP95="","",--(AP95='Codebook'!$F$35))</f>
        <v>0</v>
      </c>
      <c r="CI95" s="18">
        <f>IF(AQ95="","",--(AQ95='Codebook'!$F$36))</f>
        <v>0</v>
      </c>
      <c r="CJ95" s="18">
        <f>IF(AR95="","",--(AR95='Codebook'!$F$37))</f>
        <v>0</v>
      </c>
      <c r="CK95" s="18">
        <f>IF(AS95="","",--(AS95='Codebook'!$F$38))</f>
        <v>0</v>
      </c>
      <c r="CL95" s="18">
        <f>IF(AT95="","",--(AT95='Codebook'!$F$39))</f>
        <v>0</v>
      </c>
      <c r="CM95" s="18">
        <f>IF(AU95="","",--(AU95='Codebook'!$F$40))</f>
        <v>1</v>
      </c>
      <c r="CN95" s="18">
        <f>IF(AV95="","",--(AV95='Codebook'!$F$41))</f>
        <v>1</v>
      </c>
      <c r="CO95" s="18">
        <f>IF(AW95="","",--(AW95='Codebook'!$F$42))</f>
        <v>1</v>
      </c>
      <c r="CP95" s="18">
        <f>IF(AX95="","",--(AX95='Codebook'!$F$43))</f>
        <v>1</v>
      </c>
      <c r="CQ95" s="18">
        <f>IF(AY95="","",--(AY95='Codebook'!$F$44))</f>
        <v>1</v>
      </c>
      <c r="CR95" s="18">
        <f>IF(AZ95="","",--(AZ95='Codebook'!$F$45))</f>
        <v>1</v>
      </c>
    </row>
    <row r="96" spans="2:96" ht="24" customHeight="1">
      <c r="B96" s="18">
        <v>91</v>
      </c>
      <c r="C96" s="23">
        <v>46284.49051172454</v>
      </c>
      <c r="D96" s="21" t="s">
        <v>275</v>
      </c>
      <c r="E96" s="21" t="s">
        <v>206</v>
      </c>
      <c r="F96" s="21" t="s">
        <v>201</v>
      </c>
      <c r="G96" s="17" t="s">
        <v>196</v>
      </c>
      <c r="H96" s="21" t="s">
        <v>197</v>
      </c>
      <c r="I96" s="18">
        <f>SUM(BL96:BU96)</f>
        <v>8</v>
      </c>
      <c r="J96" s="18">
        <f>IF(COUNT(BV96:CD96)=9,SUM(BV96:CD96),"")</f>
        <v>4</v>
      </c>
      <c r="K96" s="18">
        <f>SUM(BL96:CD96)</f>
        <v>12</v>
      </c>
      <c r="L96" s="18">
        <f>--(K96&gt;='Codebook'!$C$8)</f>
        <v>1</v>
      </c>
      <c r="M96" s="18">
        <f>--(COUNT(BL96:CD96)=19)</f>
        <v>1</v>
      </c>
      <c r="N96" s="18">
        <f>SUM(CE96:CL96)</f>
        <v>0</v>
      </c>
      <c r="O96" s="18">
        <f>SUM(CM96:CR96)</f>
        <v>0</v>
      </c>
      <c r="P96" s="18">
        <f>N96+O96</f>
        <v>0</v>
      </c>
      <c r="Q96" s="21" t="s">
        <v>197</v>
      </c>
      <c r="R96" s="17" t="s">
        <v>216</v>
      </c>
      <c r="S96" s="18">
        <f>--OR(Overview!$B$6="All",E96=Overview!$B$6)*--OR(Overview!$F$6="All",F96=Overview!$F$6)*--OR(Overview!$J$6="All",G96=Overview!$J$6)*--OR(Overview!$N$6="All",H96=Overview!$N$6)</f>
        <v>1</v>
      </c>
      <c r="T96" s="21" t="s">
        <v>22</v>
      </c>
      <c r="U96" s="21" t="s">
        <v>22</v>
      </c>
      <c r="V96" s="21" t="s">
        <v>26</v>
      </c>
      <c r="W96" s="21" t="s">
        <v>22</v>
      </c>
      <c r="X96" s="21" t="s">
        <v>22</v>
      </c>
      <c r="Y96" s="21" t="s">
        <v>26</v>
      </c>
      <c r="Z96" s="21" t="s">
        <v>22</v>
      </c>
      <c r="AA96" s="21" t="s">
        <v>22</v>
      </c>
      <c r="AB96" s="21" t="s">
        <v>22</v>
      </c>
      <c r="AC96" s="21" t="s">
        <v>22</v>
      </c>
      <c r="AD96" s="21" t="s">
        <v>22</v>
      </c>
      <c r="AE96" s="21" t="s">
        <v>22</v>
      </c>
      <c r="AF96" s="21" t="s">
        <v>26</v>
      </c>
      <c r="AG96" s="21" t="s">
        <v>26</v>
      </c>
      <c r="AH96" s="21" t="s">
        <v>22</v>
      </c>
      <c r="AI96" s="21" t="s">
        <v>198</v>
      </c>
      <c r="AJ96" s="21" t="s">
        <v>198</v>
      </c>
      <c r="AK96" s="21" t="s">
        <v>198</v>
      </c>
      <c r="AL96" s="21" t="s">
        <v>198</v>
      </c>
      <c r="AM96" s="21" t="s">
        <v>198</v>
      </c>
      <c r="AN96" s="21" t="s">
        <v>198</v>
      </c>
      <c r="AO96" s="21" t="s">
        <v>198</v>
      </c>
      <c r="AP96" s="21" t="s">
        <v>198</v>
      </c>
      <c r="AQ96" s="21" t="s">
        <v>198</v>
      </c>
      <c r="AR96" s="21" t="s">
        <v>198</v>
      </c>
      <c r="AS96" s="21" t="s">
        <v>198</v>
      </c>
      <c r="AT96" s="21" t="s">
        <v>198</v>
      </c>
      <c r="AU96" s="21" t="s">
        <v>198</v>
      </c>
      <c r="AV96" s="21" t="s">
        <v>198</v>
      </c>
      <c r="AW96" s="21" t="s">
        <v>198</v>
      </c>
      <c r="AX96" s="21" t="s">
        <v>198</v>
      </c>
      <c r="AY96" s="21" t="s">
        <v>198</v>
      </c>
      <c r="AZ96" s="21" t="s">
        <v>198</v>
      </c>
      <c r="BA96" s="17" t="s">
        <v>236</v>
      </c>
      <c r="BB96" s="17" t="s">
        <v>236</v>
      </c>
      <c r="BC96" s="18">
        <f>--ISNUMBER(SEARCH("Radio or television",BA96))</f>
        <v>1</v>
      </c>
      <c r="BD96" s="18">
        <f>--ISNUMBER(SEARCH("Newspapers or print media",BA96))</f>
        <v>1</v>
      </c>
      <c r="BE96" s="18">
        <f>--ISNUMBER(SEARCH("Social media (e.g. Facebook, WhatsApp, YouTube, X/Twitter)",BA96))</f>
        <v>1</v>
      </c>
      <c r="BF96" s="18">
        <f>--ISNUMBER(SEARCH("Family members",BA96))</f>
        <v>1</v>
      </c>
      <c r="BG96" s="18">
        <f>--ISNUMBER(SEARCH("Friends or fellow students",BA96))</f>
        <v>1</v>
      </c>
      <c r="BH96" s="18">
        <f>--ISNUMBER(SEARCH("School coursework or lectures",BA96))</f>
        <v>0</v>
      </c>
      <c r="BI96" s="18">
        <f>--ISNUMBER(SEARCH("NHIMA outreach activities or NHIMA offices",BA96))</f>
        <v>0</v>
      </c>
      <c r="BJ96" s="18">
        <f>--ISNUMBER(SEARCH("Health facility staff",BA96))</f>
        <v>0</v>
      </c>
      <c r="BK96" s="18">
        <f>--ISNUMBER(SEARCH("not received information",BA96))</f>
        <v>0</v>
      </c>
      <c r="BL96" s="18">
        <f>IF(T96="","",--(T96='Codebook'!$F$13))</f>
        <v>1</v>
      </c>
      <c r="BM96" s="18">
        <f>IF(U96="","",--(U96='Codebook'!$F$14))</f>
        <v>0</v>
      </c>
      <c r="BN96" s="18">
        <f>IF(V96="","",--(V96='Codebook'!$F$15))</f>
        <v>1</v>
      </c>
      <c r="BO96" s="18">
        <f>IF(W96="","",--(W96='Codebook'!$F$16))</f>
        <v>1</v>
      </c>
      <c r="BP96" s="18">
        <f>IF(X96="","",--(X96='Codebook'!$F$17))</f>
        <v>1</v>
      </c>
      <c r="BQ96" s="18">
        <f>IF(Y96="","",--(Y96='Codebook'!$F$18))</f>
        <v>1</v>
      </c>
      <c r="BR96" s="18">
        <f>IF(Z96="","",--(Z96='Codebook'!$F$19))</f>
        <v>1</v>
      </c>
      <c r="BS96" s="18">
        <f>IF(AA96="","",--(AA96='Codebook'!$F$20))</f>
        <v>1</v>
      </c>
      <c r="BT96" s="18">
        <f>IF(AB96="","",--(AB96='Codebook'!$F$21))</f>
        <v>0</v>
      </c>
      <c r="BU96" s="18">
        <f>IF(AC96="","",--(AC96='Codebook'!$F$22))</f>
        <v>1</v>
      </c>
      <c r="BV96" s="18">
        <f>IF(AD96="","",--(AD96='Codebook'!$F$23))</f>
        <v>1</v>
      </c>
      <c r="BW96" s="18">
        <f>IF(AE96="","",--(AE96='Codebook'!$F$24))</f>
        <v>1</v>
      </c>
      <c r="BX96" s="18">
        <f>IF(AF96="","",--(AF96='Codebook'!$F$25))</f>
        <v>1</v>
      </c>
      <c r="BY96" s="18">
        <f>IF(AG96="","",--(AG96='Codebook'!$F$26))</f>
        <v>0</v>
      </c>
      <c r="BZ96" s="18">
        <f>IF(AH96="","",--(AH96='Codebook'!$F$27))</f>
        <v>1</v>
      </c>
      <c r="CA96" s="18">
        <f>IF(AI96="","",--(AI96='Codebook'!$F$28))</f>
        <v>0</v>
      </c>
      <c r="CB96" s="18">
        <f>IF(AJ96="","",--(AJ96='Codebook'!$F$29))</f>
        <v>0</v>
      </c>
      <c r="CC96" s="18">
        <f>IF(AK96="","",--(AK96='Codebook'!$F$30))</f>
        <v>0</v>
      </c>
      <c r="CD96" s="18">
        <f>IF(AL96="","",--(AL96='Codebook'!$F$31))</f>
        <v>0</v>
      </c>
      <c r="CE96" s="18">
        <f>IF(AM96="","",--(AM96='Codebook'!$F$32))</f>
        <v>0</v>
      </c>
      <c r="CF96" s="18">
        <f>IF(AN96="","",--(AN96='Codebook'!$F$33))</f>
        <v>0</v>
      </c>
      <c r="CG96" s="18">
        <f>IF(AO96="","",--(AO96='Codebook'!$F$34))</f>
        <v>0</v>
      </c>
      <c r="CH96" s="18">
        <f>IF(AP96="","",--(AP96='Codebook'!$F$35))</f>
        <v>0</v>
      </c>
      <c r="CI96" s="18">
        <f>IF(AQ96="","",--(AQ96='Codebook'!$F$36))</f>
        <v>0</v>
      </c>
      <c r="CJ96" s="18">
        <f>IF(AR96="","",--(AR96='Codebook'!$F$37))</f>
        <v>0</v>
      </c>
      <c r="CK96" s="18">
        <f>IF(AS96="","",--(AS96='Codebook'!$F$38))</f>
        <v>0</v>
      </c>
      <c r="CL96" s="18">
        <f>IF(AT96="","",--(AT96='Codebook'!$F$39))</f>
        <v>0</v>
      </c>
      <c r="CM96" s="18">
        <f>IF(AU96="","",--(AU96='Codebook'!$F$40))</f>
        <v>0</v>
      </c>
      <c r="CN96" s="18">
        <f>IF(AV96="","",--(AV96='Codebook'!$F$41))</f>
        <v>0</v>
      </c>
      <c r="CO96" s="18">
        <f>IF(AW96="","",--(AW96='Codebook'!$F$42))</f>
        <v>0</v>
      </c>
      <c r="CP96" s="18">
        <f>IF(AX96="","",--(AX96='Codebook'!$F$43))</f>
        <v>0</v>
      </c>
      <c r="CQ96" s="18">
        <f>IF(AY96="","",--(AY96='Codebook'!$F$44))</f>
        <v>0</v>
      </c>
      <c r="CR96" s="18">
        <f>IF(AZ96="","",--(AZ96='Codebook'!$F$45))</f>
        <v>0</v>
      </c>
    </row>
    <row r="97" spans="2:96" ht="24" customHeight="1">
      <c r="B97" s="18">
        <v>92</v>
      </c>
      <c r="C97" s="23">
        <v>46284.49142325232</v>
      </c>
      <c r="D97" s="21" t="s">
        <v>270</v>
      </c>
      <c r="E97" s="21" t="s">
        <v>206</v>
      </c>
      <c r="F97" s="21" t="s">
        <v>212</v>
      </c>
      <c r="G97" s="17" t="s">
        <v>202</v>
      </c>
      <c r="H97" s="21" t="s">
        <v>207</v>
      </c>
      <c r="I97" s="18">
        <f>SUM(BL97:BU97)</f>
        <v>2</v>
      </c>
      <c r="J97" s="18">
        <f>IF(COUNT(BV97:CD97)=9,SUM(BV97:CD97),"")</f>
        <v>4</v>
      </c>
      <c r="K97" s="18">
        <f>SUM(BL97:CD97)</f>
        <v>6</v>
      </c>
      <c r="L97" s="18">
        <f>--(K97&gt;='Codebook'!$C$8)</f>
        <v>0</v>
      </c>
      <c r="M97" s="18">
        <f>--(COUNT(BL97:CD97)=19)</f>
        <v>1</v>
      </c>
      <c r="N97" s="18">
        <f>SUM(CE97:CL97)</f>
        <v>1</v>
      </c>
      <c r="O97" s="18">
        <f>SUM(CM97:CR97)</f>
        <v>0</v>
      </c>
      <c r="P97" s="18">
        <f>N97+O97</f>
        <v>1</v>
      </c>
      <c r="Q97" s="21" t="s">
        <v>197</v>
      </c>
      <c r="R97" s="17" t="s">
        <v>154</v>
      </c>
      <c r="S97" s="18">
        <f>--OR(Overview!$B$6="All",E97=Overview!$B$6)*--OR(Overview!$F$6="All",F97=Overview!$F$6)*--OR(Overview!$J$6="All",G97=Overview!$J$6)*--OR(Overview!$N$6="All",H97=Overview!$N$6)</f>
        <v>1</v>
      </c>
      <c r="T97" s="21" t="s">
        <v>22</v>
      </c>
      <c r="U97" s="21" t="s">
        <v>198</v>
      </c>
      <c r="V97" s="21" t="s">
        <v>198</v>
      </c>
      <c r="W97" s="21" t="s">
        <v>198</v>
      </c>
      <c r="X97" s="21" t="s">
        <v>198</v>
      </c>
      <c r="Y97" s="21" t="s">
        <v>198</v>
      </c>
      <c r="Z97" s="21" t="s">
        <v>198</v>
      </c>
      <c r="AA97" s="21" t="s">
        <v>198</v>
      </c>
      <c r="AB97" s="21" t="s">
        <v>198</v>
      </c>
      <c r="AC97" s="21" t="s">
        <v>22</v>
      </c>
      <c r="AD97" s="21" t="s">
        <v>22</v>
      </c>
      <c r="AE97" s="21" t="s">
        <v>22</v>
      </c>
      <c r="AF97" s="21" t="s">
        <v>198</v>
      </c>
      <c r="AG97" s="21" t="s">
        <v>198</v>
      </c>
      <c r="AH97" s="21" t="s">
        <v>198</v>
      </c>
      <c r="AI97" s="21" t="s">
        <v>198</v>
      </c>
      <c r="AJ97" s="21" t="s">
        <v>198</v>
      </c>
      <c r="AK97" s="21" t="s">
        <v>22</v>
      </c>
      <c r="AL97" s="21" t="s">
        <v>26</v>
      </c>
      <c r="AM97" s="21" t="s">
        <v>109</v>
      </c>
      <c r="AN97" s="21" t="s">
        <v>109</v>
      </c>
      <c r="AO97" s="21" t="s">
        <v>109</v>
      </c>
      <c r="AP97" s="21" t="s">
        <v>83</v>
      </c>
      <c r="AQ97" s="21" t="s">
        <v>198</v>
      </c>
      <c r="AR97" s="21" t="s">
        <v>198</v>
      </c>
      <c r="AS97" s="21" t="s">
        <v>198</v>
      </c>
      <c r="AT97" s="21" t="s">
        <v>198</v>
      </c>
      <c r="AU97" s="21" t="s">
        <v>198</v>
      </c>
      <c r="AV97" s="21" t="s">
        <v>198</v>
      </c>
      <c r="AW97" s="21" t="s">
        <v>198</v>
      </c>
      <c r="AX97" s="21" t="s">
        <v>198</v>
      </c>
      <c r="AY97" s="21" t="s">
        <v>198</v>
      </c>
      <c r="AZ97" s="21" t="s">
        <v>198</v>
      </c>
      <c r="BA97" s="17" t="s">
        <v>159</v>
      </c>
      <c r="BB97" s="17" t="s">
        <v>250</v>
      </c>
      <c r="BC97" s="18">
        <f>--ISNUMBER(SEARCH("Radio or television",BA97))</f>
        <v>0</v>
      </c>
      <c r="BD97" s="18">
        <f>--ISNUMBER(SEARCH("Newspapers or print media",BA97))</f>
        <v>0</v>
      </c>
      <c r="BE97" s="18">
        <f>--ISNUMBER(SEARCH("Social media (e.g. Facebook, WhatsApp, YouTube, X/Twitter)",BA97))</f>
        <v>0</v>
      </c>
      <c r="BF97" s="18">
        <f>--ISNUMBER(SEARCH("Family members",BA97))</f>
        <v>0</v>
      </c>
      <c r="BG97" s="18">
        <f>--ISNUMBER(SEARCH("Friends or fellow students",BA97))</f>
        <v>0</v>
      </c>
      <c r="BH97" s="18">
        <f>--ISNUMBER(SEARCH("School coursework or lectures",BA97))</f>
        <v>0</v>
      </c>
      <c r="BI97" s="18">
        <f>--ISNUMBER(SEARCH("NHIMA outreach activities or NHIMA offices",BA97))</f>
        <v>0</v>
      </c>
      <c r="BJ97" s="18">
        <f>--ISNUMBER(SEARCH("Health facility staff",BA97))</f>
        <v>1</v>
      </c>
      <c r="BK97" s="18">
        <f>--ISNUMBER(SEARCH("not received information",BA97))</f>
        <v>0</v>
      </c>
      <c r="BL97" s="18">
        <f>IF(T97="","",--(T97='Codebook'!$F$13))</f>
        <v>1</v>
      </c>
      <c r="BM97" s="18">
        <f>IF(U97="","",--(U97='Codebook'!$F$14))</f>
        <v>0</v>
      </c>
      <c r="BN97" s="18">
        <f>IF(V97="","",--(V97='Codebook'!$F$15))</f>
        <v>0</v>
      </c>
      <c r="BO97" s="18">
        <f>IF(W97="","",--(W97='Codebook'!$F$16))</f>
        <v>0</v>
      </c>
      <c r="BP97" s="18">
        <f>IF(X97="","",--(X97='Codebook'!$F$17))</f>
        <v>0</v>
      </c>
      <c r="BQ97" s="18">
        <f>IF(Y97="","",--(Y97='Codebook'!$F$18))</f>
        <v>0</v>
      </c>
      <c r="BR97" s="18">
        <f>IF(Z97="","",--(Z97='Codebook'!$F$19))</f>
        <v>0</v>
      </c>
      <c r="BS97" s="18">
        <f>IF(AA97="","",--(AA97='Codebook'!$F$20))</f>
        <v>0</v>
      </c>
      <c r="BT97" s="18">
        <f>IF(AB97="","",--(AB97='Codebook'!$F$21))</f>
        <v>0</v>
      </c>
      <c r="BU97" s="18">
        <f>IF(AC97="","",--(AC97='Codebook'!$F$22))</f>
        <v>1</v>
      </c>
      <c r="BV97" s="18">
        <f>IF(AD97="","",--(AD97='Codebook'!$F$23))</f>
        <v>1</v>
      </c>
      <c r="BW97" s="18">
        <f>IF(AE97="","",--(AE97='Codebook'!$F$24))</f>
        <v>1</v>
      </c>
      <c r="BX97" s="18">
        <f>IF(AF97="","",--(AF97='Codebook'!$F$25))</f>
        <v>0</v>
      </c>
      <c r="BY97" s="18">
        <f>IF(AG97="","",--(AG97='Codebook'!$F$26))</f>
        <v>0</v>
      </c>
      <c r="BZ97" s="18">
        <f>IF(AH97="","",--(AH97='Codebook'!$F$27))</f>
        <v>0</v>
      </c>
      <c r="CA97" s="18">
        <f>IF(AI97="","",--(AI97='Codebook'!$F$28))</f>
        <v>0</v>
      </c>
      <c r="CB97" s="18">
        <f>IF(AJ97="","",--(AJ97='Codebook'!$F$29))</f>
        <v>0</v>
      </c>
      <c r="CC97" s="18">
        <f>IF(AK97="","",--(AK97='Codebook'!$F$30))</f>
        <v>1</v>
      </c>
      <c r="CD97" s="18">
        <f>IF(AL97="","",--(AL97='Codebook'!$F$31))</f>
        <v>1</v>
      </c>
      <c r="CE97" s="18">
        <f>IF(AM97="","",--(AM97='Codebook'!$F$32))</f>
        <v>0</v>
      </c>
      <c r="CF97" s="18">
        <f>IF(AN97="","",--(AN97='Codebook'!$F$33))</f>
        <v>0</v>
      </c>
      <c r="CG97" s="18">
        <f>IF(AO97="","",--(AO97='Codebook'!$F$34))</f>
        <v>0</v>
      </c>
      <c r="CH97" s="18">
        <f>IF(AP97="","",--(AP97='Codebook'!$F$35))</f>
        <v>1</v>
      </c>
      <c r="CI97" s="18">
        <f>IF(AQ97="","",--(AQ97='Codebook'!$F$36))</f>
        <v>0</v>
      </c>
      <c r="CJ97" s="18">
        <f>IF(AR97="","",--(AR97='Codebook'!$F$37))</f>
        <v>0</v>
      </c>
      <c r="CK97" s="18">
        <f>IF(AS97="","",--(AS97='Codebook'!$F$38))</f>
        <v>0</v>
      </c>
      <c r="CL97" s="18">
        <f>IF(AT97="","",--(AT97='Codebook'!$F$39))</f>
        <v>0</v>
      </c>
      <c r="CM97" s="18">
        <f>IF(AU97="","",--(AU97='Codebook'!$F$40))</f>
        <v>0</v>
      </c>
      <c r="CN97" s="18">
        <f>IF(AV97="","",--(AV97='Codebook'!$F$41))</f>
        <v>0</v>
      </c>
      <c r="CO97" s="18">
        <f>IF(AW97="","",--(AW97='Codebook'!$F$42))</f>
        <v>0</v>
      </c>
      <c r="CP97" s="18">
        <f>IF(AX97="","",--(AX97='Codebook'!$F$43))</f>
        <v>0</v>
      </c>
      <c r="CQ97" s="18">
        <f>IF(AY97="","",--(AY97='Codebook'!$F$44))</f>
        <v>0</v>
      </c>
      <c r="CR97" s="18">
        <f>IF(AZ97="","",--(AZ97='Codebook'!$F$45))</f>
        <v>0</v>
      </c>
    </row>
    <row r="98" spans="2:96" ht="24" customHeight="1">
      <c r="B98" s="18">
        <v>93</v>
      </c>
      <c r="C98" s="23">
        <v>46284.4917116088</v>
      </c>
      <c r="D98" s="21" t="s">
        <v>275</v>
      </c>
      <c r="E98" s="21" t="s">
        <v>194</v>
      </c>
      <c r="F98" s="21" t="s">
        <v>226</v>
      </c>
      <c r="G98" s="17" t="s">
        <v>215</v>
      </c>
      <c r="H98" s="21" t="s">
        <v>197</v>
      </c>
      <c r="I98" s="18">
        <f>SUM(BL98:BU98)</f>
        <v>7</v>
      </c>
      <c r="J98" s="18">
        <f>IF(COUNT(BV98:CD98)=9,SUM(BV98:CD98),"")</f>
        <v>0</v>
      </c>
      <c r="K98" s="18">
        <f>SUM(BL98:CD98)</f>
        <v>7</v>
      </c>
      <c r="L98" s="18">
        <f>--(K98&gt;='Codebook'!$C$8)</f>
        <v>0</v>
      </c>
      <c r="M98" s="18">
        <f>--(COUNT(BL98:CD98)=19)</f>
        <v>1</v>
      </c>
      <c r="N98" s="18">
        <f>SUM(CE98:CL98)</f>
        <v>0</v>
      </c>
      <c r="O98" s="18">
        <f>SUM(CM98:CR98)</f>
        <v>6</v>
      </c>
      <c r="P98" s="18">
        <f>N98+O98</f>
        <v>6</v>
      </c>
      <c r="Q98" s="21" t="s">
        <v>197</v>
      </c>
      <c r="R98" s="17" t="s">
        <v>216</v>
      </c>
      <c r="S98" s="18">
        <f>--OR(Overview!$B$6="All",E98=Overview!$B$6)*--OR(Overview!$F$6="All",F98=Overview!$F$6)*--OR(Overview!$J$6="All",G98=Overview!$J$6)*--OR(Overview!$N$6="All",H98=Overview!$N$6)</f>
        <v>1</v>
      </c>
      <c r="T98" s="21" t="s">
        <v>22</v>
      </c>
      <c r="U98" s="21" t="s">
        <v>22</v>
      </c>
      <c r="V98" s="21" t="s">
        <v>26</v>
      </c>
      <c r="W98" s="21" t="s">
        <v>22</v>
      </c>
      <c r="X98" s="21" t="s">
        <v>22</v>
      </c>
      <c r="Y98" s="21" t="s">
        <v>26</v>
      </c>
      <c r="Z98" s="21" t="s">
        <v>22</v>
      </c>
      <c r="AA98" s="21" t="s">
        <v>22</v>
      </c>
      <c r="AB98" s="21" t="s">
        <v>198</v>
      </c>
      <c r="AC98" s="21" t="s">
        <v>198</v>
      </c>
      <c r="AD98" s="21" t="s">
        <v>198</v>
      </c>
      <c r="AE98" s="21" t="s">
        <v>198</v>
      </c>
      <c r="AF98" s="21" t="s">
        <v>198</v>
      </c>
      <c r="AG98" s="21" t="s">
        <v>198</v>
      </c>
      <c r="AH98" s="21" t="s">
        <v>198</v>
      </c>
      <c r="AI98" s="21" t="s">
        <v>198</v>
      </c>
      <c r="AJ98" s="21" t="s">
        <v>198</v>
      </c>
      <c r="AK98" s="21" t="s">
        <v>198</v>
      </c>
      <c r="AL98" s="21" t="s">
        <v>198</v>
      </c>
      <c r="AM98" s="21" t="s">
        <v>198</v>
      </c>
      <c r="AN98" s="21" t="s">
        <v>198</v>
      </c>
      <c r="AO98" s="21" t="s">
        <v>198</v>
      </c>
      <c r="AP98" s="21" t="s">
        <v>198</v>
      </c>
      <c r="AQ98" s="21" t="s">
        <v>109</v>
      </c>
      <c r="AR98" s="21" t="s">
        <v>109</v>
      </c>
      <c r="AS98" s="21" t="s">
        <v>109</v>
      </c>
      <c r="AT98" s="21" t="s">
        <v>109</v>
      </c>
      <c r="AU98" s="21" t="s">
        <v>109</v>
      </c>
      <c r="AV98" s="21" t="s">
        <v>109</v>
      </c>
      <c r="AW98" s="21" t="s">
        <v>109</v>
      </c>
      <c r="AX98" s="21" t="s">
        <v>109</v>
      </c>
      <c r="AY98" s="21" t="s">
        <v>109</v>
      </c>
      <c r="AZ98" s="21" t="s">
        <v>109</v>
      </c>
      <c r="BA98" s="17" t="s">
        <v>273</v>
      </c>
      <c r="BB98" s="17" t="s">
        <v>236</v>
      </c>
      <c r="BC98" s="18">
        <f>--ISNUMBER(SEARCH("Radio or television",BA98))</f>
        <v>1</v>
      </c>
      <c r="BD98" s="18">
        <f>--ISNUMBER(SEARCH("Newspapers or print media",BA98))</f>
        <v>1</v>
      </c>
      <c r="BE98" s="18">
        <f>--ISNUMBER(SEARCH("Social media (e.g. Facebook, WhatsApp, YouTube, X/Twitter)",BA98))</f>
        <v>1</v>
      </c>
      <c r="BF98" s="18">
        <f>--ISNUMBER(SEARCH("Family members",BA98))</f>
        <v>1</v>
      </c>
      <c r="BG98" s="18">
        <f>--ISNUMBER(SEARCH("Friends or fellow students",BA98))</f>
        <v>1</v>
      </c>
      <c r="BH98" s="18">
        <f>--ISNUMBER(SEARCH("School coursework or lectures",BA98))</f>
        <v>1</v>
      </c>
      <c r="BI98" s="18">
        <f>--ISNUMBER(SEARCH("NHIMA outreach activities or NHIMA offices",BA98))</f>
        <v>0</v>
      </c>
      <c r="BJ98" s="18">
        <f>--ISNUMBER(SEARCH("Health facility staff",BA98))</f>
        <v>0</v>
      </c>
      <c r="BK98" s="18">
        <f>--ISNUMBER(SEARCH("not received information",BA98))</f>
        <v>0</v>
      </c>
      <c r="BL98" s="18">
        <f>IF(T98="","",--(T98='Codebook'!$F$13))</f>
        <v>1</v>
      </c>
      <c r="BM98" s="18">
        <f>IF(U98="","",--(U98='Codebook'!$F$14))</f>
        <v>0</v>
      </c>
      <c r="BN98" s="18">
        <f>IF(V98="","",--(V98='Codebook'!$F$15))</f>
        <v>1</v>
      </c>
      <c r="BO98" s="18">
        <f>IF(W98="","",--(W98='Codebook'!$F$16))</f>
        <v>1</v>
      </c>
      <c r="BP98" s="18">
        <f>IF(X98="","",--(X98='Codebook'!$F$17))</f>
        <v>1</v>
      </c>
      <c r="BQ98" s="18">
        <f>IF(Y98="","",--(Y98='Codebook'!$F$18))</f>
        <v>1</v>
      </c>
      <c r="BR98" s="18">
        <f>IF(Z98="","",--(Z98='Codebook'!$F$19))</f>
        <v>1</v>
      </c>
      <c r="BS98" s="18">
        <f>IF(AA98="","",--(AA98='Codebook'!$F$20))</f>
        <v>1</v>
      </c>
      <c r="BT98" s="18">
        <f>IF(AB98="","",--(AB98='Codebook'!$F$21))</f>
        <v>0</v>
      </c>
      <c r="BU98" s="18">
        <f>IF(AC98="","",--(AC98='Codebook'!$F$22))</f>
        <v>0</v>
      </c>
      <c r="BV98" s="18">
        <f>IF(AD98="","",--(AD98='Codebook'!$F$23))</f>
        <v>0</v>
      </c>
      <c r="BW98" s="18">
        <f>IF(AE98="","",--(AE98='Codebook'!$F$24))</f>
        <v>0</v>
      </c>
      <c r="BX98" s="18">
        <f>IF(AF98="","",--(AF98='Codebook'!$F$25))</f>
        <v>0</v>
      </c>
      <c r="BY98" s="18">
        <f>IF(AG98="","",--(AG98='Codebook'!$F$26))</f>
        <v>0</v>
      </c>
      <c r="BZ98" s="18">
        <f>IF(AH98="","",--(AH98='Codebook'!$F$27))</f>
        <v>0</v>
      </c>
      <c r="CA98" s="18">
        <f>IF(AI98="","",--(AI98='Codebook'!$F$28))</f>
        <v>0</v>
      </c>
      <c r="CB98" s="18">
        <f>IF(AJ98="","",--(AJ98='Codebook'!$F$29))</f>
        <v>0</v>
      </c>
      <c r="CC98" s="18">
        <f>IF(AK98="","",--(AK98='Codebook'!$F$30))</f>
        <v>0</v>
      </c>
      <c r="CD98" s="18">
        <f>IF(AL98="","",--(AL98='Codebook'!$F$31))</f>
        <v>0</v>
      </c>
      <c r="CE98" s="18">
        <f>IF(AM98="","",--(AM98='Codebook'!$F$32))</f>
        <v>0</v>
      </c>
      <c r="CF98" s="18">
        <f>IF(AN98="","",--(AN98='Codebook'!$F$33))</f>
        <v>0</v>
      </c>
      <c r="CG98" s="18">
        <f>IF(AO98="","",--(AO98='Codebook'!$F$34))</f>
        <v>0</v>
      </c>
      <c r="CH98" s="18">
        <f>IF(AP98="","",--(AP98='Codebook'!$F$35))</f>
        <v>0</v>
      </c>
      <c r="CI98" s="18">
        <f>IF(AQ98="","",--(AQ98='Codebook'!$F$36))</f>
        <v>0</v>
      </c>
      <c r="CJ98" s="18">
        <f>IF(AR98="","",--(AR98='Codebook'!$F$37))</f>
        <v>0</v>
      </c>
      <c r="CK98" s="18">
        <f>IF(AS98="","",--(AS98='Codebook'!$F$38))</f>
        <v>0</v>
      </c>
      <c r="CL98" s="18">
        <f>IF(AT98="","",--(AT98='Codebook'!$F$39))</f>
        <v>0</v>
      </c>
      <c r="CM98" s="18">
        <f>IF(AU98="","",--(AU98='Codebook'!$F$40))</f>
        <v>1</v>
      </c>
      <c r="CN98" s="18">
        <f>IF(AV98="","",--(AV98='Codebook'!$F$41))</f>
        <v>1</v>
      </c>
      <c r="CO98" s="18">
        <f>IF(AW98="","",--(AW98='Codebook'!$F$42))</f>
        <v>1</v>
      </c>
      <c r="CP98" s="18">
        <f>IF(AX98="","",--(AX98='Codebook'!$F$43))</f>
        <v>1</v>
      </c>
      <c r="CQ98" s="18">
        <f>IF(AY98="","",--(AY98='Codebook'!$F$44))</f>
        <v>1</v>
      </c>
      <c r="CR98" s="18">
        <f>IF(AZ98="","",--(AZ98='Codebook'!$F$45))</f>
        <v>1</v>
      </c>
    </row>
    <row r="99" spans="2:96" ht="24" customHeight="1">
      <c r="B99" s="18">
        <v>94</v>
      </c>
      <c r="C99" s="23">
        <v>46284.4925924537</v>
      </c>
      <c r="D99" s="21" t="s">
        <v>268</v>
      </c>
      <c r="E99" s="21" t="s">
        <v>206</v>
      </c>
      <c r="F99" s="21" t="s">
        <v>195</v>
      </c>
      <c r="G99" s="17" t="s">
        <v>224</v>
      </c>
      <c r="H99" s="21" t="s">
        <v>197</v>
      </c>
      <c r="I99" s="18">
        <f>SUM(BL99:BU99)</f>
        <v>4</v>
      </c>
      <c r="J99" s="18">
        <f>IF(COUNT(BV99:CD99)=9,SUM(BV99:CD99),"")</f>
        <v>1</v>
      </c>
      <c r="K99" s="18">
        <f>SUM(BL99:CD99)</f>
        <v>5</v>
      </c>
      <c r="L99" s="18">
        <f>--(K99&gt;='Codebook'!$C$8)</f>
        <v>0</v>
      </c>
      <c r="M99" s="18">
        <f>--(COUNT(BL99:CD99)=19)</f>
        <v>1</v>
      </c>
      <c r="N99" s="18">
        <f>SUM(CE99:CL99)</f>
        <v>3</v>
      </c>
      <c r="O99" s="18">
        <f>SUM(CM99:CR99)</f>
        <v>0</v>
      </c>
      <c r="P99" s="18">
        <f>N99+O99</f>
        <v>3</v>
      </c>
      <c r="Q99" s="21" t="s">
        <v>197</v>
      </c>
      <c r="R99" s="17" t="s">
        <v>154</v>
      </c>
      <c r="S99" s="18">
        <f>--OR(Overview!$B$6="All",E99=Overview!$B$6)*--OR(Overview!$F$6="All",F99=Overview!$F$6)*--OR(Overview!$J$6="All",G99=Overview!$J$6)*--OR(Overview!$N$6="All",H99=Overview!$N$6)</f>
        <v>1</v>
      </c>
      <c r="T99" s="21" t="s">
        <v>22</v>
      </c>
      <c r="U99" s="21" t="s">
        <v>22</v>
      </c>
      <c r="V99" s="21" t="s">
        <v>22</v>
      </c>
      <c r="W99" s="21" t="s">
        <v>22</v>
      </c>
      <c r="X99" s="21" t="s">
        <v>22</v>
      </c>
      <c r="Y99" s="21" t="s">
        <v>22</v>
      </c>
      <c r="Z99" s="21" t="s">
        <v>22</v>
      </c>
      <c r="AA99" s="21" t="s">
        <v>198</v>
      </c>
      <c r="AB99" s="21" t="s">
        <v>22</v>
      </c>
      <c r="AC99" s="21" t="s">
        <v>198</v>
      </c>
      <c r="AD99" s="21" t="s">
        <v>198</v>
      </c>
      <c r="AE99" s="21" t="s">
        <v>198</v>
      </c>
      <c r="AF99" s="21" t="s">
        <v>198</v>
      </c>
      <c r="AG99" s="21" t="s">
        <v>198</v>
      </c>
      <c r="AH99" s="21" t="s">
        <v>22</v>
      </c>
      <c r="AI99" s="21" t="s">
        <v>22</v>
      </c>
      <c r="AJ99" s="21" t="s">
        <v>22</v>
      </c>
      <c r="AK99" s="21" t="s">
        <v>198</v>
      </c>
      <c r="AL99" s="21" t="s">
        <v>198</v>
      </c>
      <c r="AM99" s="21" t="s">
        <v>198</v>
      </c>
      <c r="AN99" s="21" t="s">
        <v>198</v>
      </c>
      <c r="AO99" s="21" t="s">
        <v>198</v>
      </c>
      <c r="AP99" s="21" t="s">
        <v>198</v>
      </c>
      <c r="AQ99" s="21" t="s">
        <v>109</v>
      </c>
      <c r="AR99" s="21" t="s">
        <v>83</v>
      </c>
      <c r="AS99" s="21" t="s">
        <v>83</v>
      </c>
      <c r="AT99" s="21" t="s">
        <v>83</v>
      </c>
      <c r="AU99" s="21" t="s">
        <v>83</v>
      </c>
      <c r="AV99" s="21" t="s">
        <v>83</v>
      </c>
      <c r="AW99" s="21" t="s">
        <v>83</v>
      </c>
      <c r="AX99" s="21" t="s">
        <v>83</v>
      </c>
      <c r="AY99" s="21" t="s">
        <v>83</v>
      </c>
      <c r="AZ99" s="21" t="s">
        <v>83</v>
      </c>
      <c r="BA99" s="17" t="s">
        <v>225</v>
      </c>
      <c r="BB99" s="17" t="s">
        <v>250</v>
      </c>
      <c r="BC99" s="18">
        <f>--ISNUMBER(SEARCH("Radio or television",BA99))</f>
        <v>0</v>
      </c>
      <c r="BD99" s="18">
        <f>--ISNUMBER(SEARCH("Newspapers or print media",BA99))</f>
        <v>0</v>
      </c>
      <c r="BE99" s="18">
        <f>--ISNUMBER(SEARCH("Social media (e.g. Facebook, WhatsApp, YouTube, X/Twitter)",BA99))</f>
        <v>0</v>
      </c>
      <c r="BF99" s="18">
        <f>--ISNUMBER(SEARCH("Family members",BA99))</f>
        <v>0</v>
      </c>
      <c r="BG99" s="18">
        <f>--ISNUMBER(SEARCH("Friends or fellow students",BA99))</f>
        <v>0</v>
      </c>
      <c r="BH99" s="18">
        <f>--ISNUMBER(SEARCH("School coursework or lectures",BA99))</f>
        <v>0</v>
      </c>
      <c r="BI99" s="18">
        <f>--ISNUMBER(SEARCH("NHIMA outreach activities or NHIMA offices",BA99))</f>
        <v>1</v>
      </c>
      <c r="BJ99" s="18">
        <f>--ISNUMBER(SEARCH("Health facility staff",BA99))</f>
        <v>0</v>
      </c>
      <c r="BK99" s="18">
        <f>--ISNUMBER(SEARCH("not received information",BA99))</f>
        <v>0</v>
      </c>
      <c r="BL99" s="18">
        <f>IF(T99="","",--(T99='Codebook'!$F$13))</f>
        <v>1</v>
      </c>
      <c r="BM99" s="18">
        <f>IF(U99="","",--(U99='Codebook'!$F$14))</f>
        <v>0</v>
      </c>
      <c r="BN99" s="18">
        <f>IF(V99="","",--(V99='Codebook'!$F$15))</f>
        <v>0</v>
      </c>
      <c r="BO99" s="18">
        <f>IF(W99="","",--(W99='Codebook'!$F$16))</f>
        <v>1</v>
      </c>
      <c r="BP99" s="18">
        <f>IF(X99="","",--(X99='Codebook'!$F$17))</f>
        <v>1</v>
      </c>
      <c r="BQ99" s="18">
        <f>IF(Y99="","",--(Y99='Codebook'!$F$18))</f>
        <v>0</v>
      </c>
      <c r="BR99" s="18">
        <f>IF(Z99="","",--(Z99='Codebook'!$F$19))</f>
        <v>1</v>
      </c>
      <c r="BS99" s="18">
        <f>IF(AA99="","",--(AA99='Codebook'!$F$20))</f>
        <v>0</v>
      </c>
      <c r="BT99" s="18">
        <f>IF(AB99="","",--(AB99='Codebook'!$F$21))</f>
        <v>0</v>
      </c>
      <c r="BU99" s="18">
        <f>IF(AC99="","",--(AC99='Codebook'!$F$22))</f>
        <v>0</v>
      </c>
      <c r="BV99" s="18">
        <f>IF(AD99="","",--(AD99='Codebook'!$F$23))</f>
        <v>0</v>
      </c>
      <c r="BW99" s="18">
        <f>IF(AE99="","",--(AE99='Codebook'!$F$24))</f>
        <v>0</v>
      </c>
      <c r="BX99" s="18">
        <f>IF(AF99="","",--(AF99='Codebook'!$F$25))</f>
        <v>0</v>
      </c>
      <c r="BY99" s="18">
        <f>IF(AG99="","",--(AG99='Codebook'!$F$26))</f>
        <v>0</v>
      </c>
      <c r="BZ99" s="18">
        <f>IF(AH99="","",--(AH99='Codebook'!$F$27))</f>
        <v>1</v>
      </c>
      <c r="CA99" s="18">
        <f>IF(AI99="","",--(AI99='Codebook'!$F$28))</f>
        <v>0</v>
      </c>
      <c r="CB99" s="18">
        <f>IF(AJ99="","",--(AJ99='Codebook'!$F$29))</f>
        <v>0</v>
      </c>
      <c r="CC99" s="18">
        <f>IF(AK99="","",--(AK99='Codebook'!$F$30))</f>
        <v>0</v>
      </c>
      <c r="CD99" s="18">
        <f>IF(AL99="","",--(AL99='Codebook'!$F$31))</f>
        <v>0</v>
      </c>
      <c r="CE99" s="18">
        <f>IF(AM99="","",--(AM99='Codebook'!$F$32))</f>
        <v>0</v>
      </c>
      <c r="CF99" s="18">
        <f>IF(AN99="","",--(AN99='Codebook'!$F$33))</f>
        <v>0</v>
      </c>
      <c r="CG99" s="18">
        <f>IF(AO99="","",--(AO99='Codebook'!$F$34))</f>
        <v>0</v>
      </c>
      <c r="CH99" s="18">
        <f>IF(AP99="","",--(AP99='Codebook'!$F$35))</f>
        <v>0</v>
      </c>
      <c r="CI99" s="18">
        <f>IF(AQ99="","",--(AQ99='Codebook'!$F$36))</f>
        <v>0</v>
      </c>
      <c r="CJ99" s="18">
        <f>IF(AR99="","",--(AR99='Codebook'!$F$37))</f>
        <v>1</v>
      </c>
      <c r="CK99" s="18">
        <f>IF(AS99="","",--(AS99='Codebook'!$F$38))</f>
        <v>1</v>
      </c>
      <c r="CL99" s="18">
        <f>IF(AT99="","",--(AT99='Codebook'!$F$39))</f>
        <v>1</v>
      </c>
      <c r="CM99" s="18">
        <f>IF(AU99="","",--(AU99='Codebook'!$F$40))</f>
        <v>0</v>
      </c>
      <c r="CN99" s="18">
        <f>IF(AV99="","",--(AV99='Codebook'!$F$41))</f>
        <v>0</v>
      </c>
      <c r="CO99" s="18">
        <f>IF(AW99="","",--(AW99='Codebook'!$F$42))</f>
        <v>0</v>
      </c>
      <c r="CP99" s="18">
        <f>IF(AX99="","",--(AX99='Codebook'!$F$43))</f>
        <v>0</v>
      </c>
      <c r="CQ99" s="18">
        <f>IF(AY99="","",--(AY99='Codebook'!$F$44))</f>
        <v>0</v>
      </c>
      <c r="CR99" s="18">
        <f>IF(AZ99="","",--(AZ99='Codebook'!$F$45))</f>
        <v>0</v>
      </c>
    </row>
    <row r="100" spans="2:96" ht="24" customHeight="1">
      <c r="B100" s="18">
        <v>95</v>
      </c>
      <c r="C100" s="23">
        <v>46284.49271592592</v>
      </c>
      <c r="D100" s="21" t="s">
        <v>270</v>
      </c>
      <c r="E100" s="21" t="s">
        <v>194</v>
      </c>
      <c r="F100" s="21" t="s">
        <v>212</v>
      </c>
      <c r="G100" s="17" t="s">
        <v>247</v>
      </c>
      <c r="H100" s="21" t="s">
        <v>207</v>
      </c>
      <c r="I100" s="18">
        <f>SUM(BL100:BU100)</f>
        <v>8</v>
      </c>
      <c r="J100" s="18">
        <f>IF(COUNT(BV100:CD100)=9,SUM(BV100:CD100),"")</f>
        <v>3</v>
      </c>
      <c r="K100" s="18">
        <f>SUM(BL100:CD100)</f>
        <v>11</v>
      </c>
      <c r="L100" s="18">
        <f>--(K100&gt;='Codebook'!$C$8)</f>
        <v>0</v>
      </c>
      <c r="M100" s="18">
        <f>--(COUNT(BL100:CD100)=19)</f>
        <v>1</v>
      </c>
      <c r="N100" s="18">
        <f>SUM(CE100:CL100)</f>
        <v>0</v>
      </c>
      <c r="O100" s="18">
        <f>SUM(CM100:CR100)</f>
        <v>6</v>
      </c>
      <c r="P100" s="18">
        <f>N100+O100</f>
        <v>6</v>
      </c>
      <c r="Q100" s="21" t="s">
        <v>198</v>
      </c>
      <c r="R100" s="17" t="s">
        <v>216</v>
      </c>
      <c r="S100" s="18">
        <f>--OR(Overview!$B$6="All",E100=Overview!$B$6)*--OR(Overview!$F$6="All",F100=Overview!$F$6)*--OR(Overview!$J$6="All",G100=Overview!$J$6)*--OR(Overview!$N$6="All",H100=Overview!$N$6)</f>
        <v>1</v>
      </c>
      <c r="T100" s="21" t="s">
        <v>22</v>
      </c>
      <c r="U100" s="21" t="s">
        <v>22</v>
      </c>
      <c r="V100" s="21" t="s">
        <v>26</v>
      </c>
      <c r="W100" s="21" t="s">
        <v>22</v>
      </c>
      <c r="X100" s="21" t="s">
        <v>22</v>
      </c>
      <c r="Y100" s="21" t="s">
        <v>26</v>
      </c>
      <c r="Z100" s="21" t="s">
        <v>22</v>
      </c>
      <c r="AA100" s="21" t="s">
        <v>22</v>
      </c>
      <c r="AB100" s="21" t="s">
        <v>22</v>
      </c>
      <c r="AC100" s="21" t="s">
        <v>22</v>
      </c>
      <c r="AD100" s="21" t="s">
        <v>22</v>
      </c>
      <c r="AE100" s="21" t="s">
        <v>22</v>
      </c>
      <c r="AF100" s="21" t="s">
        <v>26</v>
      </c>
      <c r="AG100" s="21" t="s">
        <v>198</v>
      </c>
      <c r="AH100" s="21" t="s">
        <v>198</v>
      </c>
      <c r="AI100" s="21" t="s">
        <v>198</v>
      </c>
      <c r="AJ100" s="21" t="s">
        <v>198</v>
      </c>
      <c r="AK100" s="21" t="s">
        <v>198</v>
      </c>
      <c r="AL100" s="21" t="s">
        <v>198</v>
      </c>
      <c r="AM100" s="21" t="s">
        <v>109</v>
      </c>
      <c r="AN100" s="21" t="s">
        <v>109</v>
      </c>
      <c r="AO100" s="21" t="s">
        <v>109</v>
      </c>
      <c r="AP100" s="21" t="s">
        <v>109</v>
      </c>
      <c r="AQ100" s="21" t="s">
        <v>109</v>
      </c>
      <c r="AR100" s="21" t="s">
        <v>109</v>
      </c>
      <c r="AS100" s="21" t="s">
        <v>109</v>
      </c>
      <c r="AT100" s="21" t="s">
        <v>109</v>
      </c>
      <c r="AU100" s="21" t="s">
        <v>109</v>
      </c>
      <c r="AV100" s="21" t="s">
        <v>109</v>
      </c>
      <c r="AW100" s="21" t="s">
        <v>109</v>
      </c>
      <c r="AX100" s="21" t="s">
        <v>109</v>
      </c>
      <c r="AY100" s="21" t="s">
        <v>109</v>
      </c>
      <c r="AZ100" s="21" t="s">
        <v>109</v>
      </c>
      <c r="BA100" s="17" t="s">
        <v>236</v>
      </c>
      <c r="BB100" s="17" t="s">
        <v>236</v>
      </c>
      <c r="BC100" s="18">
        <f>--ISNUMBER(SEARCH("Radio or television",BA100))</f>
        <v>1</v>
      </c>
      <c r="BD100" s="18">
        <f>--ISNUMBER(SEARCH("Newspapers or print media",BA100))</f>
        <v>1</v>
      </c>
      <c r="BE100" s="18">
        <f>--ISNUMBER(SEARCH("Social media (e.g. Facebook, WhatsApp, YouTube, X/Twitter)",BA100))</f>
        <v>1</v>
      </c>
      <c r="BF100" s="18">
        <f>--ISNUMBER(SEARCH("Family members",BA100))</f>
        <v>1</v>
      </c>
      <c r="BG100" s="18">
        <f>--ISNUMBER(SEARCH("Friends or fellow students",BA100))</f>
        <v>1</v>
      </c>
      <c r="BH100" s="18">
        <f>--ISNUMBER(SEARCH("School coursework or lectures",BA100))</f>
        <v>0</v>
      </c>
      <c r="BI100" s="18">
        <f>--ISNUMBER(SEARCH("NHIMA outreach activities or NHIMA offices",BA100))</f>
        <v>0</v>
      </c>
      <c r="BJ100" s="18">
        <f>--ISNUMBER(SEARCH("Health facility staff",BA100))</f>
        <v>0</v>
      </c>
      <c r="BK100" s="18">
        <f>--ISNUMBER(SEARCH("not received information",BA100))</f>
        <v>0</v>
      </c>
      <c r="BL100" s="18">
        <f>IF(T100="","",--(T100='Codebook'!$F$13))</f>
        <v>1</v>
      </c>
      <c r="BM100" s="18">
        <f>IF(U100="","",--(U100='Codebook'!$F$14))</f>
        <v>0</v>
      </c>
      <c r="BN100" s="18">
        <f>IF(V100="","",--(V100='Codebook'!$F$15))</f>
        <v>1</v>
      </c>
      <c r="BO100" s="18">
        <f>IF(W100="","",--(W100='Codebook'!$F$16))</f>
        <v>1</v>
      </c>
      <c r="BP100" s="18">
        <f>IF(X100="","",--(X100='Codebook'!$F$17))</f>
        <v>1</v>
      </c>
      <c r="BQ100" s="18">
        <f>IF(Y100="","",--(Y100='Codebook'!$F$18))</f>
        <v>1</v>
      </c>
      <c r="BR100" s="18">
        <f>IF(Z100="","",--(Z100='Codebook'!$F$19))</f>
        <v>1</v>
      </c>
      <c r="BS100" s="18">
        <f>IF(AA100="","",--(AA100='Codebook'!$F$20))</f>
        <v>1</v>
      </c>
      <c r="BT100" s="18">
        <f>IF(AB100="","",--(AB100='Codebook'!$F$21))</f>
        <v>0</v>
      </c>
      <c r="BU100" s="18">
        <f>IF(AC100="","",--(AC100='Codebook'!$F$22))</f>
        <v>1</v>
      </c>
      <c r="BV100" s="18">
        <f>IF(AD100="","",--(AD100='Codebook'!$F$23))</f>
        <v>1</v>
      </c>
      <c r="BW100" s="18">
        <f>IF(AE100="","",--(AE100='Codebook'!$F$24))</f>
        <v>1</v>
      </c>
      <c r="BX100" s="18">
        <f>IF(AF100="","",--(AF100='Codebook'!$F$25))</f>
        <v>1</v>
      </c>
      <c r="BY100" s="18">
        <f>IF(AG100="","",--(AG100='Codebook'!$F$26))</f>
        <v>0</v>
      </c>
      <c r="BZ100" s="18">
        <f>IF(AH100="","",--(AH100='Codebook'!$F$27))</f>
        <v>0</v>
      </c>
      <c r="CA100" s="18">
        <f>IF(AI100="","",--(AI100='Codebook'!$F$28))</f>
        <v>0</v>
      </c>
      <c r="CB100" s="18">
        <f>IF(AJ100="","",--(AJ100='Codebook'!$F$29))</f>
        <v>0</v>
      </c>
      <c r="CC100" s="18">
        <f>IF(AK100="","",--(AK100='Codebook'!$F$30))</f>
        <v>0</v>
      </c>
      <c r="CD100" s="18">
        <f>IF(AL100="","",--(AL100='Codebook'!$F$31))</f>
        <v>0</v>
      </c>
      <c r="CE100" s="18">
        <f>IF(AM100="","",--(AM100='Codebook'!$F$32))</f>
        <v>0</v>
      </c>
      <c r="CF100" s="18">
        <f>IF(AN100="","",--(AN100='Codebook'!$F$33))</f>
        <v>0</v>
      </c>
      <c r="CG100" s="18">
        <f>IF(AO100="","",--(AO100='Codebook'!$F$34))</f>
        <v>0</v>
      </c>
      <c r="CH100" s="18">
        <f>IF(AP100="","",--(AP100='Codebook'!$F$35))</f>
        <v>0</v>
      </c>
      <c r="CI100" s="18">
        <f>IF(AQ100="","",--(AQ100='Codebook'!$F$36))</f>
        <v>0</v>
      </c>
      <c r="CJ100" s="18">
        <f>IF(AR100="","",--(AR100='Codebook'!$F$37))</f>
        <v>0</v>
      </c>
      <c r="CK100" s="18">
        <f>IF(AS100="","",--(AS100='Codebook'!$F$38))</f>
        <v>0</v>
      </c>
      <c r="CL100" s="18">
        <f>IF(AT100="","",--(AT100='Codebook'!$F$39))</f>
        <v>0</v>
      </c>
      <c r="CM100" s="18">
        <f>IF(AU100="","",--(AU100='Codebook'!$F$40))</f>
        <v>1</v>
      </c>
      <c r="CN100" s="18">
        <f>IF(AV100="","",--(AV100='Codebook'!$F$41))</f>
        <v>1</v>
      </c>
      <c r="CO100" s="18">
        <f>IF(AW100="","",--(AW100='Codebook'!$F$42))</f>
        <v>1</v>
      </c>
      <c r="CP100" s="18">
        <f>IF(AX100="","",--(AX100='Codebook'!$F$43))</f>
        <v>1</v>
      </c>
      <c r="CQ100" s="18">
        <f>IF(AY100="","",--(AY100='Codebook'!$F$44))</f>
        <v>1</v>
      </c>
      <c r="CR100" s="18">
        <f>IF(AZ100="","",--(AZ100='Codebook'!$F$45))</f>
        <v>1</v>
      </c>
    </row>
    <row r="101" spans="2:96" ht="24" customHeight="1">
      <c r="B101" s="18">
        <v>96</v>
      </c>
      <c r="C101" s="23">
        <v>46284.49381523148</v>
      </c>
      <c r="D101" s="21" t="s">
        <v>268</v>
      </c>
      <c r="E101" s="21" t="s">
        <v>206</v>
      </c>
      <c r="F101" s="21" t="s">
        <v>201</v>
      </c>
      <c r="G101" s="17" t="s">
        <v>215</v>
      </c>
      <c r="H101" s="21" t="s">
        <v>207</v>
      </c>
      <c r="I101" s="18">
        <f>SUM(BL101:BU101)</f>
        <v>8</v>
      </c>
      <c r="J101" s="18">
        <f>IF(COUNT(BV101:CD101)=9,SUM(BV101:CD101),"")</f>
        <v>0</v>
      </c>
      <c r="K101" s="18">
        <f>SUM(BL101:CD101)</f>
        <v>8</v>
      </c>
      <c r="L101" s="18">
        <f>--(K101&gt;='Codebook'!$C$8)</f>
        <v>0</v>
      </c>
      <c r="M101" s="18">
        <f>--(COUNT(BL101:CD101)=19)</f>
        <v>1</v>
      </c>
      <c r="N101" s="18">
        <f>SUM(CE101:CL101)</f>
        <v>0</v>
      </c>
      <c r="O101" s="18">
        <f>SUM(CM101:CR101)</f>
        <v>0</v>
      </c>
      <c r="P101" s="18">
        <f>N101+O101</f>
        <v>0</v>
      </c>
      <c r="Q101" s="21" t="s">
        <v>197</v>
      </c>
      <c r="R101" s="17" t="s">
        <v>154</v>
      </c>
      <c r="S101" s="18">
        <f>--OR(Overview!$B$6="All",E101=Overview!$B$6)*--OR(Overview!$F$6="All",F101=Overview!$F$6)*--OR(Overview!$J$6="All",G101=Overview!$J$6)*--OR(Overview!$N$6="All",H101=Overview!$N$6)</f>
        <v>1</v>
      </c>
      <c r="T101" s="21" t="s">
        <v>22</v>
      </c>
      <c r="U101" s="21" t="s">
        <v>22</v>
      </c>
      <c r="V101" s="21" t="s">
        <v>22</v>
      </c>
      <c r="W101" s="21" t="s">
        <v>22</v>
      </c>
      <c r="X101" s="21" t="s">
        <v>22</v>
      </c>
      <c r="Y101" s="21" t="s">
        <v>26</v>
      </c>
      <c r="Z101" s="21" t="s">
        <v>22</v>
      </c>
      <c r="AA101" s="21" t="s">
        <v>22</v>
      </c>
      <c r="AB101" s="21" t="s">
        <v>26</v>
      </c>
      <c r="AC101" s="21" t="s">
        <v>22</v>
      </c>
      <c r="AD101" s="21" t="s">
        <v>198</v>
      </c>
      <c r="AE101" s="21" t="s">
        <v>198</v>
      </c>
      <c r="AF101" s="21" t="s">
        <v>198</v>
      </c>
      <c r="AG101" s="21" t="s">
        <v>198</v>
      </c>
      <c r="AH101" s="21" t="s">
        <v>198</v>
      </c>
      <c r="AI101" s="21" t="s">
        <v>198</v>
      </c>
      <c r="AJ101" s="21" t="s">
        <v>198</v>
      </c>
      <c r="AK101" s="21" t="s">
        <v>198</v>
      </c>
      <c r="AL101" s="21" t="s">
        <v>198</v>
      </c>
      <c r="AM101" s="21" t="s">
        <v>198</v>
      </c>
      <c r="AN101" s="21" t="s">
        <v>198</v>
      </c>
      <c r="AO101" s="21" t="s">
        <v>198</v>
      </c>
      <c r="AP101" s="21" t="s">
        <v>198</v>
      </c>
      <c r="AQ101" s="21" t="s">
        <v>198</v>
      </c>
      <c r="AR101" s="21" t="s">
        <v>198</v>
      </c>
      <c r="AS101" s="21" t="s">
        <v>198</v>
      </c>
      <c r="AT101" s="21" t="s">
        <v>198</v>
      </c>
      <c r="AU101" s="21" t="s">
        <v>198</v>
      </c>
      <c r="AV101" s="21" t="s">
        <v>198</v>
      </c>
      <c r="AW101" s="21" t="s">
        <v>198</v>
      </c>
      <c r="AX101" s="21" t="s">
        <v>198</v>
      </c>
      <c r="AY101" s="21" t="s">
        <v>198</v>
      </c>
      <c r="AZ101" s="21" t="s">
        <v>198</v>
      </c>
      <c r="BA101" s="17" t="s">
        <v>225</v>
      </c>
      <c r="BB101" s="17" t="s">
        <v>250</v>
      </c>
      <c r="BC101" s="18">
        <f>--ISNUMBER(SEARCH("Radio or television",BA101))</f>
        <v>0</v>
      </c>
      <c r="BD101" s="18">
        <f>--ISNUMBER(SEARCH("Newspapers or print media",BA101))</f>
        <v>0</v>
      </c>
      <c r="BE101" s="18">
        <f>--ISNUMBER(SEARCH("Social media (e.g. Facebook, WhatsApp, YouTube, X/Twitter)",BA101))</f>
        <v>0</v>
      </c>
      <c r="BF101" s="18">
        <f>--ISNUMBER(SEARCH("Family members",BA101))</f>
        <v>0</v>
      </c>
      <c r="BG101" s="18">
        <f>--ISNUMBER(SEARCH("Friends or fellow students",BA101))</f>
        <v>0</v>
      </c>
      <c r="BH101" s="18">
        <f>--ISNUMBER(SEARCH("School coursework or lectures",BA101))</f>
        <v>0</v>
      </c>
      <c r="BI101" s="18">
        <f>--ISNUMBER(SEARCH("NHIMA outreach activities or NHIMA offices",BA101))</f>
        <v>1</v>
      </c>
      <c r="BJ101" s="18">
        <f>--ISNUMBER(SEARCH("Health facility staff",BA101))</f>
        <v>0</v>
      </c>
      <c r="BK101" s="18">
        <f>--ISNUMBER(SEARCH("not received information",BA101))</f>
        <v>0</v>
      </c>
      <c r="BL101" s="18">
        <f>IF(T101="","",--(T101='Codebook'!$F$13))</f>
        <v>1</v>
      </c>
      <c r="BM101" s="18">
        <f>IF(U101="","",--(U101='Codebook'!$F$14))</f>
        <v>0</v>
      </c>
      <c r="BN101" s="18">
        <f>IF(V101="","",--(V101='Codebook'!$F$15))</f>
        <v>0</v>
      </c>
      <c r="BO101" s="18">
        <f>IF(W101="","",--(W101='Codebook'!$F$16))</f>
        <v>1</v>
      </c>
      <c r="BP101" s="18">
        <f>IF(X101="","",--(X101='Codebook'!$F$17))</f>
        <v>1</v>
      </c>
      <c r="BQ101" s="18">
        <f>IF(Y101="","",--(Y101='Codebook'!$F$18))</f>
        <v>1</v>
      </c>
      <c r="BR101" s="18">
        <f>IF(Z101="","",--(Z101='Codebook'!$F$19))</f>
        <v>1</v>
      </c>
      <c r="BS101" s="18">
        <f>IF(AA101="","",--(AA101='Codebook'!$F$20))</f>
        <v>1</v>
      </c>
      <c r="BT101" s="18">
        <f>IF(AB101="","",--(AB101='Codebook'!$F$21))</f>
        <v>1</v>
      </c>
      <c r="BU101" s="18">
        <f>IF(AC101="","",--(AC101='Codebook'!$F$22))</f>
        <v>1</v>
      </c>
      <c r="BV101" s="18">
        <f>IF(AD101="","",--(AD101='Codebook'!$F$23))</f>
        <v>0</v>
      </c>
      <c r="BW101" s="18">
        <f>IF(AE101="","",--(AE101='Codebook'!$F$24))</f>
        <v>0</v>
      </c>
      <c r="BX101" s="18">
        <f>IF(AF101="","",--(AF101='Codebook'!$F$25))</f>
        <v>0</v>
      </c>
      <c r="BY101" s="18">
        <f>IF(AG101="","",--(AG101='Codebook'!$F$26))</f>
        <v>0</v>
      </c>
      <c r="BZ101" s="18">
        <f>IF(AH101="","",--(AH101='Codebook'!$F$27))</f>
        <v>0</v>
      </c>
      <c r="CA101" s="18">
        <f>IF(AI101="","",--(AI101='Codebook'!$F$28))</f>
        <v>0</v>
      </c>
      <c r="CB101" s="18">
        <f>IF(AJ101="","",--(AJ101='Codebook'!$F$29))</f>
        <v>0</v>
      </c>
      <c r="CC101" s="18">
        <f>IF(AK101="","",--(AK101='Codebook'!$F$30))</f>
        <v>0</v>
      </c>
      <c r="CD101" s="18">
        <f>IF(AL101="","",--(AL101='Codebook'!$F$31))</f>
        <v>0</v>
      </c>
      <c r="CE101" s="18">
        <f>IF(AM101="","",--(AM101='Codebook'!$F$32))</f>
        <v>0</v>
      </c>
      <c r="CF101" s="18">
        <f>IF(AN101="","",--(AN101='Codebook'!$F$33))</f>
        <v>0</v>
      </c>
      <c r="CG101" s="18">
        <f>IF(AO101="","",--(AO101='Codebook'!$F$34))</f>
        <v>0</v>
      </c>
      <c r="CH101" s="18">
        <f>IF(AP101="","",--(AP101='Codebook'!$F$35))</f>
        <v>0</v>
      </c>
      <c r="CI101" s="18">
        <f>IF(AQ101="","",--(AQ101='Codebook'!$F$36))</f>
        <v>0</v>
      </c>
      <c r="CJ101" s="18">
        <f>IF(AR101="","",--(AR101='Codebook'!$F$37))</f>
        <v>0</v>
      </c>
      <c r="CK101" s="18">
        <f>IF(AS101="","",--(AS101='Codebook'!$F$38))</f>
        <v>0</v>
      </c>
      <c r="CL101" s="18">
        <f>IF(AT101="","",--(AT101='Codebook'!$F$39))</f>
        <v>0</v>
      </c>
      <c r="CM101" s="18">
        <f>IF(AU101="","",--(AU101='Codebook'!$F$40))</f>
        <v>0</v>
      </c>
      <c r="CN101" s="18">
        <f>IF(AV101="","",--(AV101='Codebook'!$F$41))</f>
        <v>0</v>
      </c>
      <c r="CO101" s="18">
        <f>IF(AW101="","",--(AW101='Codebook'!$F$42))</f>
        <v>0</v>
      </c>
      <c r="CP101" s="18">
        <f>IF(AX101="","",--(AX101='Codebook'!$F$43))</f>
        <v>0</v>
      </c>
      <c r="CQ101" s="18">
        <f>IF(AY101="","",--(AY101='Codebook'!$F$44))</f>
        <v>0</v>
      </c>
      <c r="CR101" s="18">
        <f>IF(AZ101="","",--(AZ101='Codebook'!$F$45))</f>
        <v>0</v>
      </c>
    </row>
    <row r="102" spans="2:96" ht="24" customHeight="1">
      <c r="B102" s="18">
        <v>97</v>
      </c>
      <c r="C102" s="23">
        <v>46284.49498053241</v>
      </c>
      <c r="D102" s="21" t="s">
        <v>275</v>
      </c>
      <c r="E102" s="21" t="s">
        <v>206</v>
      </c>
      <c r="F102" s="21" t="s">
        <v>226</v>
      </c>
      <c r="G102" s="17" t="s">
        <v>215</v>
      </c>
      <c r="H102" s="21" t="s">
        <v>197</v>
      </c>
      <c r="I102" s="18">
        <f>SUM(BL102:BU102)</f>
        <v>1</v>
      </c>
      <c r="J102" s="18">
        <f>IF(COUNT(BV102:CD102)=9,SUM(BV102:CD102),"")</f>
        <v>0</v>
      </c>
      <c r="K102" s="18">
        <f>SUM(BL102:CD102)</f>
        <v>1</v>
      </c>
      <c r="L102" s="18">
        <f>--(K102&gt;='Codebook'!$C$8)</f>
        <v>0</v>
      </c>
      <c r="M102" s="18">
        <f>--(COUNT(BL102:CD102)=19)</f>
        <v>1</v>
      </c>
      <c r="N102" s="18">
        <f>SUM(CE102:CL102)</f>
        <v>0</v>
      </c>
      <c r="O102" s="18">
        <f>SUM(CM102:CR102)</f>
        <v>0</v>
      </c>
      <c r="P102" s="18">
        <f>N102+O102</f>
        <v>0</v>
      </c>
      <c r="Q102" s="21" t="s">
        <v>197</v>
      </c>
      <c r="R102" s="17" t="s">
        <v>154</v>
      </c>
      <c r="S102" s="18">
        <f>--OR(Overview!$B$6="All",E102=Overview!$B$6)*--OR(Overview!$F$6="All",F102=Overview!$F$6)*--OR(Overview!$J$6="All",G102=Overview!$J$6)*--OR(Overview!$N$6="All",H102=Overview!$N$6)</f>
        <v>1</v>
      </c>
      <c r="T102" s="21" t="s">
        <v>22</v>
      </c>
      <c r="U102" s="21" t="s">
        <v>22</v>
      </c>
      <c r="V102" s="21" t="s">
        <v>22</v>
      </c>
      <c r="W102" s="21" t="s">
        <v>198</v>
      </c>
      <c r="X102" s="21" t="s">
        <v>198</v>
      </c>
      <c r="Y102" s="21" t="s">
        <v>198</v>
      </c>
      <c r="Z102" s="21" t="s">
        <v>198</v>
      </c>
      <c r="AA102" s="21" t="s">
        <v>198</v>
      </c>
      <c r="AB102" s="21" t="s">
        <v>198</v>
      </c>
      <c r="AC102" s="21" t="s">
        <v>198</v>
      </c>
      <c r="AD102" s="21" t="s">
        <v>198</v>
      </c>
      <c r="AE102" s="21" t="s">
        <v>198</v>
      </c>
      <c r="AF102" s="21" t="s">
        <v>198</v>
      </c>
      <c r="AG102" s="21" t="s">
        <v>198</v>
      </c>
      <c r="AH102" s="21" t="s">
        <v>198</v>
      </c>
      <c r="AI102" s="21" t="s">
        <v>198</v>
      </c>
      <c r="AJ102" s="21" t="s">
        <v>198</v>
      </c>
      <c r="AK102" s="21" t="s">
        <v>198</v>
      </c>
      <c r="AL102" s="21" t="s">
        <v>198</v>
      </c>
      <c r="AM102" s="21" t="s">
        <v>198</v>
      </c>
      <c r="AN102" s="21" t="s">
        <v>198</v>
      </c>
      <c r="AO102" s="21" t="s">
        <v>198</v>
      </c>
      <c r="AP102" s="21" t="s">
        <v>198</v>
      </c>
      <c r="AQ102" s="21" t="s">
        <v>198</v>
      </c>
      <c r="AR102" s="21" t="s">
        <v>198</v>
      </c>
      <c r="AS102" s="21" t="s">
        <v>198</v>
      </c>
      <c r="AT102" s="21" t="s">
        <v>198</v>
      </c>
      <c r="AU102" s="21" t="s">
        <v>198</v>
      </c>
      <c r="AV102" s="21" t="s">
        <v>198</v>
      </c>
      <c r="AW102" s="21" t="s">
        <v>198</v>
      </c>
      <c r="AX102" s="21" t="s">
        <v>198</v>
      </c>
      <c r="AY102" s="21" t="s">
        <v>198</v>
      </c>
      <c r="AZ102" s="21" t="s">
        <v>198</v>
      </c>
      <c r="BA102" s="17" t="s">
        <v>250</v>
      </c>
      <c r="BB102" s="17" t="s">
        <v>250</v>
      </c>
      <c r="BC102" s="18">
        <f>--ISNUMBER(SEARCH("Radio or television",BA102))</f>
        <v>0</v>
      </c>
      <c r="BD102" s="18">
        <f>--ISNUMBER(SEARCH("Newspapers or print media",BA102))</f>
        <v>0</v>
      </c>
      <c r="BE102" s="18">
        <f>--ISNUMBER(SEARCH("Social media (e.g. Facebook, WhatsApp, YouTube, X/Twitter)",BA102))</f>
        <v>1</v>
      </c>
      <c r="BF102" s="18">
        <f>--ISNUMBER(SEARCH("Family members",BA102))</f>
        <v>0</v>
      </c>
      <c r="BG102" s="18">
        <f>--ISNUMBER(SEARCH("Friends or fellow students",BA102))</f>
        <v>0</v>
      </c>
      <c r="BH102" s="18">
        <f>--ISNUMBER(SEARCH("School coursework or lectures",BA102))</f>
        <v>0</v>
      </c>
      <c r="BI102" s="18">
        <f>--ISNUMBER(SEARCH("NHIMA outreach activities or NHIMA offices",BA102))</f>
        <v>0</v>
      </c>
      <c r="BJ102" s="18">
        <f>--ISNUMBER(SEARCH("Health facility staff",BA102))</f>
        <v>0</v>
      </c>
      <c r="BK102" s="18">
        <f>--ISNUMBER(SEARCH("not received information",BA102))</f>
        <v>0</v>
      </c>
      <c r="BL102" s="18">
        <f>IF(T102="","",--(T102='Codebook'!$F$13))</f>
        <v>1</v>
      </c>
      <c r="BM102" s="18">
        <f>IF(U102="","",--(U102='Codebook'!$F$14))</f>
        <v>0</v>
      </c>
      <c r="BN102" s="18">
        <f>IF(V102="","",--(V102='Codebook'!$F$15))</f>
        <v>0</v>
      </c>
      <c r="BO102" s="18">
        <f>IF(W102="","",--(W102='Codebook'!$F$16))</f>
        <v>0</v>
      </c>
      <c r="BP102" s="18">
        <f>IF(X102="","",--(X102='Codebook'!$F$17))</f>
        <v>0</v>
      </c>
      <c r="BQ102" s="18">
        <f>IF(Y102="","",--(Y102='Codebook'!$F$18))</f>
        <v>0</v>
      </c>
      <c r="BR102" s="18">
        <f>IF(Z102="","",--(Z102='Codebook'!$F$19))</f>
        <v>0</v>
      </c>
      <c r="BS102" s="18">
        <f>IF(AA102="","",--(AA102='Codebook'!$F$20))</f>
        <v>0</v>
      </c>
      <c r="BT102" s="18">
        <f>IF(AB102="","",--(AB102='Codebook'!$F$21))</f>
        <v>0</v>
      </c>
      <c r="BU102" s="18">
        <f>IF(AC102="","",--(AC102='Codebook'!$F$22))</f>
        <v>0</v>
      </c>
      <c r="BV102" s="18">
        <f>IF(AD102="","",--(AD102='Codebook'!$F$23))</f>
        <v>0</v>
      </c>
      <c r="BW102" s="18">
        <f>IF(AE102="","",--(AE102='Codebook'!$F$24))</f>
        <v>0</v>
      </c>
      <c r="BX102" s="18">
        <f>IF(AF102="","",--(AF102='Codebook'!$F$25))</f>
        <v>0</v>
      </c>
      <c r="BY102" s="18">
        <f>IF(AG102="","",--(AG102='Codebook'!$F$26))</f>
        <v>0</v>
      </c>
      <c r="BZ102" s="18">
        <f>IF(AH102="","",--(AH102='Codebook'!$F$27))</f>
        <v>0</v>
      </c>
      <c r="CA102" s="18">
        <f>IF(AI102="","",--(AI102='Codebook'!$F$28))</f>
        <v>0</v>
      </c>
      <c r="CB102" s="18">
        <f>IF(AJ102="","",--(AJ102='Codebook'!$F$29))</f>
        <v>0</v>
      </c>
      <c r="CC102" s="18">
        <f>IF(AK102="","",--(AK102='Codebook'!$F$30))</f>
        <v>0</v>
      </c>
      <c r="CD102" s="18">
        <f>IF(AL102="","",--(AL102='Codebook'!$F$31))</f>
        <v>0</v>
      </c>
      <c r="CE102" s="18">
        <f>IF(AM102="","",--(AM102='Codebook'!$F$32))</f>
        <v>0</v>
      </c>
      <c r="CF102" s="18">
        <f>IF(AN102="","",--(AN102='Codebook'!$F$33))</f>
        <v>0</v>
      </c>
      <c r="CG102" s="18">
        <f>IF(AO102="","",--(AO102='Codebook'!$F$34))</f>
        <v>0</v>
      </c>
      <c r="CH102" s="18">
        <f>IF(AP102="","",--(AP102='Codebook'!$F$35))</f>
        <v>0</v>
      </c>
      <c r="CI102" s="18">
        <f>IF(AQ102="","",--(AQ102='Codebook'!$F$36))</f>
        <v>0</v>
      </c>
      <c r="CJ102" s="18">
        <f>IF(AR102="","",--(AR102='Codebook'!$F$37))</f>
        <v>0</v>
      </c>
      <c r="CK102" s="18">
        <f>IF(AS102="","",--(AS102='Codebook'!$F$38))</f>
        <v>0</v>
      </c>
      <c r="CL102" s="18">
        <f>IF(AT102="","",--(AT102='Codebook'!$F$39))</f>
        <v>0</v>
      </c>
      <c r="CM102" s="18">
        <f>IF(AU102="","",--(AU102='Codebook'!$F$40))</f>
        <v>0</v>
      </c>
      <c r="CN102" s="18">
        <f>IF(AV102="","",--(AV102='Codebook'!$F$41))</f>
        <v>0</v>
      </c>
      <c r="CO102" s="18">
        <f>IF(AW102="","",--(AW102='Codebook'!$F$42))</f>
        <v>0</v>
      </c>
      <c r="CP102" s="18">
        <f>IF(AX102="","",--(AX102='Codebook'!$F$43))</f>
        <v>0</v>
      </c>
      <c r="CQ102" s="18">
        <f>IF(AY102="","",--(AY102='Codebook'!$F$44))</f>
        <v>0</v>
      </c>
      <c r="CR102" s="18">
        <f>IF(AZ102="","",--(AZ102='Codebook'!$F$45))</f>
        <v>0</v>
      </c>
    </row>
    <row r="103" spans="2:96" ht="24" customHeight="1">
      <c r="B103" s="18">
        <v>98</v>
      </c>
      <c r="C103" s="23">
        <v>46284.49612273148</v>
      </c>
      <c r="D103" s="21" t="s">
        <v>268</v>
      </c>
      <c r="E103" s="21" t="s">
        <v>206</v>
      </c>
      <c r="F103" s="21" t="s">
        <v>201</v>
      </c>
      <c r="G103" s="17" t="s">
        <v>196</v>
      </c>
      <c r="H103" s="21" t="s">
        <v>197</v>
      </c>
      <c r="I103" s="18">
        <f>SUM(BL103:BU103)</f>
        <v>7</v>
      </c>
      <c r="J103" s="18">
        <f>IF(COUNT(BV103:CD103)=9,SUM(BV103:CD103),"")</f>
        <v>0</v>
      </c>
      <c r="K103" s="18">
        <f>SUM(BL103:CD103)</f>
        <v>7</v>
      </c>
      <c r="L103" s="18">
        <f>--(K103&gt;='Codebook'!$C$8)</f>
        <v>0</v>
      </c>
      <c r="M103" s="18">
        <f>--(COUNT(BL103:CD103)=19)</f>
        <v>1</v>
      </c>
      <c r="N103" s="18">
        <f>SUM(CE103:CL103)</f>
        <v>0</v>
      </c>
      <c r="O103" s="18">
        <f>SUM(CM103:CR103)</f>
        <v>0</v>
      </c>
      <c r="P103" s="18">
        <f>N103+O103</f>
        <v>0</v>
      </c>
      <c r="Q103" s="21" t="s">
        <v>197</v>
      </c>
      <c r="R103" s="17" t="s">
        <v>154</v>
      </c>
      <c r="S103" s="18">
        <f>--OR(Overview!$B$6="All",E103=Overview!$B$6)*--OR(Overview!$F$6="All",F103=Overview!$F$6)*--OR(Overview!$J$6="All",G103=Overview!$J$6)*--OR(Overview!$N$6="All",H103=Overview!$N$6)</f>
        <v>1</v>
      </c>
      <c r="T103" s="21" t="s">
        <v>22</v>
      </c>
      <c r="U103" s="21" t="s">
        <v>22</v>
      </c>
      <c r="V103" s="21" t="s">
        <v>26</v>
      </c>
      <c r="W103" s="21" t="s">
        <v>22</v>
      </c>
      <c r="X103" s="21" t="s">
        <v>22</v>
      </c>
      <c r="Y103" s="21" t="s">
        <v>26</v>
      </c>
      <c r="Z103" s="21" t="s">
        <v>22</v>
      </c>
      <c r="AA103" s="21" t="s">
        <v>22</v>
      </c>
      <c r="AB103" s="21" t="s">
        <v>22</v>
      </c>
      <c r="AC103" s="21" t="s">
        <v>198</v>
      </c>
      <c r="AD103" s="21" t="s">
        <v>198</v>
      </c>
      <c r="AE103" s="21" t="s">
        <v>198</v>
      </c>
      <c r="AF103" s="21" t="s">
        <v>198</v>
      </c>
      <c r="AG103" s="21" t="s">
        <v>198</v>
      </c>
      <c r="AH103" s="21" t="s">
        <v>198</v>
      </c>
      <c r="AI103" s="21" t="s">
        <v>198</v>
      </c>
      <c r="AJ103" s="21" t="s">
        <v>198</v>
      </c>
      <c r="AK103" s="21" t="s">
        <v>198</v>
      </c>
      <c r="AL103" s="21" t="s">
        <v>198</v>
      </c>
      <c r="AM103" s="21" t="s">
        <v>198</v>
      </c>
      <c r="AN103" s="21" t="s">
        <v>198</v>
      </c>
      <c r="AO103" s="21" t="s">
        <v>198</v>
      </c>
      <c r="AP103" s="21" t="s">
        <v>198</v>
      </c>
      <c r="AQ103" s="21" t="s">
        <v>198</v>
      </c>
      <c r="AR103" s="21" t="s">
        <v>198</v>
      </c>
      <c r="AS103" s="21" t="s">
        <v>198</v>
      </c>
      <c r="AT103" s="21" t="s">
        <v>198</v>
      </c>
      <c r="AU103" s="21" t="s">
        <v>198</v>
      </c>
      <c r="AV103" s="21" t="s">
        <v>198</v>
      </c>
      <c r="AW103" s="21" t="s">
        <v>198</v>
      </c>
      <c r="AX103" s="21" t="s">
        <v>198</v>
      </c>
      <c r="AY103" s="21" t="s">
        <v>198</v>
      </c>
      <c r="AZ103" s="21" t="s">
        <v>198</v>
      </c>
      <c r="BA103" s="17" t="s">
        <v>250</v>
      </c>
      <c r="BB103" s="17" t="s">
        <v>250</v>
      </c>
      <c r="BC103" s="18">
        <f>--ISNUMBER(SEARCH("Radio or television",BA103))</f>
        <v>0</v>
      </c>
      <c r="BD103" s="18">
        <f>--ISNUMBER(SEARCH("Newspapers or print media",BA103))</f>
        <v>0</v>
      </c>
      <c r="BE103" s="18">
        <f>--ISNUMBER(SEARCH("Social media (e.g. Facebook, WhatsApp, YouTube, X/Twitter)",BA103))</f>
        <v>1</v>
      </c>
      <c r="BF103" s="18">
        <f>--ISNUMBER(SEARCH("Family members",BA103))</f>
        <v>0</v>
      </c>
      <c r="BG103" s="18">
        <f>--ISNUMBER(SEARCH("Friends or fellow students",BA103))</f>
        <v>0</v>
      </c>
      <c r="BH103" s="18">
        <f>--ISNUMBER(SEARCH("School coursework or lectures",BA103))</f>
        <v>0</v>
      </c>
      <c r="BI103" s="18">
        <f>--ISNUMBER(SEARCH("NHIMA outreach activities or NHIMA offices",BA103))</f>
        <v>0</v>
      </c>
      <c r="BJ103" s="18">
        <f>--ISNUMBER(SEARCH("Health facility staff",BA103))</f>
        <v>0</v>
      </c>
      <c r="BK103" s="18">
        <f>--ISNUMBER(SEARCH("not received information",BA103))</f>
        <v>0</v>
      </c>
      <c r="BL103" s="18">
        <f>IF(T103="","",--(T103='Codebook'!$F$13))</f>
        <v>1</v>
      </c>
      <c r="BM103" s="18">
        <f>IF(U103="","",--(U103='Codebook'!$F$14))</f>
        <v>0</v>
      </c>
      <c r="BN103" s="18">
        <f>IF(V103="","",--(V103='Codebook'!$F$15))</f>
        <v>1</v>
      </c>
      <c r="BO103" s="18">
        <f>IF(W103="","",--(W103='Codebook'!$F$16))</f>
        <v>1</v>
      </c>
      <c r="BP103" s="18">
        <f>IF(X103="","",--(X103='Codebook'!$F$17))</f>
        <v>1</v>
      </c>
      <c r="BQ103" s="18">
        <f>IF(Y103="","",--(Y103='Codebook'!$F$18))</f>
        <v>1</v>
      </c>
      <c r="BR103" s="18">
        <f>IF(Z103="","",--(Z103='Codebook'!$F$19))</f>
        <v>1</v>
      </c>
      <c r="BS103" s="18">
        <f>IF(AA103="","",--(AA103='Codebook'!$F$20))</f>
        <v>1</v>
      </c>
      <c r="BT103" s="18">
        <f>IF(AB103="","",--(AB103='Codebook'!$F$21))</f>
        <v>0</v>
      </c>
      <c r="BU103" s="18">
        <f>IF(AC103="","",--(AC103='Codebook'!$F$22))</f>
        <v>0</v>
      </c>
      <c r="BV103" s="18">
        <f>IF(AD103="","",--(AD103='Codebook'!$F$23))</f>
        <v>0</v>
      </c>
      <c r="BW103" s="18">
        <f>IF(AE103="","",--(AE103='Codebook'!$F$24))</f>
        <v>0</v>
      </c>
      <c r="BX103" s="18">
        <f>IF(AF103="","",--(AF103='Codebook'!$F$25))</f>
        <v>0</v>
      </c>
      <c r="BY103" s="18">
        <f>IF(AG103="","",--(AG103='Codebook'!$F$26))</f>
        <v>0</v>
      </c>
      <c r="BZ103" s="18">
        <f>IF(AH103="","",--(AH103='Codebook'!$F$27))</f>
        <v>0</v>
      </c>
      <c r="CA103" s="18">
        <f>IF(AI103="","",--(AI103='Codebook'!$F$28))</f>
        <v>0</v>
      </c>
      <c r="CB103" s="18">
        <f>IF(AJ103="","",--(AJ103='Codebook'!$F$29))</f>
        <v>0</v>
      </c>
      <c r="CC103" s="18">
        <f>IF(AK103="","",--(AK103='Codebook'!$F$30))</f>
        <v>0</v>
      </c>
      <c r="CD103" s="18">
        <f>IF(AL103="","",--(AL103='Codebook'!$F$31))</f>
        <v>0</v>
      </c>
      <c r="CE103" s="18">
        <f>IF(AM103="","",--(AM103='Codebook'!$F$32))</f>
        <v>0</v>
      </c>
      <c r="CF103" s="18">
        <f>IF(AN103="","",--(AN103='Codebook'!$F$33))</f>
        <v>0</v>
      </c>
      <c r="CG103" s="18">
        <f>IF(AO103="","",--(AO103='Codebook'!$F$34))</f>
        <v>0</v>
      </c>
      <c r="CH103" s="18">
        <f>IF(AP103="","",--(AP103='Codebook'!$F$35))</f>
        <v>0</v>
      </c>
      <c r="CI103" s="18">
        <f>IF(AQ103="","",--(AQ103='Codebook'!$F$36))</f>
        <v>0</v>
      </c>
      <c r="CJ103" s="18">
        <f>IF(AR103="","",--(AR103='Codebook'!$F$37))</f>
        <v>0</v>
      </c>
      <c r="CK103" s="18">
        <f>IF(AS103="","",--(AS103='Codebook'!$F$38))</f>
        <v>0</v>
      </c>
      <c r="CL103" s="18">
        <f>IF(AT103="","",--(AT103='Codebook'!$F$39))</f>
        <v>0</v>
      </c>
      <c r="CM103" s="18">
        <f>IF(AU103="","",--(AU103='Codebook'!$F$40))</f>
        <v>0</v>
      </c>
      <c r="CN103" s="18">
        <f>IF(AV103="","",--(AV103='Codebook'!$F$41))</f>
        <v>0</v>
      </c>
      <c r="CO103" s="18">
        <f>IF(AW103="","",--(AW103='Codebook'!$F$42))</f>
        <v>0</v>
      </c>
      <c r="CP103" s="18">
        <f>IF(AX103="","",--(AX103='Codebook'!$F$43))</f>
        <v>0</v>
      </c>
      <c r="CQ103" s="18">
        <f>IF(AY103="","",--(AY103='Codebook'!$F$44))</f>
        <v>0</v>
      </c>
      <c r="CR103" s="18">
        <f>IF(AZ103="","",--(AZ103='Codebook'!$F$45))</f>
        <v>0</v>
      </c>
    </row>
    <row r="104" spans="2:96" ht="24" customHeight="1">
      <c r="B104" s="18">
        <v>99</v>
      </c>
      <c r="C104" s="23">
        <v>46284.50278763889</v>
      </c>
      <c r="D104" s="21" t="s">
        <v>275</v>
      </c>
      <c r="E104" s="21" t="s">
        <v>194</v>
      </c>
      <c r="F104" s="21" t="s">
        <v>212</v>
      </c>
      <c r="G104" s="17" t="s">
        <v>202</v>
      </c>
      <c r="H104" s="21" t="s">
        <v>207</v>
      </c>
      <c r="I104" s="18">
        <f>SUM(BL104:BU104)</f>
        <v>7</v>
      </c>
      <c r="J104" s="18">
        <f>IF(COUNT(BV104:CD104)=9,SUM(BV104:CD104),"")</f>
        <v>4</v>
      </c>
      <c r="K104" s="18">
        <f>SUM(BL104:CD104)</f>
        <v>11</v>
      </c>
      <c r="L104" s="18">
        <f>--(K104&gt;='Codebook'!$C$8)</f>
        <v>0</v>
      </c>
      <c r="M104" s="18">
        <f>--(COUNT(BL104:CD104)=19)</f>
        <v>1</v>
      </c>
      <c r="N104" s="18">
        <f>SUM(CE104:CL104)</f>
        <v>0</v>
      </c>
      <c r="O104" s="18">
        <f>SUM(CM104:CR104)</f>
        <v>2</v>
      </c>
      <c r="P104" s="18">
        <f>N104+O104</f>
        <v>2</v>
      </c>
      <c r="Q104" s="21" t="s">
        <v>198</v>
      </c>
      <c r="R104" s="17" t="s">
        <v>216</v>
      </c>
      <c r="S104" s="18">
        <f>--OR(Overview!$B$6="All",E104=Overview!$B$6)*--OR(Overview!$F$6="All",F104=Overview!$F$6)*--OR(Overview!$J$6="All",G104=Overview!$J$6)*--OR(Overview!$N$6="All",H104=Overview!$N$6)</f>
        <v>1</v>
      </c>
      <c r="T104" s="21" t="s">
        <v>22</v>
      </c>
      <c r="U104" s="21" t="s">
        <v>22</v>
      </c>
      <c r="V104" s="21" t="s">
        <v>198</v>
      </c>
      <c r="W104" s="21" t="s">
        <v>22</v>
      </c>
      <c r="X104" s="21" t="s">
        <v>22</v>
      </c>
      <c r="Y104" s="21" t="s">
        <v>26</v>
      </c>
      <c r="Z104" s="21" t="s">
        <v>22</v>
      </c>
      <c r="AA104" s="21" t="s">
        <v>22</v>
      </c>
      <c r="AB104" s="21" t="s">
        <v>22</v>
      </c>
      <c r="AC104" s="21" t="s">
        <v>22</v>
      </c>
      <c r="AD104" s="21" t="s">
        <v>22</v>
      </c>
      <c r="AE104" s="21" t="s">
        <v>22</v>
      </c>
      <c r="AF104" s="21" t="s">
        <v>22</v>
      </c>
      <c r="AG104" s="21" t="s">
        <v>198</v>
      </c>
      <c r="AH104" s="21" t="s">
        <v>22</v>
      </c>
      <c r="AI104" s="21" t="s">
        <v>198</v>
      </c>
      <c r="AJ104" s="21" t="s">
        <v>22</v>
      </c>
      <c r="AK104" s="21" t="s">
        <v>198</v>
      </c>
      <c r="AL104" s="21" t="s">
        <v>26</v>
      </c>
      <c r="AM104" s="21" t="s">
        <v>198</v>
      </c>
      <c r="AN104" s="21" t="s">
        <v>198</v>
      </c>
      <c r="AO104" s="21" t="s">
        <v>198</v>
      </c>
      <c r="AP104" s="21" t="s">
        <v>198</v>
      </c>
      <c r="AQ104" s="21" t="s">
        <v>198</v>
      </c>
      <c r="AR104" s="21" t="s">
        <v>198</v>
      </c>
      <c r="AS104" s="21" t="s">
        <v>198</v>
      </c>
      <c r="AT104" s="21" t="s">
        <v>198</v>
      </c>
      <c r="AU104" s="21" t="s">
        <v>198</v>
      </c>
      <c r="AV104" s="21" t="s">
        <v>198</v>
      </c>
      <c r="AW104" s="21" t="s">
        <v>83</v>
      </c>
      <c r="AX104" s="21" t="s">
        <v>109</v>
      </c>
      <c r="AY104" s="21" t="s">
        <v>109</v>
      </c>
      <c r="AZ104" s="21" t="s">
        <v>198</v>
      </c>
      <c r="BA104" s="17" t="s">
        <v>274</v>
      </c>
      <c r="BB104" s="17" t="s">
        <v>246</v>
      </c>
      <c r="BC104" s="18">
        <f>--ISNUMBER(SEARCH("Radio or television",BA104))</f>
        <v>1</v>
      </c>
      <c r="BD104" s="18">
        <f>--ISNUMBER(SEARCH("Newspapers or print media",BA104))</f>
        <v>1</v>
      </c>
      <c r="BE104" s="18">
        <f>--ISNUMBER(SEARCH("Social media (e.g. Facebook, WhatsApp, YouTube, X/Twitter)",BA104))</f>
        <v>1</v>
      </c>
      <c r="BF104" s="18">
        <f>--ISNUMBER(SEARCH("Family members",BA104))</f>
        <v>1</v>
      </c>
      <c r="BG104" s="18">
        <f>--ISNUMBER(SEARCH("Friends or fellow students",BA104))</f>
        <v>0</v>
      </c>
      <c r="BH104" s="18">
        <f>--ISNUMBER(SEARCH("School coursework or lectures",BA104))</f>
        <v>0</v>
      </c>
      <c r="BI104" s="18">
        <f>--ISNUMBER(SEARCH("NHIMA outreach activities or NHIMA offices",BA104))</f>
        <v>0</v>
      </c>
      <c r="BJ104" s="18">
        <f>--ISNUMBER(SEARCH("Health facility staff",BA104))</f>
        <v>0</v>
      </c>
      <c r="BK104" s="18">
        <f>--ISNUMBER(SEARCH("not received information",BA104))</f>
        <v>0</v>
      </c>
      <c r="BL104" s="18">
        <f>IF(T104="","",--(T104='Codebook'!$F$13))</f>
        <v>1</v>
      </c>
      <c r="BM104" s="18">
        <f>IF(U104="","",--(U104='Codebook'!$F$14))</f>
        <v>0</v>
      </c>
      <c r="BN104" s="18">
        <f>IF(V104="","",--(V104='Codebook'!$F$15))</f>
        <v>0</v>
      </c>
      <c r="BO104" s="18">
        <f>IF(W104="","",--(W104='Codebook'!$F$16))</f>
        <v>1</v>
      </c>
      <c r="BP104" s="18">
        <f>IF(X104="","",--(X104='Codebook'!$F$17))</f>
        <v>1</v>
      </c>
      <c r="BQ104" s="18">
        <f>IF(Y104="","",--(Y104='Codebook'!$F$18))</f>
        <v>1</v>
      </c>
      <c r="BR104" s="18">
        <f>IF(Z104="","",--(Z104='Codebook'!$F$19))</f>
        <v>1</v>
      </c>
      <c r="BS104" s="18">
        <f>IF(AA104="","",--(AA104='Codebook'!$F$20))</f>
        <v>1</v>
      </c>
      <c r="BT104" s="18">
        <f>IF(AB104="","",--(AB104='Codebook'!$F$21))</f>
        <v>0</v>
      </c>
      <c r="BU104" s="18">
        <f>IF(AC104="","",--(AC104='Codebook'!$F$22))</f>
        <v>1</v>
      </c>
      <c r="BV104" s="18">
        <f>IF(AD104="","",--(AD104='Codebook'!$F$23))</f>
        <v>1</v>
      </c>
      <c r="BW104" s="18">
        <f>IF(AE104="","",--(AE104='Codebook'!$F$24))</f>
        <v>1</v>
      </c>
      <c r="BX104" s="18">
        <f>IF(AF104="","",--(AF104='Codebook'!$F$25))</f>
        <v>0</v>
      </c>
      <c r="BY104" s="18">
        <f>IF(AG104="","",--(AG104='Codebook'!$F$26))</f>
        <v>0</v>
      </c>
      <c r="BZ104" s="18">
        <f>IF(AH104="","",--(AH104='Codebook'!$F$27))</f>
        <v>1</v>
      </c>
      <c r="CA104" s="18">
        <f>IF(AI104="","",--(AI104='Codebook'!$F$28))</f>
        <v>0</v>
      </c>
      <c r="CB104" s="18">
        <f>IF(AJ104="","",--(AJ104='Codebook'!$F$29))</f>
        <v>0</v>
      </c>
      <c r="CC104" s="18">
        <f>IF(AK104="","",--(AK104='Codebook'!$F$30))</f>
        <v>0</v>
      </c>
      <c r="CD104" s="18">
        <f>IF(AL104="","",--(AL104='Codebook'!$F$31))</f>
        <v>1</v>
      </c>
      <c r="CE104" s="18">
        <f>IF(AM104="","",--(AM104='Codebook'!$F$32))</f>
        <v>0</v>
      </c>
      <c r="CF104" s="18">
        <f>IF(AN104="","",--(AN104='Codebook'!$F$33))</f>
        <v>0</v>
      </c>
      <c r="CG104" s="18">
        <f>IF(AO104="","",--(AO104='Codebook'!$F$34))</f>
        <v>0</v>
      </c>
      <c r="CH104" s="18">
        <f>IF(AP104="","",--(AP104='Codebook'!$F$35))</f>
        <v>0</v>
      </c>
      <c r="CI104" s="18">
        <f>IF(AQ104="","",--(AQ104='Codebook'!$F$36))</f>
        <v>0</v>
      </c>
      <c r="CJ104" s="18">
        <f>IF(AR104="","",--(AR104='Codebook'!$F$37))</f>
        <v>0</v>
      </c>
      <c r="CK104" s="18">
        <f>IF(AS104="","",--(AS104='Codebook'!$F$38))</f>
        <v>0</v>
      </c>
      <c r="CL104" s="18">
        <f>IF(AT104="","",--(AT104='Codebook'!$F$39))</f>
        <v>0</v>
      </c>
      <c r="CM104" s="18">
        <f>IF(AU104="","",--(AU104='Codebook'!$F$40))</f>
        <v>0</v>
      </c>
      <c r="CN104" s="18">
        <f>IF(AV104="","",--(AV104='Codebook'!$F$41))</f>
        <v>0</v>
      </c>
      <c r="CO104" s="18">
        <f>IF(AW104="","",--(AW104='Codebook'!$F$42))</f>
        <v>0</v>
      </c>
      <c r="CP104" s="18">
        <f>IF(AX104="","",--(AX104='Codebook'!$F$43))</f>
        <v>1</v>
      </c>
      <c r="CQ104" s="18">
        <f>IF(AY104="","",--(AY104='Codebook'!$F$44))</f>
        <v>1</v>
      </c>
      <c r="CR104" s="18">
        <f>IF(AZ104="","",--(AZ104='Codebook'!$F$45))</f>
        <v>0</v>
      </c>
    </row>
    <row r="105" spans="2:96" ht="24" customHeight="1">
      <c r="B105" s="18">
        <v>100</v>
      </c>
      <c r="C105" s="23">
        <v>46284.50439655092</v>
      </c>
      <c r="D105" s="21" t="s">
        <v>275</v>
      </c>
      <c r="E105" s="21" t="s">
        <v>206</v>
      </c>
      <c r="F105" s="21" t="s">
        <v>201</v>
      </c>
      <c r="G105" s="17" t="s">
        <v>215</v>
      </c>
      <c r="H105" s="21" t="s">
        <v>207</v>
      </c>
      <c r="I105" s="18">
        <f>SUM(BL105:BU105)</f>
        <v>4</v>
      </c>
      <c r="J105" s="18">
        <f>IF(COUNT(BV105:CD105)=9,SUM(BV105:CD105),"")</f>
        <v>3</v>
      </c>
      <c r="K105" s="18">
        <f>SUM(BL105:CD105)</f>
        <v>7</v>
      </c>
      <c r="L105" s="18">
        <f>--(K105&gt;='Codebook'!$C$8)</f>
        <v>0</v>
      </c>
      <c r="M105" s="18">
        <f>--(COUNT(BL105:CD105)=19)</f>
        <v>1</v>
      </c>
      <c r="N105" s="18">
        <f>SUM(CE105:CL105)</f>
        <v>2</v>
      </c>
      <c r="O105" s="18">
        <f>SUM(CM105:CR105)</f>
        <v>3</v>
      </c>
      <c r="P105" s="18">
        <f>N105+O105</f>
        <v>5</v>
      </c>
      <c r="Q105" s="21" t="s">
        <v>198</v>
      </c>
      <c r="R105" s="17" t="s">
        <v>154</v>
      </c>
      <c r="S105" s="18">
        <f>--OR(Overview!$B$6="All",E105=Overview!$B$6)*--OR(Overview!$F$6="All",F105=Overview!$F$6)*--OR(Overview!$J$6="All",G105=Overview!$J$6)*--OR(Overview!$N$6="All",H105=Overview!$N$6)</f>
        <v>1</v>
      </c>
      <c r="T105" s="21" t="s">
        <v>22</v>
      </c>
      <c r="U105" s="21" t="s">
        <v>22</v>
      </c>
      <c r="V105" s="21" t="s">
        <v>22</v>
      </c>
      <c r="W105" s="21" t="s">
        <v>198</v>
      </c>
      <c r="X105" s="21" t="s">
        <v>22</v>
      </c>
      <c r="Y105" s="21" t="s">
        <v>198</v>
      </c>
      <c r="Z105" s="21" t="s">
        <v>22</v>
      </c>
      <c r="AA105" s="21" t="s">
        <v>198</v>
      </c>
      <c r="AB105" s="21" t="s">
        <v>22</v>
      </c>
      <c r="AC105" s="21" t="s">
        <v>22</v>
      </c>
      <c r="AD105" s="21" t="s">
        <v>22</v>
      </c>
      <c r="AE105" s="21" t="s">
        <v>22</v>
      </c>
      <c r="AF105" s="21" t="s">
        <v>198</v>
      </c>
      <c r="AG105" s="21" t="s">
        <v>198</v>
      </c>
      <c r="AH105" s="21" t="s">
        <v>198</v>
      </c>
      <c r="AI105" s="21" t="s">
        <v>22</v>
      </c>
      <c r="AJ105" s="21" t="s">
        <v>198</v>
      </c>
      <c r="AK105" s="21" t="s">
        <v>22</v>
      </c>
      <c r="AL105" s="21" t="s">
        <v>198</v>
      </c>
      <c r="AM105" s="21" t="s">
        <v>83</v>
      </c>
      <c r="AN105" s="21" t="s">
        <v>109</v>
      </c>
      <c r="AO105" s="21" t="s">
        <v>198</v>
      </c>
      <c r="AP105" s="21" t="s">
        <v>83</v>
      </c>
      <c r="AQ105" s="21" t="s">
        <v>198</v>
      </c>
      <c r="AR105" s="21" t="s">
        <v>109</v>
      </c>
      <c r="AS105" s="21" t="s">
        <v>109</v>
      </c>
      <c r="AT105" s="21" t="s">
        <v>198</v>
      </c>
      <c r="AU105" s="21" t="s">
        <v>198</v>
      </c>
      <c r="AV105" s="21" t="s">
        <v>109</v>
      </c>
      <c r="AW105" s="21" t="s">
        <v>109</v>
      </c>
      <c r="AX105" s="21" t="s">
        <v>109</v>
      </c>
      <c r="AY105" s="21" t="s">
        <v>83</v>
      </c>
      <c r="AZ105" s="21" t="s">
        <v>198</v>
      </c>
      <c r="BA105" s="17" t="s">
        <v>269</v>
      </c>
      <c r="BB105" s="17" t="s">
        <v>250</v>
      </c>
      <c r="BC105" s="18">
        <f>--ISNUMBER(SEARCH("Radio or television",BA105))</f>
        <v>1</v>
      </c>
      <c r="BD105" s="18">
        <f>--ISNUMBER(SEARCH("Newspapers or print media",BA105))</f>
        <v>1</v>
      </c>
      <c r="BE105" s="18">
        <f>--ISNUMBER(SEARCH("Social media (e.g. Facebook, WhatsApp, YouTube, X/Twitter)",BA105))</f>
        <v>1</v>
      </c>
      <c r="BF105" s="18">
        <f>--ISNUMBER(SEARCH("Family members",BA105))</f>
        <v>0</v>
      </c>
      <c r="BG105" s="18">
        <f>--ISNUMBER(SEARCH("Friends or fellow students",BA105))</f>
        <v>0</v>
      </c>
      <c r="BH105" s="18">
        <f>--ISNUMBER(SEARCH("School coursework or lectures",BA105))</f>
        <v>0</v>
      </c>
      <c r="BI105" s="18">
        <f>--ISNUMBER(SEARCH("NHIMA outreach activities or NHIMA offices",BA105))</f>
        <v>0</v>
      </c>
      <c r="BJ105" s="18">
        <f>--ISNUMBER(SEARCH("Health facility staff",BA105))</f>
        <v>0</v>
      </c>
      <c r="BK105" s="18">
        <f>--ISNUMBER(SEARCH("not received information",BA105))</f>
        <v>0</v>
      </c>
      <c r="BL105" s="18">
        <f>IF(T105="","",--(T105='Codebook'!$F$13))</f>
        <v>1</v>
      </c>
      <c r="BM105" s="18">
        <f>IF(U105="","",--(U105='Codebook'!$F$14))</f>
        <v>0</v>
      </c>
      <c r="BN105" s="18">
        <f>IF(V105="","",--(V105='Codebook'!$F$15))</f>
        <v>0</v>
      </c>
      <c r="BO105" s="18">
        <f>IF(W105="","",--(W105='Codebook'!$F$16))</f>
        <v>0</v>
      </c>
      <c r="BP105" s="18">
        <f>IF(X105="","",--(X105='Codebook'!$F$17))</f>
        <v>1</v>
      </c>
      <c r="BQ105" s="18">
        <f>IF(Y105="","",--(Y105='Codebook'!$F$18))</f>
        <v>0</v>
      </c>
      <c r="BR105" s="18">
        <f>IF(Z105="","",--(Z105='Codebook'!$F$19))</f>
        <v>1</v>
      </c>
      <c r="BS105" s="18">
        <f>IF(AA105="","",--(AA105='Codebook'!$F$20))</f>
        <v>0</v>
      </c>
      <c r="BT105" s="18">
        <f>IF(AB105="","",--(AB105='Codebook'!$F$21))</f>
        <v>0</v>
      </c>
      <c r="BU105" s="18">
        <f>IF(AC105="","",--(AC105='Codebook'!$F$22))</f>
        <v>1</v>
      </c>
      <c r="BV105" s="18">
        <f>IF(AD105="","",--(AD105='Codebook'!$F$23))</f>
        <v>1</v>
      </c>
      <c r="BW105" s="18">
        <f>IF(AE105="","",--(AE105='Codebook'!$F$24))</f>
        <v>1</v>
      </c>
      <c r="BX105" s="18">
        <f>IF(AF105="","",--(AF105='Codebook'!$F$25))</f>
        <v>0</v>
      </c>
      <c r="BY105" s="18">
        <f>IF(AG105="","",--(AG105='Codebook'!$F$26))</f>
        <v>0</v>
      </c>
      <c r="BZ105" s="18">
        <f>IF(AH105="","",--(AH105='Codebook'!$F$27))</f>
        <v>0</v>
      </c>
      <c r="CA105" s="18">
        <f>IF(AI105="","",--(AI105='Codebook'!$F$28))</f>
        <v>0</v>
      </c>
      <c r="CB105" s="18">
        <f>IF(AJ105="","",--(AJ105='Codebook'!$F$29))</f>
        <v>0</v>
      </c>
      <c r="CC105" s="18">
        <f>IF(AK105="","",--(AK105='Codebook'!$F$30))</f>
        <v>1</v>
      </c>
      <c r="CD105" s="18">
        <f>IF(AL105="","",--(AL105='Codebook'!$F$31))</f>
        <v>0</v>
      </c>
      <c r="CE105" s="18">
        <f>IF(AM105="","",--(AM105='Codebook'!$F$32))</f>
        <v>1</v>
      </c>
      <c r="CF105" s="18">
        <f>IF(AN105="","",--(AN105='Codebook'!$F$33))</f>
        <v>0</v>
      </c>
      <c r="CG105" s="18">
        <f>IF(AO105="","",--(AO105='Codebook'!$F$34))</f>
        <v>0</v>
      </c>
      <c r="CH105" s="18">
        <f>IF(AP105="","",--(AP105='Codebook'!$F$35))</f>
        <v>1</v>
      </c>
      <c r="CI105" s="18">
        <f>IF(AQ105="","",--(AQ105='Codebook'!$F$36))</f>
        <v>0</v>
      </c>
      <c r="CJ105" s="18">
        <f>IF(AR105="","",--(AR105='Codebook'!$F$37))</f>
        <v>0</v>
      </c>
      <c r="CK105" s="18">
        <f>IF(AS105="","",--(AS105='Codebook'!$F$38))</f>
        <v>0</v>
      </c>
      <c r="CL105" s="18">
        <f>IF(AT105="","",--(AT105='Codebook'!$F$39))</f>
        <v>0</v>
      </c>
      <c r="CM105" s="18">
        <f>IF(AU105="","",--(AU105='Codebook'!$F$40))</f>
        <v>0</v>
      </c>
      <c r="CN105" s="18">
        <f>IF(AV105="","",--(AV105='Codebook'!$F$41))</f>
        <v>1</v>
      </c>
      <c r="CO105" s="18">
        <f>IF(AW105="","",--(AW105='Codebook'!$F$42))</f>
        <v>1</v>
      </c>
      <c r="CP105" s="18">
        <f>IF(AX105="","",--(AX105='Codebook'!$F$43))</f>
        <v>1</v>
      </c>
      <c r="CQ105" s="18">
        <f>IF(AY105="","",--(AY105='Codebook'!$F$44))</f>
        <v>0</v>
      </c>
      <c r="CR105" s="18">
        <f>IF(AZ105="","",--(AZ105='Codebook'!$F$45))</f>
        <v>0</v>
      </c>
    </row>
    <row r="106" spans="2:96" ht="24" customHeight="1">
      <c r="B106" s="18">
        <v>101</v>
      </c>
      <c r="C106" s="23">
        <v>46284.68987230324</v>
      </c>
      <c r="D106" s="21" t="s">
        <v>268</v>
      </c>
      <c r="E106" s="21" t="s">
        <v>194</v>
      </c>
      <c r="F106" s="21" t="s">
        <v>201</v>
      </c>
      <c r="G106" s="17" t="s">
        <v>202</v>
      </c>
      <c r="H106" s="21" t="s">
        <v>197</v>
      </c>
      <c r="I106" s="18">
        <f>SUM(BL106:BU106)</f>
        <v>6</v>
      </c>
      <c r="J106" s="18">
        <f>IF(COUNT(BV106:CD106)=9,SUM(BV106:CD106),"")</f>
        <v>5</v>
      </c>
      <c r="K106" s="18">
        <f>SUM(BL106:CD106)</f>
        <v>11</v>
      </c>
      <c r="L106" s="18">
        <f>--(K106&gt;='Codebook'!$C$8)</f>
        <v>0</v>
      </c>
      <c r="M106" s="18">
        <f>--(COUNT(BL106:CD106)=19)</f>
        <v>1</v>
      </c>
      <c r="N106" s="18">
        <f>SUM(CE106:CL106)</f>
        <v>0</v>
      </c>
      <c r="O106" s="18">
        <f>SUM(CM106:CR106)</f>
        <v>1</v>
      </c>
      <c r="P106" s="18">
        <f>N106+O106</f>
        <v>1</v>
      </c>
      <c r="Q106" s="21" t="s">
        <v>197</v>
      </c>
      <c r="R106" s="17" t="s">
        <v>152</v>
      </c>
      <c r="S106" s="18">
        <f>--OR(Overview!$B$6="All",E106=Overview!$B$6)*--OR(Overview!$F$6="All",F106=Overview!$F$6)*--OR(Overview!$J$6="All",G106=Overview!$J$6)*--OR(Overview!$N$6="All",H106=Overview!$N$6)</f>
        <v>1</v>
      </c>
      <c r="T106" s="21" t="s">
        <v>22</v>
      </c>
      <c r="U106" s="21" t="s">
        <v>198</v>
      </c>
      <c r="V106" s="21" t="s">
        <v>22</v>
      </c>
      <c r="W106" s="21" t="s">
        <v>22</v>
      </c>
      <c r="X106" s="21" t="s">
        <v>22</v>
      </c>
      <c r="Y106" s="21" t="s">
        <v>22</v>
      </c>
      <c r="Z106" s="21" t="s">
        <v>22</v>
      </c>
      <c r="AA106" s="21" t="s">
        <v>22</v>
      </c>
      <c r="AB106" s="21" t="s">
        <v>22</v>
      </c>
      <c r="AC106" s="21" t="s">
        <v>22</v>
      </c>
      <c r="AD106" s="21" t="s">
        <v>22</v>
      </c>
      <c r="AE106" s="21" t="s">
        <v>22</v>
      </c>
      <c r="AF106" s="21" t="s">
        <v>22</v>
      </c>
      <c r="AG106" s="21" t="s">
        <v>22</v>
      </c>
      <c r="AH106" s="21" t="s">
        <v>22</v>
      </c>
      <c r="AI106" s="21" t="s">
        <v>22</v>
      </c>
      <c r="AJ106" s="21" t="s">
        <v>198</v>
      </c>
      <c r="AK106" s="21" t="s">
        <v>22</v>
      </c>
      <c r="AL106" s="21" t="s">
        <v>22</v>
      </c>
      <c r="AM106" s="21" t="s">
        <v>198</v>
      </c>
      <c r="AN106" s="21" t="s">
        <v>198</v>
      </c>
      <c r="AO106" s="21" t="s">
        <v>198</v>
      </c>
      <c r="AP106" s="21" t="s">
        <v>198</v>
      </c>
      <c r="AQ106" s="21" t="s">
        <v>198</v>
      </c>
      <c r="AR106" s="21" t="s">
        <v>198</v>
      </c>
      <c r="AS106" s="21" t="s">
        <v>198</v>
      </c>
      <c r="AT106" s="21" t="s">
        <v>198</v>
      </c>
      <c r="AU106" s="21" t="s">
        <v>109</v>
      </c>
      <c r="AV106" s="21" t="s">
        <v>198</v>
      </c>
      <c r="AW106" s="21" t="s">
        <v>198</v>
      </c>
      <c r="AX106" s="21" t="s">
        <v>198</v>
      </c>
      <c r="AY106" s="21" t="s">
        <v>198</v>
      </c>
      <c r="AZ106" s="21" t="s">
        <v>198</v>
      </c>
      <c r="BA106" s="17" t="s">
        <v>274</v>
      </c>
      <c r="BB106" s="17" t="s">
        <v>223</v>
      </c>
      <c r="BC106" s="18">
        <f>--ISNUMBER(SEARCH("Radio or television",BA106))</f>
        <v>1</v>
      </c>
      <c r="BD106" s="18">
        <f>--ISNUMBER(SEARCH("Newspapers or print media",BA106))</f>
        <v>1</v>
      </c>
      <c r="BE106" s="18">
        <f>--ISNUMBER(SEARCH("Social media (e.g. Facebook, WhatsApp, YouTube, X/Twitter)",BA106))</f>
        <v>1</v>
      </c>
      <c r="BF106" s="18">
        <f>--ISNUMBER(SEARCH("Family members",BA106))</f>
        <v>1</v>
      </c>
      <c r="BG106" s="18">
        <f>--ISNUMBER(SEARCH("Friends or fellow students",BA106))</f>
        <v>0</v>
      </c>
      <c r="BH106" s="18">
        <f>--ISNUMBER(SEARCH("School coursework or lectures",BA106))</f>
        <v>0</v>
      </c>
      <c r="BI106" s="18">
        <f>--ISNUMBER(SEARCH("NHIMA outreach activities or NHIMA offices",BA106))</f>
        <v>0</v>
      </c>
      <c r="BJ106" s="18">
        <f>--ISNUMBER(SEARCH("Health facility staff",BA106))</f>
        <v>0</v>
      </c>
      <c r="BK106" s="18">
        <f>--ISNUMBER(SEARCH("not received information",BA106))</f>
        <v>0</v>
      </c>
      <c r="BL106" s="18">
        <f>IF(T106="","",--(T106='Codebook'!$F$13))</f>
        <v>1</v>
      </c>
      <c r="BM106" s="18">
        <f>IF(U106="","",--(U106='Codebook'!$F$14))</f>
        <v>0</v>
      </c>
      <c r="BN106" s="18">
        <f>IF(V106="","",--(V106='Codebook'!$F$15))</f>
        <v>0</v>
      </c>
      <c r="BO106" s="18">
        <f>IF(W106="","",--(W106='Codebook'!$F$16))</f>
        <v>1</v>
      </c>
      <c r="BP106" s="18">
        <f>IF(X106="","",--(X106='Codebook'!$F$17))</f>
        <v>1</v>
      </c>
      <c r="BQ106" s="18">
        <f>IF(Y106="","",--(Y106='Codebook'!$F$18))</f>
        <v>0</v>
      </c>
      <c r="BR106" s="18">
        <f>IF(Z106="","",--(Z106='Codebook'!$F$19))</f>
        <v>1</v>
      </c>
      <c r="BS106" s="18">
        <f>IF(AA106="","",--(AA106='Codebook'!$F$20))</f>
        <v>1</v>
      </c>
      <c r="BT106" s="18">
        <f>IF(AB106="","",--(AB106='Codebook'!$F$21))</f>
        <v>0</v>
      </c>
      <c r="BU106" s="18">
        <f>IF(AC106="","",--(AC106='Codebook'!$F$22))</f>
        <v>1</v>
      </c>
      <c r="BV106" s="18">
        <f>IF(AD106="","",--(AD106='Codebook'!$F$23))</f>
        <v>1</v>
      </c>
      <c r="BW106" s="18">
        <f>IF(AE106="","",--(AE106='Codebook'!$F$24))</f>
        <v>1</v>
      </c>
      <c r="BX106" s="18">
        <f>IF(AF106="","",--(AF106='Codebook'!$F$25))</f>
        <v>0</v>
      </c>
      <c r="BY106" s="18">
        <f>IF(AG106="","",--(AG106='Codebook'!$F$26))</f>
        <v>1</v>
      </c>
      <c r="BZ106" s="18">
        <f>IF(AH106="","",--(AH106='Codebook'!$F$27))</f>
        <v>1</v>
      </c>
      <c r="CA106" s="18">
        <f>IF(AI106="","",--(AI106='Codebook'!$F$28))</f>
        <v>0</v>
      </c>
      <c r="CB106" s="18">
        <f>IF(AJ106="","",--(AJ106='Codebook'!$F$29))</f>
        <v>0</v>
      </c>
      <c r="CC106" s="18">
        <f>IF(AK106="","",--(AK106='Codebook'!$F$30))</f>
        <v>1</v>
      </c>
      <c r="CD106" s="18">
        <f>IF(AL106="","",--(AL106='Codebook'!$F$31))</f>
        <v>0</v>
      </c>
      <c r="CE106" s="18">
        <f>IF(AM106="","",--(AM106='Codebook'!$F$32))</f>
        <v>0</v>
      </c>
      <c r="CF106" s="18">
        <f>IF(AN106="","",--(AN106='Codebook'!$F$33))</f>
        <v>0</v>
      </c>
      <c r="CG106" s="18">
        <f>IF(AO106="","",--(AO106='Codebook'!$F$34))</f>
        <v>0</v>
      </c>
      <c r="CH106" s="18">
        <f>IF(AP106="","",--(AP106='Codebook'!$F$35))</f>
        <v>0</v>
      </c>
      <c r="CI106" s="18">
        <f>IF(AQ106="","",--(AQ106='Codebook'!$F$36))</f>
        <v>0</v>
      </c>
      <c r="CJ106" s="18">
        <f>IF(AR106="","",--(AR106='Codebook'!$F$37))</f>
        <v>0</v>
      </c>
      <c r="CK106" s="18">
        <f>IF(AS106="","",--(AS106='Codebook'!$F$38))</f>
        <v>0</v>
      </c>
      <c r="CL106" s="18">
        <f>IF(AT106="","",--(AT106='Codebook'!$F$39))</f>
        <v>0</v>
      </c>
      <c r="CM106" s="18">
        <f>IF(AU106="","",--(AU106='Codebook'!$F$40))</f>
        <v>1</v>
      </c>
      <c r="CN106" s="18">
        <f>IF(AV106="","",--(AV106='Codebook'!$F$41))</f>
        <v>0</v>
      </c>
      <c r="CO106" s="18">
        <f>IF(AW106="","",--(AW106='Codebook'!$F$42))</f>
        <v>0</v>
      </c>
      <c r="CP106" s="18">
        <f>IF(AX106="","",--(AX106='Codebook'!$F$43))</f>
        <v>0</v>
      </c>
      <c r="CQ106" s="18">
        <f>IF(AY106="","",--(AY106='Codebook'!$F$44))</f>
        <v>0</v>
      </c>
      <c r="CR106" s="18">
        <f>IF(AZ106="","",--(AZ106='Codebook'!$F$45))</f>
        <v>0</v>
      </c>
    </row>
    <row r="107" spans="2:96" ht="24" customHeight="1">
      <c r="B107" s="18">
        <v>102</v>
      </c>
      <c r="C107" s="23">
        <v>46284.69028928241</v>
      </c>
      <c r="D107" s="21" t="s">
        <v>270</v>
      </c>
      <c r="E107" s="21" t="s">
        <v>206</v>
      </c>
      <c r="F107" s="21" t="s">
        <v>195</v>
      </c>
      <c r="G107" s="17" t="s">
        <v>196</v>
      </c>
      <c r="H107" s="21" t="s">
        <v>197</v>
      </c>
      <c r="I107" s="18">
        <f>SUM(BL107:BU107)</f>
        <v>6</v>
      </c>
      <c r="J107" s="18">
        <f>IF(COUNT(BV107:CD107)=9,SUM(BV107:CD107),"")</f>
        <v>5</v>
      </c>
      <c r="K107" s="18">
        <f>SUM(BL107:CD107)</f>
        <v>11</v>
      </c>
      <c r="L107" s="18">
        <f>--(K107&gt;='Codebook'!$C$8)</f>
        <v>0</v>
      </c>
      <c r="M107" s="18">
        <f>--(COUNT(BL107:CD107)=19)</f>
        <v>1</v>
      </c>
      <c r="N107" s="18">
        <f>SUM(CE107:CL107)</f>
        <v>8</v>
      </c>
      <c r="O107" s="18">
        <f>SUM(CM107:CR107)</f>
        <v>0</v>
      </c>
      <c r="P107" s="18">
        <f>N107+O107</f>
        <v>8</v>
      </c>
      <c r="Q107" s="21" t="s">
        <v>197</v>
      </c>
      <c r="R107" s="17" t="s">
        <v>216</v>
      </c>
      <c r="S107" s="18">
        <f>--OR(Overview!$B$6="All",E107=Overview!$B$6)*--OR(Overview!$F$6="All",F107=Overview!$F$6)*--OR(Overview!$J$6="All",G107=Overview!$J$6)*--OR(Overview!$N$6="All",H107=Overview!$N$6)</f>
        <v>1</v>
      </c>
      <c r="T107" s="21" t="s">
        <v>22</v>
      </c>
      <c r="U107" s="21" t="s">
        <v>22</v>
      </c>
      <c r="V107" s="21" t="s">
        <v>22</v>
      </c>
      <c r="W107" s="21" t="s">
        <v>22</v>
      </c>
      <c r="X107" s="21" t="s">
        <v>22</v>
      </c>
      <c r="Y107" s="21" t="s">
        <v>22</v>
      </c>
      <c r="Z107" s="21" t="s">
        <v>22</v>
      </c>
      <c r="AA107" s="21" t="s">
        <v>22</v>
      </c>
      <c r="AB107" s="21" t="s">
        <v>22</v>
      </c>
      <c r="AC107" s="21" t="s">
        <v>22</v>
      </c>
      <c r="AD107" s="21" t="s">
        <v>22</v>
      </c>
      <c r="AE107" s="21" t="s">
        <v>22</v>
      </c>
      <c r="AF107" s="21" t="s">
        <v>22</v>
      </c>
      <c r="AG107" s="21" t="s">
        <v>22</v>
      </c>
      <c r="AH107" s="21" t="s">
        <v>22</v>
      </c>
      <c r="AI107" s="21" t="s">
        <v>22</v>
      </c>
      <c r="AJ107" s="21" t="s">
        <v>22</v>
      </c>
      <c r="AK107" s="21" t="s">
        <v>22</v>
      </c>
      <c r="AL107" s="21" t="s">
        <v>22</v>
      </c>
      <c r="AM107" s="21" t="s">
        <v>83</v>
      </c>
      <c r="AN107" s="21" t="s">
        <v>83</v>
      </c>
      <c r="AO107" s="21" t="s">
        <v>83</v>
      </c>
      <c r="AP107" s="21" t="s">
        <v>83</v>
      </c>
      <c r="AQ107" s="21" t="s">
        <v>83</v>
      </c>
      <c r="AR107" s="21" t="s">
        <v>83</v>
      </c>
      <c r="AS107" s="21" t="s">
        <v>83</v>
      </c>
      <c r="AT107" s="21" t="s">
        <v>83</v>
      </c>
      <c r="AU107" s="21" t="s">
        <v>83</v>
      </c>
      <c r="AV107" s="21" t="s">
        <v>83</v>
      </c>
      <c r="AW107" s="21" t="s">
        <v>83</v>
      </c>
      <c r="AX107" s="21" t="s">
        <v>83</v>
      </c>
      <c r="AY107" s="21" t="s">
        <v>83</v>
      </c>
      <c r="AZ107" s="21" t="s">
        <v>83</v>
      </c>
      <c r="BA107" s="17" t="s">
        <v>246</v>
      </c>
      <c r="BB107" s="17" t="s">
        <v>246</v>
      </c>
      <c r="BC107" s="18">
        <f>--ISNUMBER(SEARCH("Radio or television",BA107))</f>
        <v>1</v>
      </c>
      <c r="BD107" s="18">
        <f>--ISNUMBER(SEARCH("Newspapers or print media",BA107))</f>
        <v>0</v>
      </c>
      <c r="BE107" s="18">
        <f>--ISNUMBER(SEARCH("Social media (e.g. Facebook, WhatsApp, YouTube, X/Twitter)",BA107))</f>
        <v>1</v>
      </c>
      <c r="BF107" s="18">
        <f>--ISNUMBER(SEARCH("Family members",BA107))</f>
        <v>0</v>
      </c>
      <c r="BG107" s="18">
        <f>--ISNUMBER(SEARCH("Friends or fellow students",BA107))</f>
        <v>0</v>
      </c>
      <c r="BH107" s="18">
        <f>--ISNUMBER(SEARCH("School coursework or lectures",BA107))</f>
        <v>0</v>
      </c>
      <c r="BI107" s="18">
        <f>--ISNUMBER(SEARCH("NHIMA outreach activities or NHIMA offices",BA107))</f>
        <v>0</v>
      </c>
      <c r="BJ107" s="18">
        <f>--ISNUMBER(SEARCH("Health facility staff",BA107))</f>
        <v>0</v>
      </c>
      <c r="BK107" s="18">
        <f>--ISNUMBER(SEARCH("not received information",BA107))</f>
        <v>0</v>
      </c>
      <c r="BL107" s="18">
        <f>IF(T107="","",--(T107='Codebook'!$F$13))</f>
        <v>1</v>
      </c>
      <c r="BM107" s="18">
        <f>IF(U107="","",--(U107='Codebook'!$F$14))</f>
        <v>0</v>
      </c>
      <c r="BN107" s="18">
        <f>IF(V107="","",--(V107='Codebook'!$F$15))</f>
        <v>0</v>
      </c>
      <c r="BO107" s="18">
        <f>IF(W107="","",--(W107='Codebook'!$F$16))</f>
        <v>1</v>
      </c>
      <c r="BP107" s="18">
        <f>IF(X107="","",--(X107='Codebook'!$F$17))</f>
        <v>1</v>
      </c>
      <c r="BQ107" s="18">
        <f>IF(Y107="","",--(Y107='Codebook'!$F$18))</f>
        <v>0</v>
      </c>
      <c r="BR107" s="18">
        <f>IF(Z107="","",--(Z107='Codebook'!$F$19))</f>
        <v>1</v>
      </c>
      <c r="BS107" s="18">
        <f>IF(AA107="","",--(AA107='Codebook'!$F$20))</f>
        <v>1</v>
      </c>
      <c r="BT107" s="18">
        <f>IF(AB107="","",--(AB107='Codebook'!$F$21))</f>
        <v>0</v>
      </c>
      <c r="BU107" s="18">
        <f>IF(AC107="","",--(AC107='Codebook'!$F$22))</f>
        <v>1</v>
      </c>
      <c r="BV107" s="18">
        <f>IF(AD107="","",--(AD107='Codebook'!$F$23))</f>
        <v>1</v>
      </c>
      <c r="BW107" s="18">
        <f>IF(AE107="","",--(AE107='Codebook'!$F$24))</f>
        <v>1</v>
      </c>
      <c r="BX107" s="18">
        <f>IF(AF107="","",--(AF107='Codebook'!$F$25))</f>
        <v>0</v>
      </c>
      <c r="BY107" s="18">
        <f>IF(AG107="","",--(AG107='Codebook'!$F$26))</f>
        <v>1</v>
      </c>
      <c r="BZ107" s="18">
        <f>IF(AH107="","",--(AH107='Codebook'!$F$27))</f>
        <v>1</v>
      </c>
      <c r="CA107" s="18">
        <f>IF(AI107="","",--(AI107='Codebook'!$F$28))</f>
        <v>0</v>
      </c>
      <c r="CB107" s="18">
        <f>IF(AJ107="","",--(AJ107='Codebook'!$F$29))</f>
        <v>0</v>
      </c>
      <c r="CC107" s="18">
        <f>IF(AK107="","",--(AK107='Codebook'!$F$30))</f>
        <v>1</v>
      </c>
      <c r="CD107" s="18">
        <f>IF(AL107="","",--(AL107='Codebook'!$F$31))</f>
        <v>0</v>
      </c>
      <c r="CE107" s="18">
        <f>IF(AM107="","",--(AM107='Codebook'!$F$32))</f>
        <v>1</v>
      </c>
      <c r="CF107" s="18">
        <f>IF(AN107="","",--(AN107='Codebook'!$F$33))</f>
        <v>1</v>
      </c>
      <c r="CG107" s="18">
        <f>IF(AO107="","",--(AO107='Codebook'!$F$34))</f>
        <v>1</v>
      </c>
      <c r="CH107" s="18">
        <f>IF(AP107="","",--(AP107='Codebook'!$F$35))</f>
        <v>1</v>
      </c>
      <c r="CI107" s="18">
        <f>IF(AQ107="","",--(AQ107='Codebook'!$F$36))</f>
        <v>1</v>
      </c>
      <c r="CJ107" s="18">
        <f>IF(AR107="","",--(AR107='Codebook'!$F$37))</f>
        <v>1</v>
      </c>
      <c r="CK107" s="18">
        <f>IF(AS107="","",--(AS107='Codebook'!$F$38))</f>
        <v>1</v>
      </c>
      <c r="CL107" s="18">
        <f>IF(AT107="","",--(AT107='Codebook'!$F$39))</f>
        <v>1</v>
      </c>
      <c r="CM107" s="18">
        <f>IF(AU107="","",--(AU107='Codebook'!$F$40))</f>
        <v>0</v>
      </c>
      <c r="CN107" s="18">
        <f>IF(AV107="","",--(AV107='Codebook'!$F$41))</f>
        <v>0</v>
      </c>
      <c r="CO107" s="18">
        <f>IF(AW107="","",--(AW107='Codebook'!$F$42))</f>
        <v>0</v>
      </c>
      <c r="CP107" s="18">
        <f>IF(AX107="","",--(AX107='Codebook'!$F$43))</f>
        <v>0</v>
      </c>
      <c r="CQ107" s="18">
        <f>IF(AY107="","",--(AY107='Codebook'!$F$44))</f>
        <v>0</v>
      </c>
      <c r="CR107" s="18">
        <f>IF(AZ107="","",--(AZ107='Codebook'!$F$45))</f>
        <v>0</v>
      </c>
    </row>
    <row r="108" spans="2:96" ht="24" customHeight="1">
      <c r="B108" s="18">
        <v>103</v>
      </c>
      <c r="C108" s="23">
        <v>46284.69096944445</v>
      </c>
      <c r="D108" s="21" t="s">
        <v>268</v>
      </c>
      <c r="E108" s="21" t="s">
        <v>194</v>
      </c>
      <c r="F108" s="21" t="s">
        <v>195</v>
      </c>
      <c r="G108" s="17" t="s">
        <v>196</v>
      </c>
      <c r="H108" s="21" t="s">
        <v>197</v>
      </c>
      <c r="I108" s="18">
        <f>SUM(BL108:BU108)</f>
        <v>2</v>
      </c>
      <c r="J108" s="18">
        <f>IF(COUNT(BV108:CD108)=9,SUM(BV108:CD108),"")</f>
        <v>1</v>
      </c>
      <c r="K108" s="18">
        <f>SUM(BL108:CD108)</f>
        <v>3</v>
      </c>
      <c r="L108" s="18">
        <f>--(K108&gt;='Codebook'!$C$8)</f>
        <v>0</v>
      </c>
      <c r="M108" s="18">
        <f>--(COUNT(BL108:CD108)=19)</f>
        <v>1</v>
      </c>
      <c r="N108" s="18">
        <f>SUM(CE108:CL108)</f>
        <v>0</v>
      </c>
      <c r="O108" s="18">
        <f>SUM(CM108:CR108)</f>
        <v>1</v>
      </c>
      <c r="P108" s="18">
        <f>N108+O108</f>
        <v>1</v>
      </c>
      <c r="Q108" s="21" t="s">
        <v>207</v>
      </c>
      <c r="R108" s="17" t="s">
        <v>154</v>
      </c>
      <c r="S108" s="18">
        <f>--OR(Overview!$B$6="All",E108=Overview!$B$6)*--OR(Overview!$F$6="All",F108=Overview!$F$6)*--OR(Overview!$J$6="All",G108=Overview!$J$6)*--OR(Overview!$N$6="All",H108=Overview!$N$6)</f>
        <v>1</v>
      </c>
      <c r="T108" s="21" t="s">
        <v>22</v>
      </c>
      <c r="U108" s="21" t="s">
        <v>22</v>
      </c>
      <c r="V108" s="21" t="s">
        <v>22</v>
      </c>
      <c r="W108" s="21" t="s">
        <v>22</v>
      </c>
      <c r="X108" s="21" t="s">
        <v>26</v>
      </c>
      <c r="Y108" s="21" t="s">
        <v>198</v>
      </c>
      <c r="Z108" s="21" t="s">
        <v>198</v>
      </c>
      <c r="AA108" s="21" t="s">
        <v>198</v>
      </c>
      <c r="AB108" s="21" t="s">
        <v>198</v>
      </c>
      <c r="AC108" s="21" t="s">
        <v>198</v>
      </c>
      <c r="AD108" s="21" t="s">
        <v>198</v>
      </c>
      <c r="AE108" s="21" t="s">
        <v>198</v>
      </c>
      <c r="AF108" s="21" t="s">
        <v>198</v>
      </c>
      <c r="AG108" s="21" t="s">
        <v>198</v>
      </c>
      <c r="AH108" s="21" t="s">
        <v>198</v>
      </c>
      <c r="AI108" s="21" t="s">
        <v>198</v>
      </c>
      <c r="AJ108" s="21" t="s">
        <v>198</v>
      </c>
      <c r="AK108" s="21" t="s">
        <v>26</v>
      </c>
      <c r="AL108" s="21" t="s">
        <v>26</v>
      </c>
      <c r="AM108" s="21" t="s">
        <v>109</v>
      </c>
      <c r="AN108" s="21" t="s">
        <v>109</v>
      </c>
      <c r="AO108" s="21" t="s">
        <v>198</v>
      </c>
      <c r="AP108" s="21" t="s">
        <v>198</v>
      </c>
      <c r="AQ108" s="21" t="s">
        <v>198</v>
      </c>
      <c r="AR108" s="21" t="s">
        <v>198</v>
      </c>
      <c r="AS108" s="21" t="s">
        <v>198</v>
      </c>
      <c r="AT108" s="21" t="s">
        <v>198</v>
      </c>
      <c r="AU108" s="21" t="s">
        <v>198</v>
      </c>
      <c r="AV108" s="21" t="s">
        <v>198</v>
      </c>
      <c r="AW108" s="21" t="s">
        <v>198</v>
      </c>
      <c r="AX108" s="21" t="s">
        <v>198</v>
      </c>
      <c r="AY108" s="21" t="s">
        <v>198</v>
      </c>
      <c r="AZ108" s="21" t="s">
        <v>109</v>
      </c>
      <c r="BA108" s="17" t="s">
        <v>231</v>
      </c>
      <c r="BB108" s="17" t="s">
        <v>250</v>
      </c>
      <c r="BC108" s="18">
        <f>--ISNUMBER(SEARCH("Radio or television",BA108))</f>
        <v>0</v>
      </c>
      <c r="BD108" s="18">
        <f>--ISNUMBER(SEARCH("Newspapers or print media",BA108))</f>
        <v>0</v>
      </c>
      <c r="BE108" s="18">
        <f>--ISNUMBER(SEARCH("Social media (e.g. Facebook, WhatsApp, YouTube, X/Twitter)",BA108))</f>
        <v>1</v>
      </c>
      <c r="BF108" s="18">
        <f>--ISNUMBER(SEARCH("Family members",BA108))</f>
        <v>1</v>
      </c>
      <c r="BG108" s="18">
        <f>--ISNUMBER(SEARCH("Friends or fellow students",BA108))</f>
        <v>0</v>
      </c>
      <c r="BH108" s="18">
        <f>--ISNUMBER(SEARCH("School coursework or lectures",BA108))</f>
        <v>0</v>
      </c>
      <c r="BI108" s="18">
        <f>--ISNUMBER(SEARCH("NHIMA outreach activities or NHIMA offices",BA108))</f>
        <v>0</v>
      </c>
      <c r="BJ108" s="18">
        <f>--ISNUMBER(SEARCH("Health facility staff",BA108))</f>
        <v>0</v>
      </c>
      <c r="BK108" s="18">
        <f>--ISNUMBER(SEARCH("not received information",BA108))</f>
        <v>0</v>
      </c>
      <c r="BL108" s="18">
        <f>IF(T108="","",--(T108='Codebook'!$F$13))</f>
        <v>1</v>
      </c>
      <c r="BM108" s="18">
        <f>IF(U108="","",--(U108='Codebook'!$F$14))</f>
        <v>0</v>
      </c>
      <c r="BN108" s="18">
        <f>IF(V108="","",--(V108='Codebook'!$F$15))</f>
        <v>0</v>
      </c>
      <c r="BO108" s="18">
        <f>IF(W108="","",--(W108='Codebook'!$F$16))</f>
        <v>1</v>
      </c>
      <c r="BP108" s="18">
        <f>IF(X108="","",--(X108='Codebook'!$F$17))</f>
        <v>0</v>
      </c>
      <c r="BQ108" s="18">
        <f>IF(Y108="","",--(Y108='Codebook'!$F$18))</f>
        <v>0</v>
      </c>
      <c r="BR108" s="18">
        <f>IF(Z108="","",--(Z108='Codebook'!$F$19))</f>
        <v>0</v>
      </c>
      <c r="BS108" s="18">
        <f>IF(AA108="","",--(AA108='Codebook'!$F$20))</f>
        <v>0</v>
      </c>
      <c r="BT108" s="18">
        <f>IF(AB108="","",--(AB108='Codebook'!$F$21))</f>
        <v>0</v>
      </c>
      <c r="BU108" s="18">
        <f>IF(AC108="","",--(AC108='Codebook'!$F$22))</f>
        <v>0</v>
      </c>
      <c r="BV108" s="18">
        <f>IF(AD108="","",--(AD108='Codebook'!$F$23))</f>
        <v>0</v>
      </c>
      <c r="BW108" s="18">
        <f>IF(AE108="","",--(AE108='Codebook'!$F$24))</f>
        <v>0</v>
      </c>
      <c r="BX108" s="18">
        <f>IF(AF108="","",--(AF108='Codebook'!$F$25))</f>
        <v>0</v>
      </c>
      <c r="BY108" s="18">
        <f>IF(AG108="","",--(AG108='Codebook'!$F$26))</f>
        <v>0</v>
      </c>
      <c r="BZ108" s="18">
        <f>IF(AH108="","",--(AH108='Codebook'!$F$27))</f>
        <v>0</v>
      </c>
      <c r="CA108" s="18">
        <f>IF(AI108="","",--(AI108='Codebook'!$F$28))</f>
        <v>0</v>
      </c>
      <c r="CB108" s="18">
        <f>IF(AJ108="","",--(AJ108='Codebook'!$F$29))</f>
        <v>0</v>
      </c>
      <c r="CC108" s="18">
        <f>IF(AK108="","",--(AK108='Codebook'!$F$30))</f>
        <v>0</v>
      </c>
      <c r="CD108" s="18">
        <f>IF(AL108="","",--(AL108='Codebook'!$F$31))</f>
        <v>1</v>
      </c>
      <c r="CE108" s="18">
        <f>IF(AM108="","",--(AM108='Codebook'!$F$32))</f>
        <v>0</v>
      </c>
      <c r="CF108" s="18">
        <f>IF(AN108="","",--(AN108='Codebook'!$F$33))</f>
        <v>0</v>
      </c>
      <c r="CG108" s="18">
        <f>IF(AO108="","",--(AO108='Codebook'!$F$34))</f>
        <v>0</v>
      </c>
      <c r="CH108" s="18">
        <f>IF(AP108="","",--(AP108='Codebook'!$F$35))</f>
        <v>0</v>
      </c>
      <c r="CI108" s="18">
        <f>IF(AQ108="","",--(AQ108='Codebook'!$F$36))</f>
        <v>0</v>
      </c>
      <c r="CJ108" s="18">
        <f>IF(AR108="","",--(AR108='Codebook'!$F$37))</f>
        <v>0</v>
      </c>
      <c r="CK108" s="18">
        <f>IF(AS108="","",--(AS108='Codebook'!$F$38))</f>
        <v>0</v>
      </c>
      <c r="CL108" s="18">
        <f>IF(AT108="","",--(AT108='Codebook'!$F$39))</f>
        <v>0</v>
      </c>
      <c r="CM108" s="18">
        <f>IF(AU108="","",--(AU108='Codebook'!$F$40))</f>
        <v>0</v>
      </c>
      <c r="CN108" s="18">
        <f>IF(AV108="","",--(AV108='Codebook'!$F$41))</f>
        <v>0</v>
      </c>
      <c r="CO108" s="18">
        <f>IF(AW108="","",--(AW108='Codebook'!$F$42))</f>
        <v>0</v>
      </c>
      <c r="CP108" s="18">
        <f>IF(AX108="","",--(AX108='Codebook'!$F$43))</f>
        <v>0</v>
      </c>
      <c r="CQ108" s="18">
        <f>IF(AY108="","",--(AY108='Codebook'!$F$44))</f>
        <v>0</v>
      </c>
      <c r="CR108" s="18">
        <f>IF(AZ108="","",--(AZ108='Codebook'!$F$45))</f>
        <v>1</v>
      </c>
    </row>
    <row r="109" spans="2:96" ht="24" customHeight="1">
      <c r="B109" s="18">
        <v>104</v>
      </c>
      <c r="C109" s="23">
        <v>46284.6912777662</v>
      </c>
      <c r="D109" s="21" t="s">
        <v>268</v>
      </c>
      <c r="E109" s="21" t="s">
        <v>194</v>
      </c>
      <c r="F109" s="21" t="s">
        <v>201</v>
      </c>
      <c r="G109" s="17" t="s">
        <v>215</v>
      </c>
      <c r="H109" s="21" t="s">
        <v>207</v>
      </c>
      <c r="I109" s="18">
        <f>SUM(BL109:BU109)</f>
        <v>3</v>
      </c>
      <c r="J109" s="18">
        <f>IF(COUNT(BV109:CD109)=9,SUM(BV109:CD109),"")</f>
        <v>3</v>
      </c>
      <c r="K109" s="18">
        <f>SUM(BL109:CD109)</f>
        <v>6</v>
      </c>
      <c r="L109" s="18">
        <f>--(K109&gt;='Codebook'!$C$8)</f>
        <v>0</v>
      </c>
      <c r="M109" s="18">
        <f>--(COUNT(BL109:CD109)=19)</f>
        <v>1</v>
      </c>
      <c r="N109" s="18">
        <f>SUM(CE109:CL109)</f>
        <v>0</v>
      </c>
      <c r="O109" s="18">
        <f>SUM(CM109:CR109)</f>
        <v>0</v>
      </c>
      <c r="P109" s="18">
        <f>N109+O109</f>
        <v>0</v>
      </c>
      <c r="Q109" s="21" t="s">
        <v>197</v>
      </c>
      <c r="R109" s="17" t="s">
        <v>152</v>
      </c>
      <c r="S109" s="18">
        <f>--OR(Overview!$B$6="All",E109=Overview!$B$6)*--OR(Overview!$F$6="All",F109=Overview!$F$6)*--OR(Overview!$J$6="All",G109=Overview!$J$6)*--OR(Overview!$N$6="All",H109=Overview!$N$6)</f>
        <v>1</v>
      </c>
      <c r="T109" s="21" t="s">
        <v>22</v>
      </c>
      <c r="U109" s="21" t="s">
        <v>22</v>
      </c>
      <c r="V109" s="21" t="s">
        <v>198</v>
      </c>
      <c r="W109" s="21" t="s">
        <v>198</v>
      </c>
      <c r="X109" s="21" t="s">
        <v>26</v>
      </c>
      <c r="Y109" s="21" t="s">
        <v>22</v>
      </c>
      <c r="Z109" s="21" t="s">
        <v>22</v>
      </c>
      <c r="AA109" s="21" t="s">
        <v>198</v>
      </c>
      <c r="AB109" s="21" t="s">
        <v>22</v>
      </c>
      <c r="AC109" s="21" t="s">
        <v>22</v>
      </c>
      <c r="AD109" s="21" t="s">
        <v>22</v>
      </c>
      <c r="AE109" s="21" t="s">
        <v>198</v>
      </c>
      <c r="AF109" s="21" t="s">
        <v>22</v>
      </c>
      <c r="AG109" s="21" t="s">
        <v>22</v>
      </c>
      <c r="AH109" s="21" t="s">
        <v>198</v>
      </c>
      <c r="AI109" s="21" t="s">
        <v>198</v>
      </c>
      <c r="AJ109" s="21" t="s">
        <v>22</v>
      </c>
      <c r="AK109" s="21" t="s">
        <v>198</v>
      </c>
      <c r="AL109" s="21" t="s">
        <v>26</v>
      </c>
      <c r="AM109" s="21" t="s">
        <v>198</v>
      </c>
      <c r="AN109" s="21" t="s">
        <v>198</v>
      </c>
      <c r="AO109" s="21" t="s">
        <v>198</v>
      </c>
      <c r="AP109" s="21" t="s">
        <v>198</v>
      </c>
      <c r="AQ109" s="21" t="s">
        <v>198</v>
      </c>
      <c r="AR109" s="21" t="s">
        <v>198</v>
      </c>
      <c r="AS109" s="21" t="s">
        <v>198</v>
      </c>
      <c r="AT109" s="21" t="s">
        <v>198</v>
      </c>
      <c r="AU109" s="21" t="s">
        <v>198</v>
      </c>
      <c r="AV109" s="21" t="s">
        <v>198</v>
      </c>
      <c r="AW109" s="21" t="s">
        <v>198</v>
      </c>
      <c r="AX109" s="21" t="s">
        <v>198</v>
      </c>
      <c r="AY109" s="21" t="s">
        <v>198</v>
      </c>
      <c r="AZ109" s="21" t="s">
        <v>198</v>
      </c>
      <c r="BA109" s="17" t="s">
        <v>250</v>
      </c>
      <c r="BB109" s="17" t="s">
        <v>223</v>
      </c>
      <c r="BC109" s="18">
        <f>--ISNUMBER(SEARCH("Radio or television",BA109))</f>
        <v>0</v>
      </c>
      <c r="BD109" s="18">
        <f>--ISNUMBER(SEARCH("Newspapers or print media",BA109))</f>
        <v>0</v>
      </c>
      <c r="BE109" s="18">
        <f>--ISNUMBER(SEARCH("Social media (e.g. Facebook, WhatsApp, YouTube, X/Twitter)",BA109))</f>
        <v>1</v>
      </c>
      <c r="BF109" s="18">
        <f>--ISNUMBER(SEARCH("Family members",BA109))</f>
        <v>0</v>
      </c>
      <c r="BG109" s="18">
        <f>--ISNUMBER(SEARCH("Friends or fellow students",BA109))</f>
        <v>0</v>
      </c>
      <c r="BH109" s="18">
        <f>--ISNUMBER(SEARCH("School coursework or lectures",BA109))</f>
        <v>0</v>
      </c>
      <c r="BI109" s="18">
        <f>--ISNUMBER(SEARCH("NHIMA outreach activities or NHIMA offices",BA109))</f>
        <v>0</v>
      </c>
      <c r="BJ109" s="18">
        <f>--ISNUMBER(SEARCH("Health facility staff",BA109))</f>
        <v>0</v>
      </c>
      <c r="BK109" s="18">
        <f>--ISNUMBER(SEARCH("not received information",BA109))</f>
        <v>0</v>
      </c>
      <c r="BL109" s="18">
        <f>IF(T109="","",--(T109='Codebook'!$F$13))</f>
        <v>1</v>
      </c>
      <c r="BM109" s="18">
        <f>IF(U109="","",--(U109='Codebook'!$F$14))</f>
        <v>0</v>
      </c>
      <c r="BN109" s="18">
        <f>IF(V109="","",--(V109='Codebook'!$F$15))</f>
        <v>0</v>
      </c>
      <c r="BO109" s="18">
        <f>IF(W109="","",--(W109='Codebook'!$F$16))</f>
        <v>0</v>
      </c>
      <c r="BP109" s="18">
        <f>IF(X109="","",--(X109='Codebook'!$F$17))</f>
        <v>0</v>
      </c>
      <c r="BQ109" s="18">
        <f>IF(Y109="","",--(Y109='Codebook'!$F$18))</f>
        <v>0</v>
      </c>
      <c r="BR109" s="18">
        <f>IF(Z109="","",--(Z109='Codebook'!$F$19))</f>
        <v>1</v>
      </c>
      <c r="BS109" s="18">
        <f>IF(AA109="","",--(AA109='Codebook'!$F$20))</f>
        <v>0</v>
      </c>
      <c r="BT109" s="18">
        <f>IF(AB109="","",--(AB109='Codebook'!$F$21))</f>
        <v>0</v>
      </c>
      <c r="BU109" s="18">
        <f>IF(AC109="","",--(AC109='Codebook'!$F$22))</f>
        <v>1</v>
      </c>
      <c r="BV109" s="18">
        <f>IF(AD109="","",--(AD109='Codebook'!$F$23))</f>
        <v>1</v>
      </c>
      <c r="BW109" s="18">
        <f>IF(AE109="","",--(AE109='Codebook'!$F$24))</f>
        <v>0</v>
      </c>
      <c r="BX109" s="18">
        <f>IF(AF109="","",--(AF109='Codebook'!$F$25))</f>
        <v>0</v>
      </c>
      <c r="BY109" s="18">
        <f>IF(AG109="","",--(AG109='Codebook'!$F$26))</f>
        <v>1</v>
      </c>
      <c r="BZ109" s="18">
        <f>IF(AH109="","",--(AH109='Codebook'!$F$27))</f>
        <v>0</v>
      </c>
      <c r="CA109" s="18">
        <f>IF(AI109="","",--(AI109='Codebook'!$F$28))</f>
        <v>0</v>
      </c>
      <c r="CB109" s="18">
        <f>IF(AJ109="","",--(AJ109='Codebook'!$F$29))</f>
        <v>0</v>
      </c>
      <c r="CC109" s="18">
        <f>IF(AK109="","",--(AK109='Codebook'!$F$30))</f>
        <v>0</v>
      </c>
      <c r="CD109" s="18">
        <f>IF(AL109="","",--(AL109='Codebook'!$F$31))</f>
        <v>1</v>
      </c>
      <c r="CE109" s="18">
        <f>IF(AM109="","",--(AM109='Codebook'!$F$32))</f>
        <v>0</v>
      </c>
      <c r="CF109" s="18">
        <f>IF(AN109="","",--(AN109='Codebook'!$F$33))</f>
        <v>0</v>
      </c>
      <c r="CG109" s="18">
        <f>IF(AO109="","",--(AO109='Codebook'!$F$34))</f>
        <v>0</v>
      </c>
      <c r="CH109" s="18">
        <f>IF(AP109="","",--(AP109='Codebook'!$F$35))</f>
        <v>0</v>
      </c>
      <c r="CI109" s="18">
        <f>IF(AQ109="","",--(AQ109='Codebook'!$F$36))</f>
        <v>0</v>
      </c>
      <c r="CJ109" s="18">
        <f>IF(AR109="","",--(AR109='Codebook'!$F$37))</f>
        <v>0</v>
      </c>
      <c r="CK109" s="18">
        <f>IF(AS109="","",--(AS109='Codebook'!$F$38))</f>
        <v>0</v>
      </c>
      <c r="CL109" s="18">
        <f>IF(AT109="","",--(AT109='Codebook'!$F$39))</f>
        <v>0</v>
      </c>
      <c r="CM109" s="18">
        <f>IF(AU109="","",--(AU109='Codebook'!$F$40))</f>
        <v>0</v>
      </c>
      <c r="CN109" s="18">
        <f>IF(AV109="","",--(AV109='Codebook'!$F$41))</f>
        <v>0</v>
      </c>
      <c r="CO109" s="18">
        <f>IF(AW109="","",--(AW109='Codebook'!$F$42))</f>
        <v>0</v>
      </c>
      <c r="CP109" s="18">
        <f>IF(AX109="","",--(AX109='Codebook'!$F$43))</f>
        <v>0</v>
      </c>
      <c r="CQ109" s="18">
        <f>IF(AY109="","",--(AY109='Codebook'!$F$44))</f>
        <v>0</v>
      </c>
      <c r="CR109" s="18">
        <f>IF(AZ109="","",--(AZ109='Codebook'!$F$45))</f>
        <v>0</v>
      </c>
    </row>
    <row r="110" spans="2:96" ht="24" customHeight="1">
      <c r="B110" s="18">
        <v>105</v>
      </c>
      <c r="C110" s="23">
        <v>46284.69177699074</v>
      </c>
      <c r="D110" s="21" t="s">
        <v>268</v>
      </c>
      <c r="E110" s="21" t="s">
        <v>206</v>
      </c>
      <c r="F110" s="21" t="s">
        <v>195</v>
      </c>
      <c r="G110" s="17" t="s">
        <v>247</v>
      </c>
      <c r="H110" s="21" t="s">
        <v>197</v>
      </c>
      <c r="I110" s="18">
        <f>SUM(BL110:BU110)</f>
        <v>2</v>
      </c>
      <c r="J110" s="18">
        <f>IF(COUNT(BV110:CD110)=9,SUM(BV110:CD110),"")</f>
        <v>0</v>
      </c>
      <c r="K110" s="18">
        <f>SUM(BL110:CD110)</f>
        <v>2</v>
      </c>
      <c r="L110" s="18">
        <f>--(K110&gt;='Codebook'!$C$8)</f>
        <v>0</v>
      </c>
      <c r="M110" s="18">
        <f>--(COUNT(BL110:CD110)=19)</f>
        <v>1</v>
      </c>
      <c r="N110" s="18">
        <f>SUM(CE110:CL110)</f>
        <v>0</v>
      </c>
      <c r="O110" s="18">
        <f>SUM(CM110:CR110)</f>
        <v>0</v>
      </c>
      <c r="P110" s="18">
        <f>N110+O110</f>
        <v>0</v>
      </c>
      <c r="Q110" s="21" t="s">
        <v>197</v>
      </c>
      <c r="R110" s="17" t="s">
        <v>216</v>
      </c>
      <c r="S110" s="18">
        <f>--OR(Overview!$B$6="All",E110=Overview!$B$6)*--OR(Overview!$F$6="All",F110=Overview!$F$6)*--OR(Overview!$J$6="All",G110=Overview!$J$6)*--OR(Overview!$N$6="All",H110=Overview!$N$6)</f>
        <v>1</v>
      </c>
      <c r="T110" s="21" t="s">
        <v>22</v>
      </c>
      <c r="U110" s="21" t="s">
        <v>22</v>
      </c>
      <c r="V110" s="21" t="s">
        <v>26</v>
      </c>
      <c r="W110" s="21" t="s">
        <v>26</v>
      </c>
      <c r="X110" s="21" t="s">
        <v>198</v>
      </c>
      <c r="Y110" s="21" t="s">
        <v>198</v>
      </c>
      <c r="Z110" s="21" t="s">
        <v>198</v>
      </c>
      <c r="AA110" s="21" t="s">
        <v>198</v>
      </c>
      <c r="AB110" s="21" t="s">
        <v>198</v>
      </c>
      <c r="AC110" s="21" t="s">
        <v>198</v>
      </c>
      <c r="AD110" s="21" t="s">
        <v>198</v>
      </c>
      <c r="AE110" s="21" t="s">
        <v>198</v>
      </c>
      <c r="AF110" s="21" t="s">
        <v>198</v>
      </c>
      <c r="AG110" s="21" t="s">
        <v>198</v>
      </c>
      <c r="AH110" s="21" t="s">
        <v>198</v>
      </c>
      <c r="AI110" s="21" t="s">
        <v>198</v>
      </c>
      <c r="AJ110" s="21" t="s">
        <v>198</v>
      </c>
      <c r="AK110" s="21" t="s">
        <v>198</v>
      </c>
      <c r="AL110" s="21" t="s">
        <v>198</v>
      </c>
      <c r="AM110" s="21" t="s">
        <v>198</v>
      </c>
      <c r="AN110" s="21" t="s">
        <v>198</v>
      </c>
      <c r="AO110" s="21" t="s">
        <v>198</v>
      </c>
      <c r="AP110" s="21" t="s">
        <v>198</v>
      </c>
      <c r="AQ110" s="21" t="s">
        <v>198</v>
      </c>
      <c r="AR110" s="21" t="s">
        <v>198</v>
      </c>
      <c r="AS110" s="21" t="s">
        <v>198</v>
      </c>
      <c r="AT110" s="21" t="s">
        <v>198</v>
      </c>
      <c r="AU110" s="21" t="s">
        <v>198</v>
      </c>
      <c r="AV110" s="21" t="s">
        <v>198</v>
      </c>
      <c r="AW110" s="21" t="s">
        <v>198</v>
      </c>
      <c r="AX110" s="21" t="s">
        <v>198</v>
      </c>
      <c r="AY110" s="21" t="s">
        <v>198</v>
      </c>
      <c r="AZ110" s="21" t="s">
        <v>198</v>
      </c>
      <c r="BA110" s="17" t="s">
        <v>290</v>
      </c>
      <c r="BB110" s="17" t="s">
        <v>291</v>
      </c>
      <c r="BC110" s="18">
        <f>--ISNUMBER(SEARCH("Radio or television",BA110))</f>
        <v>0</v>
      </c>
      <c r="BD110" s="18">
        <f>--ISNUMBER(SEARCH("Newspapers or print media",BA110))</f>
        <v>0</v>
      </c>
      <c r="BE110" s="18">
        <f>--ISNUMBER(SEARCH("Social media (e.g. Facebook, WhatsApp, YouTube, X/Twitter)",BA110))</f>
        <v>0</v>
      </c>
      <c r="BF110" s="18">
        <f>--ISNUMBER(SEARCH("Family members",BA110))</f>
        <v>0</v>
      </c>
      <c r="BG110" s="18">
        <f>--ISNUMBER(SEARCH("Friends or fellow students",BA110))</f>
        <v>1</v>
      </c>
      <c r="BH110" s="18">
        <f>--ISNUMBER(SEARCH("School coursework or lectures",BA110))</f>
        <v>1</v>
      </c>
      <c r="BI110" s="18">
        <f>--ISNUMBER(SEARCH("NHIMA outreach activities or NHIMA offices",BA110))</f>
        <v>0</v>
      </c>
      <c r="BJ110" s="18">
        <f>--ISNUMBER(SEARCH("Health facility staff",BA110))</f>
        <v>0</v>
      </c>
      <c r="BK110" s="18">
        <f>--ISNUMBER(SEARCH("not received information",BA110))</f>
        <v>0</v>
      </c>
      <c r="BL110" s="18">
        <f>IF(T110="","",--(T110='Codebook'!$F$13))</f>
        <v>1</v>
      </c>
      <c r="BM110" s="18">
        <f>IF(U110="","",--(U110='Codebook'!$F$14))</f>
        <v>0</v>
      </c>
      <c r="BN110" s="18">
        <f>IF(V110="","",--(V110='Codebook'!$F$15))</f>
        <v>1</v>
      </c>
      <c r="BO110" s="18">
        <f>IF(W110="","",--(W110='Codebook'!$F$16))</f>
        <v>0</v>
      </c>
      <c r="BP110" s="18">
        <f>IF(X110="","",--(X110='Codebook'!$F$17))</f>
        <v>0</v>
      </c>
      <c r="BQ110" s="18">
        <f>IF(Y110="","",--(Y110='Codebook'!$F$18))</f>
        <v>0</v>
      </c>
      <c r="BR110" s="18">
        <f>IF(Z110="","",--(Z110='Codebook'!$F$19))</f>
        <v>0</v>
      </c>
      <c r="BS110" s="18">
        <f>IF(AA110="","",--(AA110='Codebook'!$F$20))</f>
        <v>0</v>
      </c>
      <c r="BT110" s="18">
        <f>IF(AB110="","",--(AB110='Codebook'!$F$21))</f>
        <v>0</v>
      </c>
      <c r="BU110" s="18">
        <f>IF(AC110="","",--(AC110='Codebook'!$F$22))</f>
        <v>0</v>
      </c>
      <c r="BV110" s="18">
        <f>IF(AD110="","",--(AD110='Codebook'!$F$23))</f>
        <v>0</v>
      </c>
      <c r="BW110" s="18">
        <f>IF(AE110="","",--(AE110='Codebook'!$F$24))</f>
        <v>0</v>
      </c>
      <c r="BX110" s="18">
        <f>IF(AF110="","",--(AF110='Codebook'!$F$25))</f>
        <v>0</v>
      </c>
      <c r="BY110" s="18">
        <f>IF(AG110="","",--(AG110='Codebook'!$F$26))</f>
        <v>0</v>
      </c>
      <c r="BZ110" s="18">
        <f>IF(AH110="","",--(AH110='Codebook'!$F$27))</f>
        <v>0</v>
      </c>
      <c r="CA110" s="18">
        <f>IF(AI110="","",--(AI110='Codebook'!$F$28))</f>
        <v>0</v>
      </c>
      <c r="CB110" s="18">
        <f>IF(AJ110="","",--(AJ110='Codebook'!$F$29))</f>
        <v>0</v>
      </c>
      <c r="CC110" s="18">
        <f>IF(AK110="","",--(AK110='Codebook'!$F$30))</f>
        <v>0</v>
      </c>
      <c r="CD110" s="18">
        <f>IF(AL110="","",--(AL110='Codebook'!$F$31))</f>
        <v>0</v>
      </c>
      <c r="CE110" s="18">
        <f>IF(AM110="","",--(AM110='Codebook'!$F$32))</f>
        <v>0</v>
      </c>
      <c r="CF110" s="18">
        <f>IF(AN110="","",--(AN110='Codebook'!$F$33))</f>
        <v>0</v>
      </c>
      <c r="CG110" s="18">
        <f>IF(AO110="","",--(AO110='Codebook'!$F$34))</f>
        <v>0</v>
      </c>
      <c r="CH110" s="18">
        <f>IF(AP110="","",--(AP110='Codebook'!$F$35))</f>
        <v>0</v>
      </c>
      <c r="CI110" s="18">
        <f>IF(AQ110="","",--(AQ110='Codebook'!$F$36))</f>
        <v>0</v>
      </c>
      <c r="CJ110" s="18">
        <f>IF(AR110="","",--(AR110='Codebook'!$F$37))</f>
        <v>0</v>
      </c>
      <c r="CK110" s="18">
        <f>IF(AS110="","",--(AS110='Codebook'!$F$38))</f>
        <v>0</v>
      </c>
      <c r="CL110" s="18">
        <f>IF(AT110="","",--(AT110='Codebook'!$F$39))</f>
        <v>0</v>
      </c>
      <c r="CM110" s="18">
        <f>IF(AU110="","",--(AU110='Codebook'!$F$40))</f>
        <v>0</v>
      </c>
      <c r="CN110" s="18">
        <f>IF(AV110="","",--(AV110='Codebook'!$F$41))</f>
        <v>0</v>
      </c>
      <c r="CO110" s="18">
        <f>IF(AW110="","",--(AW110='Codebook'!$F$42))</f>
        <v>0</v>
      </c>
      <c r="CP110" s="18">
        <f>IF(AX110="","",--(AX110='Codebook'!$F$43))</f>
        <v>0</v>
      </c>
      <c r="CQ110" s="18">
        <f>IF(AY110="","",--(AY110='Codebook'!$F$44))</f>
        <v>0</v>
      </c>
      <c r="CR110" s="18">
        <f>IF(AZ110="","",--(AZ110='Codebook'!$F$45))</f>
        <v>0</v>
      </c>
    </row>
    <row r="111" spans="2:96" ht="24" customHeight="1">
      <c r="B111" s="18">
        <v>106</v>
      </c>
      <c r="C111" s="23">
        <v>46284.69223077546</v>
      </c>
      <c r="D111" s="21" t="s">
        <v>275</v>
      </c>
      <c r="E111" s="21" t="s">
        <v>194</v>
      </c>
      <c r="F111" s="21" t="s">
        <v>226</v>
      </c>
      <c r="G111" s="17" t="s">
        <v>224</v>
      </c>
      <c r="H111" s="21" t="s">
        <v>197</v>
      </c>
      <c r="I111" s="18">
        <f>SUM(BL111:BU111)</f>
        <v>6</v>
      </c>
      <c r="J111" s="18">
        <f>IF(COUNT(BV111:CD111)=9,SUM(BV111:CD111),"")</f>
        <v>2</v>
      </c>
      <c r="K111" s="18">
        <f>SUM(BL111:CD111)</f>
        <v>8</v>
      </c>
      <c r="L111" s="18">
        <f>--(K111&gt;='Codebook'!$C$8)</f>
        <v>0</v>
      </c>
      <c r="M111" s="18">
        <f>--(COUNT(BL111:CD111)=19)</f>
        <v>1</v>
      </c>
      <c r="N111" s="18">
        <f>SUM(CE111:CL111)</f>
        <v>6</v>
      </c>
      <c r="O111" s="18">
        <f>SUM(CM111:CR111)</f>
        <v>3</v>
      </c>
      <c r="P111" s="18">
        <f>N111+O111</f>
        <v>9</v>
      </c>
      <c r="Q111" s="21" t="s">
        <v>197</v>
      </c>
      <c r="R111" s="17" t="s">
        <v>153</v>
      </c>
      <c r="S111" s="18">
        <f>--OR(Overview!$B$6="All",E111=Overview!$B$6)*--OR(Overview!$F$6="All",F111=Overview!$F$6)*--OR(Overview!$J$6="All",G111=Overview!$J$6)*--OR(Overview!$N$6="All",H111=Overview!$N$6)</f>
        <v>1</v>
      </c>
      <c r="T111" s="21" t="s">
        <v>22</v>
      </c>
      <c r="U111" s="21" t="s">
        <v>22</v>
      </c>
      <c r="V111" s="21" t="s">
        <v>22</v>
      </c>
      <c r="W111" s="21" t="s">
        <v>22</v>
      </c>
      <c r="X111" s="21" t="s">
        <v>22</v>
      </c>
      <c r="Y111" s="21" t="s">
        <v>22</v>
      </c>
      <c r="Z111" s="21" t="s">
        <v>22</v>
      </c>
      <c r="AA111" s="21" t="s">
        <v>22</v>
      </c>
      <c r="AB111" s="21" t="s">
        <v>26</v>
      </c>
      <c r="AC111" s="21" t="s">
        <v>26</v>
      </c>
      <c r="AD111" s="21" t="s">
        <v>198</v>
      </c>
      <c r="AE111" s="21" t="s">
        <v>198</v>
      </c>
      <c r="AF111" s="21" t="s">
        <v>198</v>
      </c>
      <c r="AG111" s="21" t="s">
        <v>22</v>
      </c>
      <c r="AH111" s="21" t="s">
        <v>26</v>
      </c>
      <c r="AI111" s="21" t="s">
        <v>26</v>
      </c>
      <c r="AJ111" s="21" t="s">
        <v>198</v>
      </c>
      <c r="AK111" s="21" t="s">
        <v>198</v>
      </c>
      <c r="AL111" s="21" t="s">
        <v>198</v>
      </c>
      <c r="AM111" s="21" t="s">
        <v>198</v>
      </c>
      <c r="AN111" s="21" t="s">
        <v>83</v>
      </c>
      <c r="AO111" s="21" t="s">
        <v>83</v>
      </c>
      <c r="AP111" s="21" t="s">
        <v>83</v>
      </c>
      <c r="AQ111" s="21" t="s">
        <v>83</v>
      </c>
      <c r="AR111" s="21" t="s">
        <v>109</v>
      </c>
      <c r="AS111" s="21" t="s">
        <v>83</v>
      </c>
      <c r="AT111" s="21" t="s">
        <v>83</v>
      </c>
      <c r="AU111" s="21" t="s">
        <v>83</v>
      </c>
      <c r="AV111" s="21" t="s">
        <v>109</v>
      </c>
      <c r="AW111" s="21" t="s">
        <v>83</v>
      </c>
      <c r="AX111" s="21" t="s">
        <v>109</v>
      </c>
      <c r="AY111" s="21" t="s">
        <v>109</v>
      </c>
      <c r="AZ111" s="21" t="s">
        <v>198</v>
      </c>
      <c r="BA111" s="17" t="s">
        <v>231</v>
      </c>
      <c r="BB111" s="17" t="s">
        <v>277</v>
      </c>
      <c r="BC111" s="18">
        <f>--ISNUMBER(SEARCH("Radio or television",BA111))</f>
        <v>0</v>
      </c>
      <c r="BD111" s="18">
        <f>--ISNUMBER(SEARCH("Newspapers or print media",BA111))</f>
        <v>0</v>
      </c>
      <c r="BE111" s="18">
        <f>--ISNUMBER(SEARCH("Social media (e.g. Facebook, WhatsApp, YouTube, X/Twitter)",BA111))</f>
        <v>1</v>
      </c>
      <c r="BF111" s="18">
        <f>--ISNUMBER(SEARCH("Family members",BA111))</f>
        <v>1</v>
      </c>
      <c r="BG111" s="18">
        <f>--ISNUMBER(SEARCH("Friends or fellow students",BA111))</f>
        <v>0</v>
      </c>
      <c r="BH111" s="18">
        <f>--ISNUMBER(SEARCH("School coursework or lectures",BA111))</f>
        <v>0</v>
      </c>
      <c r="BI111" s="18">
        <f>--ISNUMBER(SEARCH("NHIMA outreach activities or NHIMA offices",BA111))</f>
        <v>0</v>
      </c>
      <c r="BJ111" s="18">
        <f>--ISNUMBER(SEARCH("Health facility staff",BA111))</f>
        <v>0</v>
      </c>
      <c r="BK111" s="18">
        <f>--ISNUMBER(SEARCH("not received information",BA111))</f>
        <v>0</v>
      </c>
      <c r="BL111" s="18">
        <f>IF(T111="","",--(T111='Codebook'!$F$13))</f>
        <v>1</v>
      </c>
      <c r="BM111" s="18">
        <f>IF(U111="","",--(U111='Codebook'!$F$14))</f>
        <v>0</v>
      </c>
      <c r="BN111" s="18">
        <f>IF(V111="","",--(V111='Codebook'!$F$15))</f>
        <v>0</v>
      </c>
      <c r="BO111" s="18">
        <f>IF(W111="","",--(W111='Codebook'!$F$16))</f>
        <v>1</v>
      </c>
      <c r="BP111" s="18">
        <f>IF(X111="","",--(X111='Codebook'!$F$17))</f>
        <v>1</v>
      </c>
      <c r="BQ111" s="18">
        <f>IF(Y111="","",--(Y111='Codebook'!$F$18))</f>
        <v>0</v>
      </c>
      <c r="BR111" s="18">
        <f>IF(Z111="","",--(Z111='Codebook'!$F$19))</f>
        <v>1</v>
      </c>
      <c r="BS111" s="18">
        <f>IF(AA111="","",--(AA111='Codebook'!$F$20))</f>
        <v>1</v>
      </c>
      <c r="BT111" s="18">
        <f>IF(AB111="","",--(AB111='Codebook'!$F$21))</f>
        <v>1</v>
      </c>
      <c r="BU111" s="18">
        <f>IF(AC111="","",--(AC111='Codebook'!$F$22))</f>
        <v>0</v>
      </c>
      <c r="BV111" s="18">
        <f>IF(AD111="","",--(AD111='Codebook'!$F$23))</f>
        <v>0</v>
      </c>
      <c r="BW111" s="18">
        <f>IF(AE111="","",--(AE111='Codebook'!$F$24))</f>
        <v>0</v>
      </c>
      <c r="BX111" s="18">
        <f>IF(AF111="","",--(AF111='Codebook'!$F$25))</f>
        <v>0</v>
      </c>
      <c r="BY111" s="18">
        <f>IF(AG111="","",--(AG111='Codebook'!$F$26))</f>
        <v>1</v>
      </c>
      <c r="BZ111" s="18">
        <f>IF(AH111="","",--(AH111='Codebook'!$F$27))</f>
        <v>0</v>
      </c>
      <c r="CA111" s="18">
        <f>IF(AI111="","",--(AI111='Codebook'!$F$28))</f>
        <v>1</v>
      </c>
      <c r="CB111" s="18">
        <f>IF(AJ111="","",--(AJ111='Codebook'!$F$29))</f>
        <v>0</v>
      </c>
      <c r="CC111" s="18">
        <f>IF(AK111="","",--(AK111='Codebook'!$F$30))</f>
        <v>0</v>
      </c>
      <c r="CD111" s="18">
        <f>IF(AL111="","",--(AL111='Codebook'!$F$31))</f>
        <v>0</v>
      </c>
      <c r="CE111" s="18">
        <f>IF(AM111="","",--(AM111='Codebook'!$F$32))</f>
        <v>0</v>
      </c>
      <c r="CF111" s="18">
        <f>IF(AN111="","",--(AN111='Codebook'!$F$33))</f>
        <v>1</v>
      </c>
      <c r="CG111" s="18">
        <f>IF(AO111="","",--(AO111='Codebook'!$F$34))</f>
        <v>1</v>
      </c>
      <c r="CH111" s="18">
        <f>IF(AP111="","",--(AP111='Codebook'!$F$35))</f>
        <v>1</v>
      </c>
      <c r="CI111" s="18">
        <f>IF(AQ111="","",--(AQ111='Codebook'!$F$36))</f>
        <v>1</v>
      </c>
      <c r="CJ111" s="18">
        <f>IF(AR111="","",--(AR111='Codebook'!$F$37))</f>
        <v>0</v>
      </c>
      <c r="CK111" s="18">
        <f>IF(AS111="","",--(AS111='Codebook'!$F$38))</f>
        <v>1</v>
      </c>
      <c r="CL111" s="18">
        <f>IF(AT111="","",--(AT111='Codebook'!$F$39))</f>
        <v>1</v>
      </c>
      <c r="CM111" s="18">
        <f>IF(AU111="","",--(AU111='Codebook'!$F$40))</f>
        <v>0</v>
      </c>
      <c r="CN111" s="18">
        <f>IF(AV111="","",--(AV111='Codebook'!$F$41))</f>
        <v>1</v>
      </c>
      <c r="CO111" s="18">
        <f>IF(AW111="","",--(AW111='Codebook'!$F$42))</f>
        <v>0</v>
      </c>
      <c r="CP111" s="18">
        <f>IF(AX111="","",--(AX111='Codebook'!$F$43))</f>
        <v>1</v>
      </c>
      <c r="CQ111" s="18">
        <f>IF(AY111="","",--(AY111='Codebook'!$F$44))</f>
        <v>1</v>
      </c>
      <c r="CR111" s="18">
        <f>IF(AZ111="","",--(AZ111='Codebook'!$F$45))</f>
        <v>0</v>
      </c>
    </row>
    <row r="112" spans="2:96" ht="24" customHeight="1">
      <c r="B112" s="18">
        <v>107</v>
      </c>
      <c r="C112" s="23">
        <v>46284.69253434028</v>
      </c>
      <c r="D112" s="21" t="s">
        <v>275</v>
      </c>
      <c r="E112" s="21" t="s">
        <v>206</v>
      </c>
      <c r="F112" s="21" t="s">
        <v>195</v>
      </c>
      <c r="G112" s="17" t="s">
        <v>224</v>
      </c>
      <c r="H112" s="21" t="s">
        <v>197</v>
      </c>
      <c r="I112" s="18">
        <f>SUM(BL112:BU112)</f>
        <v>5</v>
      </c>
      <c r="J112" s="18">
        <f>IF(COUNT(BV112:CD112)=9,SUM(BV112:CD112),"")</f>
        <v>0</v>
      </c>
      <c r="K112" s="18">
        <f>SUM(BL112:CD112)</f>
        <v>5</v>
      </c>
      <c r="L112" s="18">
        <f>--(K112&gt;='Codebook'!$C$8)</f>
        <v>0</v>
      </c>
      <c r="M112" s="18">
        <f>--(COUNT(BL112:CD112)=19)</f>
        <v>1</v>
      </c>
      <c r="N112" s="18">
        <f>SUM(CE112:CL112)</f>
        <v>0</v>
      </c>
      <c r="O112" s="18">
        <f>SUM(CM112:CR112)</f>
        <v>2</v>
      </c>
      <c r="P112" s="18">
        <f>N112+O112</f>
        <v>2</v>
      </c>
      <c r="Q112" s="21" t="s">
        <v>197</v>
      </c>
      <c r="R112" s="17" t="s">
        <v>153</v>
      </c>
      <c r="S112" s="18">
        <f>--OR(Overview!$B$6="All",E112=Overview!$B$6)*--OR(Overview!$F$6="All",F112=Overview!$F$6)*--OR(Overview!$J$6="All",G112=Overview!$J$6)*--OR(Overview!$N$6="All",H112=Overview!$N$6)</f>
        <v>1</v>
      </c>
      <c r="T112" s="21" t="s">
        <v>22</v>
      </c>
      <c r="U112" s="21" t="s">
        <v>22</v>
      </c>
      <c r="V112" s="21" t="s">
        <v>22</v>
      </c>
      <c r="W112" s="21" t="s">
        <v>22</v>
      </c>
      <c r="X112" s="21" t="s">
        <v>22</v>
      </c>
      <c r="Y112" s="21" t="s">
        <v>22</v>
      </c>
      <c r="Z112" s="21" t="s">
        <v>22</v>
      </c>
      <c r="AA112" s="21" t="s">
        <v>22</v>
      </c>
      <c r="AB112" s="21" t="s">
        <v>198</v>
      </c>
      <c r="AC112" s="21" t="s">
        <v>198</v>
      </c>
      <c r="AD112" s="21" t="s">
        <v>198</v>
      </c>
      <c r="AE112" s="21" t="s">
        <v>198</v>
      </c>
      <c r="AF112" s="21" t="s">
        <v>198</v>
      </c>
      <c r="AG112" s="21" t="s">
        <v>198</v>
      </c>
      <c r="AH112" s="21" t="s">
        <v>198</v>
      </c>
      <c r="AI112" s="21" t="s">
        <v>198</v>
      </c>
      <c r="AJ112" s="21" t="s">
        <v>198</v>
      </c>
      <c r="AK112" s="21" t="s">
        <v>198</v>
      </c>
      <c r="AL112" s="21" t="s">
        <v>198</v>
      </c>
      <c r="AM112" s="21" t="s">
        <v>198</v>
      </c>
      <c r="AN112" s="21" t="s">
        <v>198</v>
      </c>
      <c r="AO112" s="21" t="s">
        <v>198</v>
      </c>
      <c r="AP112" s="21" t="s">
        <v>198</v>
      </c>
      <c r="AQ112" s="21" t="s">
        <v>198</v>
      </c>
      <c r="AR112" s="21" t="s">
        <v>198</v>
      </c>
      <c r="AS112" s="21" t="s">
        <v>198</v>
      </c>
      <c r="AT112" s="21" t="s">
        <v>198</v>
      </c>
      <c r="AU112" s="21" t="s">
        <v>198</v>
      </c>
      <c r="AV112" s="21" t="s">
        <v>198</v>
      </c>
      <c r="AW112" s="21" t="s">
        <v>109</v>
      </c>
      <c r="AX112" s="21" t="s">
        <v>198</v>
      </c>
      <c r="AY112" s="21" t="s">
        <v>198</v>
      </c>
      <c r="AZ112" s="21" t="s">
        <v>109</v>
      </c>
      <c r="BA112" s="17" t="s">
        <v>250</v>
      </c>
      <c r="BB112" s="17" t="s">
        <v>277</v>
      </c>
      <c r="BC112" s="18">
        <f>--ISNUMBER(SEARCH("Radio or television",BA112))</f>
        <v>0</v>
      </c>
      <c r="BD112" s="18">
        <f>--ISNUMBER(SEARCH("Newspapers or print media",BA112))</f>
        <v>0</v>
      </c>
      <c r="BE112" s="18">
        <f>--ISNUMBER(SEARCH("Social media (e.g. Facebook, WhatsApp, YouTube, X/Twitter)",BA112))</f>
        <v>1</v>
      </c>
      <c r="BF112" s="18">
        <f>--ISNUMBER(SEARCH("Family members",BA112))</f>
        <v>0</v>
      </c>
      <c r="BG112" s="18">
        <f>--ISNUMBER(SEARCH("Friends or fellow students",BA112))</f>
        <v>0</v>
      </c>
      <c r="BH112" s="18">
        <f>--ISNUMBER(SEARCH("School coursework or lectures",BA112))</f>
        <v>0</v>
      </c>
      <c r="BI112" s="18">
        <f>--ISNUMBER(SEARCH("NHIMA outreach activities or NHIMA offices",BA112))</f>
        <v>0</v>
      </c>
      <c r="BJ112" s="18">
        <f>--ISNUMBER(SEARCH("Health facility staff",BA112))</f>
        <v>0</v>
      </c>
      <c r="BK112" s="18">
        <f>--ISNUMBER(SEARCH("not received information",BA112))</f>
        <v>0</v>
      </c>
      <c r="BL112" s="18">
        <f>IF(T112="","",--(T112='Codebook'!$F$13))</f>
        <v>1</v>
      </c>
      <c r="BM112" s="18">
        <f>IF(U112="","",--(U112='Codebook'!$F$14))</f>
        <v>0</v>
      </c>
      <c r="BN112" s="18">
        <f>IF(V112="","",--(V112='Codebook'!$F$15))</f>
        <v>0</v>
      </c>
      <c r="BO112" s="18">
        <f>IF(W112="","",--(W112='Codebook'!$F$16))</f>
        <v>1</v>
      </c>
      <c r="BP112" s="18">
        <f>IF(X112="","",--(X112='Codebook'!$F$17))</f>
        <v>1</v>
      </c>
      <c r="BQ112" s="18">
        <f>IF(Y112="","",--(Y112='Codebook'!$F$18))</f>
        <v>0</v>
      </c>
      <c r="BR112" s="18">
        <f>IF(Z112="","",--(Z112='Codebook'!$F$19))</f>
        <v>1</v>
      </c>
      <c r="BS112" s="18">
        <f>IF(AA112="","",--(AA112='Codebook'!$F$20))</f>
        <v>1</v>
      </c>
      <c r="BT112" s="18">
        <f>IF(AB112="","",--(AB112='Codebook'!$F$21))</f>
        <v>0</v>
      </c>
      <c r="BU112" s="18">
        <f>IF(AC112="","",--(AC112='Codebook'!$F$22))</f>
        <v>0</v>
      </c>
      <c r="BV112" s="18">
        <f>IF(AD112="","",--(AD112='Codebook'!$F$23))</f>
        <v>0</v>
      </c>
      <c r="BW112" s="18">
        <f>IF(AE112="","",--(AE112='Codebook'!$F$24))</f>
        <v>0</v>
      </c>
      <c r="BX112" s="18">
        <f>IF(AF112="","",--(AF112='Codebook'!$F$25))</f>
        <v>0</v>
      </c>
      <c r="BY112" s="18">
        <f>IF(AG112="","",--(AG112='Codebook'!$F$26))</f>
        <v>0</v>
      </c>
      <c r="BZ112" s="18">
        <f>IF(AH112="","",--(AH112='Codebook'!$F$27))</f>
        <v>0</v>
      </c>
      <c r="CA112" s="18">
        <f>IF(AI112="","",--(AI112='Codebook'!$F$28))</f>
        <v>0</v>
      </c>
      <c r="CB112" s="18">
        <f>IF(AJ112="","",--(AJ112='Codebook'!$F$29))</f>
        <v>0</v>
      </c>
      <c r="CC112" s="18">
        <f>IF(AK112="","",--(AK112='Codebook'!$F$30))</f>
        <v>0</v>
      </c>
      <c r="CD112" s="18">
        <f>IF(AL112="","",--(AL112='Codebook'!$F$31))</f>
        <v>0</v>
      </c>
      <c r="CE112" s="18">
        <f>IF(AM112="","",--(AM112='Codebook'!$F$32))</f>
        <v>0</v>
      </c>
      <c r="CF112" s="18">
        <f>IF(AN112="","",--(AN112='Codebook'!$F$33))</f>
        <v>0</v>
      </c>
      <c r="CG112" s="18">
        <f>IF(AO112="","",--(AO112='Codebook'!$F$34))</f>
        <v>0</v>
      </c>
      <c r="CH112" s="18">
        <f>IF(AP112="","",--(AP112='Codebook'!$F$35))</f>
        <v>0</v>
      </c>
      <c r="CI112" s="18">
        <f>IF(AQ112="","",--(AQ112='Codebook'!$F$36))</f>
        <v>0</v>
      </c>
      <c r="CJ112" s="18">
        <f>IF(AR112="","",--(AR112='Codebook'!$F$37))</f>
        <v>0</v>
      </c>
      <c r="CK112" s="18">
        <f>IF(AS112="","",--(AS112='Codebook'!$F$38))</f>
        <v>0</v>
      </c>
      <c r="CL112" s="18">
        <f>IF(AT112="","",--(AT112='Codebook'!$F$39))</f>
        <v>0</v>
      </c>
      <c r="CM112" s="18">
        <f>IF(AU112="","",--(AU112='Codebook'!$F$40))</f>
        <v>0</v>
      </c>
      <c r="CN112" s="18">
        <f>IF(AV112="","",--(AV112='Codebook'!$F$41))</f>
        <v>0</v>
      </c>
      <c r="CO112" s="18">
        <f>IF(AW112="","",--(AW112='Codebook'!$F$42))</f>
        <v>1</v>
      </c>
      <c r="CP112" s="18">
        <f>IF(AX112="","",--(AX112='Codebook'!$F$43))</f>
        <v>0</v>
      </c>
      <c r="CQ112" s="18">
        <f>IF(AY112="","",--(AY112='Codebook'!$F$44))</f>
        <v>0</v>
      </c>
      <c r="CR112" s="18">
        <f>IF(AZ112="","",--(AZ112='Codebook'!$F$45))</f>
        <v>1</v>
      </c>
    </row>
    <row r="113" spans="2:96" ht="24" customHeight="1">
      <c r="B113" s="18">
        <v>108</v>
      </c>
      <c r="C113" s="23">
        <v>46284.69318226852</v>
      </c>
      <c r="D113" s="21" t="s">
        <v>268</v>
      </c>
      <c r="E113" s="21" t="s">
        <v>206</v>
      </c>
      <c r="F113" s="21" t="s">
        <v>201</v>
      </c>
      <c r="G113" s="17" t="s">
        <v>202</v>
      </c>
      <c r="H113" s="21" t="s">
        <v>207</v>
      </c>
      <c r="I113" s="18">
        <f>SUM(BL113:BU113)</f>
        <v>1</v>
      </c>
      <c r="J113" s="18">
        <f>IF(COUNT(BV113:CD113)=9,SUM(BV113:CD113),"")</f>
        <v>0</v>
      </c>
      <c r="K113" s="18">
        <f>SUM(BL113:CD113)</f>
        <v>1</v>
      </c>
      <c r="L113" s="18">
        <f>--(K113&gt;='Codebook'!$C$8)</f>
        <v>0</v>
      </c>
      <c r="M113" s="18">
        <f>--(COUNT(BL113:CD113)=19)</f>
        <v>1</v>
      </c>
      <c r="N113" s="18">
        <f>SUM(CE113:CL113)</f>
        <v>0</v>
      </c>
      <c r="O113" s="18">
        <f>SUM(CM113:CR113)</f>
        <v>1</v>
      </c>
      <c r="P113" s="18">
        <f>N113+O113</f>
        <v>1</v>
      </c>
      <c r="Q113" s="21" t="s">
        <v>197</v>
      </c>
      <c r="R113" s="17" t="s">
        <v>154</v>
      </c>
      <c r="S113" s="18">
        <f>--OR(Overview!$B$6="All",E113=Overview!$B$6)*--OR(Overview!$F$6="All",F113=Overview!$F$6)*--OR(Overview!$J$6="All",G113=Overview!$J$6)*--OR(Overview!$N$6="All",H113=Overview!$N$6)</f>
        <v>1</v>
      </c>
      <c r="T113" s="21" t="s">
        <v>22</v>
      </c>
      <c r="U113" s="21" t="s">
        <v>22</v>
      </c>
      <c r="V113" s="21" t="s">
        <v>198</v>
      </c>
      <c r="W113" s="21" t="s">
        <v>198</v>
      </c>
      <c r="X113" s="21" t="s">
        <v>198</v>
      </c>
      <c r="Y113" s="21" t="s">
        <v>198</v>
      </c>
      <c r="Z113" s="21" t="s">
        <v>198</v>
      </c>
      <c r="AA113" s="21" t="s">
        <v>198</v>
      </c>
      <c r="AB113" s="21" t="s">
        <v>198</v>
      </c>
      <c r="AC113" s="21" t="s">
        <v>198</v>
      </c>
      <c r="AD113" s="21" t="s">
        <v>198</v>
      </c>
      <c r="AE113" s="21" t="s">
        <v>198</v>
      </c>
      <c r="AF113" s="21" t="s">
        <v>198</v>
      </c>
      <c r="AG113" s="21" t="s">
        <v>198</v>
      </c>
      <c r="AH113" s="21" t="s">
        <v>198</v>
      </c>
      <c r="AI113" s="21" t="s">
        <v>198</v>
      </c>
      <c r="AJ113" s="21" t="s">
        <v>198</v>
      </c>
      <c r="AK113" s="21" t="s">
        <v>198</v>
      </c>
      <c r="AL113" s="21" t="s">
        <v>198</v>
      </c>
      <c r="AM113" s="21" t="s">
        <v>198</v>
      </c>
      <c r="AN113" s="21" t="s">
        <v>198</v>
      </c>
      <c r="AO113" s="21" t="s">
        <v>198</v>
      </c>
      <c r="AP113" s="21" t="s">
        <v>198</v>
      </c>
      <c r="AQ113" s="21" t="s">
        <v>198</v>
      </c>
      <c r="AR113" s="21" t="s">
        <v>198</v>
      </c>
      <c r="AS113" s="21" t="s">
        <v>198</v>
      </c>
      <c r="AT113" s="21" t="s">
        <v>198</v>
      </c>
      <c r="AU113" s="21" t="s">
        <v>109</v>
      </c>
      <c r="AV113" s="21" t="s">
        <v>198</v>
      </c>
      <c r="AW113" s="21" t="s">
        <v>198</v>
      </c>
      <c r="AX113" s="21" t="s">
        <v>198</v>
      </c>
      <c r="AY113" s="21" t="s">
        <v>198</v>
      </c>
      <c r="AZ113" s="21" t="s">
        <v>198</v>
      </c>
      <c r="BA113" s="17" t="s">
        <v>223</v>
      </c>
      <c r="BB113" s="17" t="s">
        <v>250</v>
      </c>
      <c r="BC113" s="18">
        <f>--ISNUMBER(SEARCH("Radio or television",BA113))</f>
        <v>1</v>
      </c>
      <c r="BD113" s="18">
        <f>--ISNUMBER(SEARCH("Newspapers or print media",BA113))</f>
        <v>0</v>
      </c>
      <c r="BE113" s="18">
        <f>--ISNUMBER(SEARCH("Social media (e.g. Facebook, WhatsApp, YouTube, X/Twitter)",BA113))</f>
        <v>0</v>
      </c>
      <c r="BF113" s="18">
        <f>--ISNUMBER(SEARCH("Family members",BA113))</f>
        <v>0</v>
      </c>
      <c r="BG113" s="18">
        <f>--ISNUMBER(SEARCH("Friends or fellow students",BA113))</f>
        <v>0</v>
      </c>
      <c r="BH113" s="18">
        <f>--ISNUMBER(SEARCH("School coursework or lectures",BA113))</f>
        <v>0</v>
      </c>
      <c r="BI113" s="18">
        <f>--ISNUMBER(SEARCH("NHIMA outreach activities or NHIMA offices",BA113))</f>
        <v>0</v>
      </c>
      <c r="BJ113" s="18">
        <f>--ISNUMBER(SEARCH("Health facility staff",BA113))</f>
        <v>0</v>
      </c>
      <c r="BK113" s="18">
        <f>--ISNUMBER(SEARCH("not received information",BA113))</f>
        <v>0</v>
      </c>
      <c r="BL113" s="18">
        <f>IF(T113="","",--(T113='Codebook'!$F$13))</f>
        <v>1</v>
      </c>
      <c r="BM113" s="18">
        <f>IF(U113="","",--(U113='Codebook'!$F$14))</f>
        <v>0</v>
      </c>
      <c r="BN113" s="18">
        <f>IF(V113="","",--(V113='Codebook'!$F$15))</f>
        <v>0</v>
      </c>
      <c r="BO113" s="18">
        <f>IF(W113="","",--(W113='Codebook'!$F$16))</f>
        <v>0</v>
      </c>
      <c r="BP113" s="18">
        <f>IF(X113="","",--(X113='Codebook'!$F$17))</f>
        <v>0</v>
      </c>
      <c r="BQ113" s="18">
        <f>IF(Y113="","",--(Y113='Codebook'!$F$18))</f>
        <v>0</v>
      </c>
      <c r="BR113" s="18">
        <f>IF(Z113="","",--(Z113='Codebook'!$F$19))</f>
        <v>0</v>
      </c>
      <c r="BS113" s="18">
        <f>IF(AA113="","",--(AA113='Codebook'!$F$20))</f>
        <v>0</v>
      </c>
      <c r="BT113" s="18">
        <f>IF(AB113="","",--(AB113='Codebook'!$F$21))</f>
        <v>0</v>
      </c>
      <c r="BU113" s="18">
        <f>IF(AC113="","",--(AC113='Codebook'!$F$22))</f>
        <v>0</v>
      </c>
      <c r="BV113" s="18">
        <f>IF(AD113="","",--(AD113='Codebook'!$F$23))</f>
        <v>0</v>
      </c>
      <c r="BW113" s="18">
        <f>IF(AE113="","",--(AE113='Codebook'!$F$24))</f>
        <v>0</v>
      </c>
      <c r="BX113" s="18">
        <f>IF(AF113="","",--(AF113='Codebook'!$F$25))</f>
        <v>0</v>
      </c>
      <c r="BY113" s="18">
        <f>IF(AG113="","",--(AG113='Codebook'!$F$26))</f>
        <v>0</v>
      </c>
      <c r="BZ113" s="18">
        <f>IF(AH113="","",--(AH113='Codebook'!$F$27))</f>
        <v>0</v>
      </c>
      <c r="CA113" s="18">
        <f>IF(AI113="","",--(AI113='Codebook'!$F$28))</f>
        <v>0</v>
      </c>
      <c r="CB113" s="18">
        <f>IF(AJ113="","",--(AJ113='Codebook'!$F$29))</f>
        <v>0</v>
      </c>
      <c r="CC113" s="18">
        <f>IF(AK113="","",--(AK113='Codebook'!$F$30))</f>
        <v>0</v>
      </c>
      <c r="CD113" s="18">
        <f>IF(AL113="","",--(AL113='Codebook'!$F$31))</f>
        <v>0</v>
      </c>
      <c r="CE113" s="18">
        <f>IF(AM113="","",--(AM113='Codebook'!$F$32))</f>
        <v>0</v>
      </c>
      <c r="CF113" s="18">
        <f>IF(AN113="","",--(AN113='Codebook'!$F$33))</f>
        <v>0</v>
      </c>
      <c r="CG113" s="18">
        <f>IF(AO113="","",--(AO113='Codebook'!$F$34))</f>
        <v>0</v>
      </c>
      <c r="CH113" s="18">
        <f>IF(AP113="","",--(AP113='Codebook'!$F$35))</f>
        <v>0</v>
      </c>
      <c r="CI113" s="18">
        <f>IF(AQ113="","",--(AQ113='Codebook'!$F$36))</f>
        <v>0</v>
      </c>
      <c r="CJ113" s="18">
        <f>IF(AR113="","",--(AR113='Codebook'!$F$37))</f>
        <v>0</v>
      </c>
      <c r="CK113" s="18">
        <f>IF(AS113="","",--(AS113='Codebook'!$F$38))</f>
        <v>0</v>
      </c>
      <c r="CL113" s="18">
        <f>IF(AT113="","",--(AT113='Codebook'!$F$39))</f>
        <v>0</v>
      </c>
      <c r="CM113" s="18">
        <f>IF(AU113="","",--(AU113='Codebook'!$F$40))</f>
        <v>1</v>
      </c>
      <c r="CN113" s="18">
        <f>IF(AV113="","",--(AV113='Codebook'!$F$41))</f>
        <v>0</v>
      </c>
      <c r="CO113" s="18">
        <f>IF(AW113="","",--(AW113='Codebook'!$F$42))</f>
        <v>0</v>
      </c>
      <c r="CP113" s="18">
        <f>IF(AX113="","",--(AX113='Codebook'!$F$43))</f>
        <v>0</v>
      </c>
      <c r="CQ113" s="18">
        <f>IF(AY113="","",--(AY113='Codebook'!$F$44))</f>
        <v>0</v>
      </c>
      <c r="CR113" s="18">
        <f>IF(AZ113="","",--(AZ113='Codebook'!$F$45))</f>
        <v>0</v>
      </c>
    </row>
    <row r="114" spans="2:96" ht="24" customHeight="1">
      <c r="B114" s="18">
        <v>109</v>
      </c>
      <c r="C114" s="23">
        <v>46284.69322018519</v>
      </c>
      <c r="D114" s="21" t="s">
        <v>268</v>
      </c>
      <c r="E114" s="21" t="s">
        <v>194</v>
      </c>
      <c r="F114" s="21" t="s">
        <v>226</v>
      </c>
      <c r="G114" s="17" t="s">
        <v>202</v>
      </c>
      <c r="H114" s="21" t="s">
        <v>197</v>
      </c>
      <c r="I114" s="18">
        <f>SUM(BL114:BU114)</f>
        <v>5</v>
      </c>
      <c r="J114" s="18">
        <f>IF(COUNT(BV114:CD114)=9,SUM(BV114:CD114),"")</f>
        <v>5</v>
      </c>
      <c r="K114" s="18">
        <f>SUM(BL114:CD114)</f>
        <v>10</v>
      </c>
      <c r="L114" s="18">
        <f>--(K114&gt;='Codebook'!$C$8)</f>
        <v>0</v>
      </c>
      <c r="M114" s="18">
        <f>--(COUNT(BL114:CD114)=19)</f>
        <v>1</v>
      </c>
      <c r="N114" s="18">
        <f>SUM(CE114:CL114)</f>
        <v>3</v>
      </c>
      <c r="O114" s="18">
        <f>SUM(CM114:CR114)</f>
        <v>4</v>
      </c>
      <c r="P114" s="18">
        <f>N114+O114</f>
        <v>7</v>
      </c>
      <c r="Q114" s="21" t="s">
        <v>198</v>
      </c>
      <c r="R114" s="17" t="s">
        <v>154</v>
      </c>
      <c r="S114" s="18">
        <f>--OR(Overview!$B$6="All",E114=Overview!$B$6)*--OR(Overview!$F$6="All",F114=Overview!$F$6)*--OR(Overview!$J$6="All",G114=Overview!$J$6)*--OR(Overview!$N$6="All",H114=Overview!$N$6)</f>
        <v>1</v>
      </c>
      <c r="T114" s="21" t="s">
        <v>26</v>
      </c>
      <c r="U114" s="21" t="s">
        <v>22</v>
      </c>
      <c r="V114" s="21" t="s">
        <v>22</v>
      </c>
      <c r="W114" s="21" t="s">
        <v>22</v>
      </c>
      <c r="X114" s="21" t="s">
        <v>22</v>
      </c>
      <c r="Y114" s="21" t="s">
        <v>22</v>
      </c>
      <c r="Z114" s="21" t="s">
        <v>22</v>
      </c>
      <c r="AA114" s="21" t="s">
        <v>22</v>
      </c>
      <c r="AB114" s="21" t="s">
        <v>22</v>
      </c>
      <c r="AC114" s="21" t="s">
        <v>22</v>
      </c>
      <c r="AD114" s="21" t="s">
        <v>22</v>
      </c>
      <c r="AE114" s="21" t="s">
        <v>22</v>
      </c>
      <c r="AF114" s="21" t="s">
        <v>22</v>
      </c>
      <c r="AG114" s="21" t="s">
        <v>22</v>
      </c>
      <c r="AH114" s="21" t="s">
        <v>22</v>
      </c>
      <c r="AI114" s="21" t="s">
        <v>22</v>
      </c>
      <c r="AJ114" s="21" t="s">
        <v>22</v>
      </c>
      <c r="AK114" s="21" t="s">
        <v>22</v>
      </c>
      <c r="AL114" s="21" t="s">
        <v>22</v>
      </c>
      <c r="AM114" s="21" t="s">
        <v>83</v>
      </c>
      <c r="AN114" s="21" t="s">
        <v>109</v>
      </c>
      <c r="AO114" s="21" t="s">
        <v>109</v>
      </c>
      <c r="AP114" s="21" t="s">
        <v>109</v>
      </c>
      <c r="AQ114" s="21" t="s">
        <v>109</v>
      </c>
      <c r="AR114" s="21" t="s">
        <v>83</v>
      </c>
      <c r="AS114" s="21" t="s">
        <v>83</v>
      </c>
      <c r="AT114" s="21" t="s">
        <v>109</v>
      </c>
      <c r="AU114" s="21" t="s">
        <v>198</v>
      </c>
      <c r="AV114" s="21" t="s">
        <v>198</v>
      </c>
      <c r="AW114" s="21" t="s">
        <v>109</v>
      </c>
      <c r="AX114" s="21" t="s">
        <v>109</v>
      </c>
      <c r="AY114" s="21" t="s">
        <v>109</v>
      </c>
      <c r="AZ114" s="21" t="s">
        <v>109</v>
      </c>
      <c r="BA114" s="17" t="s">
        <v>250</v>
      </c>
      <c r="BB114" s="17" t="s">
        <v>250</v>
      </c>
      <c r="BC114" s="18">
        <f>--ISNUMBER(SEARCH("Radio or television",BA114))</f>
        <v>0</v>
      </c>
      <c r="BD114" s="18">
        <f>--ISNUMBER(SEARCH("Newspapers or print media",BA114))</f>
        <v>0</v>
      </c>
      <c r="BE114" s="18">
        <f>--ISNUMBER(SEARCH("Social media (e.g. Facebook, WhatsApp, YouTube, X/Twitter)",BA114))</f>
        <v>1</v>
      </c>
      <c r="BF114" s="18">
        <f>--ISNUMBER(SEARCH("Family members",BA114))</f>
        <v>0</v>
      </c>
      <c r="BG114" s="18">
        <f>--ISNUMBER(SEARCH("Friends or fellow students",BA114))</f>
        <v>0</v>
      </c>
      <c r="BH114" s="18">
        <f>--ISNUMBER(SEARCH("School coursework or lectures",BA114))</f>
        <v>0</v>
      </c>
      <c r="BI114" s="18">
        <f>--ISNUMBER(SEARCH("NHIMA outreach activities or NHIMA offices",BA114))</f>
        <v>0</v>
      </c>
      <c r="BJ114" s="18">
        <f>--ISNUMBER(SEARCH("Health facility staff",BA114))</f>
        <v>0</v>
      </c>
      <c r="BK114" s="18">
        <f>--ISNUMBER(SEARCH("not received information",BA114))</f>
        <v>0</v>
      </c>
      <c r="BL114" s="18">
        <f>IF(T114="","",--(T114='Codebook'!$F$13))</f>
        <v>0</v>
      </c>
      <c r="BM114" s="18">
        <f>IF(U114="","",--(U114='Codebook'!$F$14))</f>
        <v>0</v>
      </c>
      <c r="BN114" s="18">
        <f>IF(V114="","",--(V114='Codebook'!$F$15))</f>
        <v>0</v>
      </c>
      <c r="BO114" s="18">
        <f>IF(W114="","",--(W114='Codebook'!$F$16))</f>
        <v>1</v>
      </c>
      <c r="BP114" s="18">
        <f>IF(X114="","",--(X114='Codebook'!$F$17))</f>
        <v>1</v>
      </c>
      <c r="BQ114" s="18">
        <f>IF(Y114="","",--(Y114='Codebook'!$F$18))</f>
        <v>0</v>
      </c>
      <c r="BR114" s="18">
        <f>IF(Z114="","",--(Z114='Codebook'!$F$19))</f>
        <v>1</v>
      </c>
      <c r="BS114" s="18">
        <f>IF(AA114="","",--(AA114='Codebook'!$F$20))</f>
        <v>1</v>
      </c>
      <c r="BT114" s="18">
        <f>IF(AB114="","",--(AB114='Codebook'!$F$21))</f>
        <v>0</v>
      </c>
      <c r="BU114" s="18">
        <f>IF(AC114="","",--(AC114='Codebook'!$F$22))</f>
        <v>1</v>
      </c>
      <c r="BV114" s="18">
        <f>IF(AD114="","",--(AD114='Codebook'!$F$23))</f>
        <v>1</v>
      </c>
      <c r="BW114" s="18">
        <f>IF(AE114="","",--(AE114='Codebook'!$F$24))</f>
        <v>1</v>
      </c>
      <c r="BX114" s="18">
        <f>IF(AF114="","",--(AF114='Codebook'!$F$25))</f>
        <v>0</v>
      </c>
      <c r="BY114" s="18">
        <f>IF(AG114="","",--(AG114='Codebook'!$F$26))</f>
        <v>1</v>
      </c>
      <c r="BZ114" s="18">
        <f>IF(AH114="","",--(AH114='Codebook'!$F$27))</f>
        <v>1</v>
      </c>
      <c r="CA114" s="18">
        <f>IF(AI114="","",--(AI114='Codebook'!$F$28))</f>
        <v>0</v>
      </c>
      <c r="CB114" s="18">
        <f>IF(AJ114="","",--(AJ114='Codebook'!$F$29))</f>
        <v>0</v>
      </c>
      <c r="CC114" s="18">
        <f>IF(AK114="","",--(AK114='Codebook'!$F$30))</f>
        <v>1</v>
      </c>
      <c r="CD114" s="18">
        <f>IF(AL114="","",--(AL114='Codebook'!$F$31))</f>
        <v>0</v>
      </c>
      <c r="CE114" s="18">
        <f>IF(AM114="","",--(AM114='Codebook'!$F$32))</f>
        <v>1</v>
      </c>
      <c r="CF114" s="18">
        <f>IF(AN114="","",--(AN114='Codebook'!$F$33))</f>
        <v>0</v>
      </c>
      <c r="CG114" s="18">
        <f>IF(AO114="","",--(AO114='Codebook'!$F$34))</f>
        <v>0</v>
      </c>
      <c r="CH114" s="18">
        <f>IF(AP114="","",--(AP114='Codebook'!$F$35))</f>
        <v>0</v>
      </c>
      <c r="CI114" s="18">
        <f>IF(AQ114="","",--(AQ114='Codebook'!$F$36))</f>
        <v>0</v>
      </c>
      <c r="CJ114" s="18">
        <f>IF(AR114="","",--(AR114='Codebook'!$F$37))</f>
        <v>1</v>
      </c>
      <c r="CK114" s="18">
        <f>IF(AS114="","",--(AS114='Codebook'!$F$38))</f>
        <v>1</v>
      </c>
      <c r="CL114" s="18">
        <f>IF(AT114="","",--(AT114='Codebook'!$F$39))</f>
        <v>0</v>
      </c>
      <c r="CM114" s="18">
        <f>IF(AU114="","",--(AU114='Codebook'!$F$40))</f>
        <v>0</v>
      </c>
      <c r="CN114" s="18">
        <f>IF(AV114="","",--(AV114='Codebook'!$F$41))</f>
        <v>0</v>
      </c>
      <c r="CO114" s="18">
        <f>IF(AW114="","",--(AW114='Codebook'!$F$42))</f>
        <v>1</v>
      </c>
      <c r="CP114" s="18">
        <f>IF(AX114="","",--(AX114='Codebook'!$F$43))</f>
        <v>1</v>
      </c>
      <c r="CQ114" s="18">
        <f>IF(AY114="","",--(AY114='Codebook'!$F$44))</f>
        <v>1</v>
      </c>
      <c r="CR114" s="18">
        <f>IF(AZ114="","",--(AZ114='Codebook'!$F$45))</f>
        <v>1</v>
      </c>
    </row>
    <row r="115" spans="2:96" ht="24" customHeight="1">
      <c r="B115" s="18">
        <v>110</v>
      </c>
      <c r="C115" s="23">
        <v>46284.69401291667</v>
      </c>
      <c r="D115" s="21" t="s">
        <v>268</v>
      </c>
      <c r="E115" s="21" t="s">
        <v>194</v>
      </c>
      <c r="F115" s="21" t="s">
        <v>201</v>
      </c>
      <c r="G115" s="17" t="s">
        <v>202</v>
      </c>
      <c r="H115" s="21" t="s">
        <v>198</v>
      </c>
      <c r="I115" s="18">
        <f>SUM(BL115:BU115)</f>
        <v>0</v>
      </c>
      <c r="J115" s="18">
        <f>IF(COUNT(BV115:CD115)=9,SUM(BV115:CD115),"")</f>
        <v>0</v>
      </c>
      <c r="K115" s="18">
        <f>SUM(BL115:CD115)</f>
        <v>0</v>
      </c>
      <c r="L115" s="18">
        <f>--(K115&gt;='Codebook'!$C$8)</f>
        <v>0</v>
      </c>
      <c r="M115" s="18">
        <f>--(COUNT(BL115:CD115)=19)</f>
        <v>1</v>
      </c>
      <c r="N115" s="18">
        <f>SUM(CE115:CL115)</f>
        <v>0</v>
      </c>
      <c r="O115" s="18">
        <f>SUM(CM115:CR115)</f>
        <v>0</v>
      </c>
      <c r="P115" s="18">
        <f>N115+O115</f>
        <v>0</v>
      </c>
      <c r="Q115" s="21" t="s">
        <v>207</v>
      </c>
      <c r="R115" s="17" t="s">
        <v>153</v>
      </c>
      <c r="S115" s="18">
        <f>--OR(Overview!$B$6="All",E115=Overview!$B$6)*--OR(Overview!$F$6="All",F115=Overview!$F$6)*--OR(Overview!$J$6="All",G115=Overview!$J$6)*--OR(Overview!$N$6="All",H115=Overview!$N$6)</f>
        <v>1</v>
      </c>
      <c r="T115" s="21" t="s">
        <v>198</v>
      </c>
      <c r="U115" s="21" t="s">
        <v>198</v>
      </c>
      <c r="V115" s="21" t="s">
        <v>198</v>
      </c>
      <c r="W115" s="21" t="s">
        <v>26</v>
      </c>
      <c r="X115" s="21" t="s">
        <v>198</v>
      </c>
      <c r="Y115" s="21" t="s">
        <v>198</v>
      </c>
      <c r="Z115" s="21" t="s">
        <v>198</v>
      </c>
      <c r="AA115" s="21" t="s">
        <v>198</v>
      </c>
      <c r="AB115" s="21" t="s">
        <v>198</v>
      </c>
      <c r="AC115" s="21" t="s">
        <v>198</v>
      </c>
      <c r="AD115" s="21" t="s">
        <v>198</v>
      </c>
      <c r="AE115" s="21" t="s">
        <v>198</v>
      </c>
      <c r="AF115" s="21" t="s">
        <v>198</v>
      </c>
      <c r="AG115" s="21" t="s">
        <v>198</v>
      </c>
      <c r="AH115" s="21" t="s">
        <v>198</v>
      </c>
      <c r="AI115" s="21" t="s">
        <v>198</v>
      </c>
      <c r="AJ115" s="21" t="s">
        <v>198</v>
      </c>
      <c r="AK115" s="21" t="s">
        <v>198</v>
      </c>
      <c r="AL115" s="21" t="s">
        <v>198</v>
      </c>
      <c r="AM115" s="21" t="s">
        <v>198</v>
      </c>
      <c r="AN115" s="21" t="s">
        <v>198</v>
      </c>
      <c r="AO115" s="21" t="s">
        <v>198</v>
      </c>
      <c r="AP115" s="21" t="s">
        <v>198</v>
      </c>
      <c r="AQ115" s="21" t="s">
        <v>198</v>
      </c>
      <c r="AR115" s="21" t="s">
        <v>198</v>
      </c>
      <c r="AS115" s="21" t="s">
        <v>198</v>
      </c>
      <c r="AT115" s="21" t="s">
        <v>198</v>
      </c>
      <c r="AU115" s="21" t="s">
        <v>198</v>
      </c>
      <c r="AV115" s="21" t="s">
        <v>198</v>
      </c>
      <c r="AW115" s="21" t="s">
        <v>198</v>
      </c>
      <c r="AX115" s="21" t="s">
        <v>198</v>
      </c>
      <c r="AY115" s="21" t="s">
        <v>198</v>
      </c>
      <c r="AZ115" s="21" t="s">
        <v>198</v>
      </c>
      <c r="BA115" s="17" t="s">
        <v>277</v>
      </c>
      <c r="BB115" s="17" t="s">
        <v>277</v>
      </c>
      <c r="BC115" s="18">
        <f>--ISNUMBER(SEARCH("Radio or television",BA115))</f>
        <v>0</v>
      </c>
      <c r="BD115" s="18">
        <f>--ISNUMBER(SEARCH("Newspapers or print media",BA115))</f>
        <v>1</v>
      </c>
      <c r="BE115" s="18">
        <f>--ISNUMBER(SEARCH("Social media (e.g. Facebook, WhatsApp, YouTube, X/Twitter)",BA115))</f>
        <v>0</v>
      </c>
      <c r="BF115" s="18">
        <f>--ISNUMBER(SEARCH("Family members",BA115))</f>
        <v>0</v>
      </c>
      <c r="BG115" s="18">
        <f>--ISNUMBER(SEARCH("Friends or fellow students",BA115))</f>
        <v>0</v>
      </c>
      <c r="BH115" s="18">
        <f>--ISNUMBER(SEARCH("School coursework or lectures",BA115))</f>
        <v>0</v>
      </c>
      <c r="BI115" s="18">
        <f>--ISNUMBER(SEARCH("NHIMA outreach activities or NHIMA offices",BA115))</f>
        <v>0</v>
      </c>
      <c r="BJ115" s="18">
        <f>--ISNUMBER(SEARCH("Health facility staff",BA115))</f>
        <v>0</v>
      </c>
      <c r="BK115" s="18">
        <f>--ISNUMBER(SEARCH("not received information",BA115))</f>
        <v>0</v>
      </c>
      <c r="BL115" s="18">
        <f>IF(T115="","",--(T115='Codebook'!$F$13))</f>
        <v>0</v>
      </c>
      <c r="BM115" s="18">
        <f>IF(U115="","",--(U115='Codebook'!$F$14))</f>
        <v>0</v>
      </c>
      <c r="BN115" s="18">
        <f>IF(V115="","",--(V115='Codebook'!$F$15))</f>
        <v>0</v>
      </c>
      <c r="BO115" s="18">
        <f>IF(W115="","",--(W115='Codebook'!$F$16))</f>
        <v>0</v>
      </c>
      <c r="BP115" s="18">
        <f>IF(X115="","",--(X115='Codebook'!$F$17))</f>
        <v>0</v>
      </c>
      <c r="BQ115" s="18">
        <f>IF(Y115="","",--(Y115='Codebook'!$F$18))</f>
        <v>0</v>
      </c>
      <c r="BR115" s="18">
        <f>IF(Z115="","",--(Z115='Codebook'!$F$19))</f>
        <v>0</v>
      </c>
      <c r="BS115" s="18">
        <f>IF(AA115="","",--(AA115='Codebook'!$F$20))</f>
        <v>0</v>
      </c>
      <c r="BT115" s="18">
        <f>IF(AB115="","",--(AB115='Codebook'!$F$21))</f>
        <v>0</v>
      </c>
      <c r="BU115" s="18">
        <f>IF(AC115="","",--(AC115='Codebook'!$F$22))</f>
        <v>0</v>
      </c>
      <c r="BV115" s="18">
        <f>IF(AD115="","",--(AD115='Codebook'!$F$23))</f>
        <v>0</v>
      </c>
      <c r="BW115" s="18">
        <f>IF(AE115="","",--(AE115='Codebook'!$F$24))</f>
        <v>0</v>
      </c>
      <c r="BX115" s="18">
        <f>IF(AF115="","",--(AF115='Codebook'!$F$25))</f>
        <v>0</v>
      </c>
      <c r="BY115" s="18">
        <f>IF(AG115="","",--(AG115='Codebook'!$F$26))</f>
        <v>0</v>
      </c>
      <c r="BZ115" s="18">
        <f>IF(AH115="","",--(AH115='Codebook'!$F$27))</f>
        <v>0</v>
      </c>
      <c r="CA115" s="18">
        <f>IF(AI115="","",--(AI115='Codebook'!$F$28))</f>
        <v>0</v>
      </c>
      <c r="CB115" s="18">
        <f>IF(AJ115="","",--(AJ115='Codebook'!$F$29))</f>
        <v>0</v>
      </c>
      <c r="CC115" s="18">
        <f>IF(AK115="","",--(AK115='Codebook'!$F$30))</f>
        <v>0</v>
      </c>
      <c r="CD115" s="18">
        <f>IF(AL115="","",--(AL115='Codebook'!$F$31))</f>
        <v>0</v>
      </c>
      <c r="CE115" s="18">
        <f>IF(AM115="","",--(AM115='Codebook'!$F$32))</f>
        <v>0</v>
      </c>
      <c r="CF115" s="18">
        <f>IF(AN115="","",--(AN115='Codebook'!$F$33))</f>
        <v>0</v>
      </c>
      <c r="CG115" s="18">
        <f>IF(AO115="","",--(AO115='Codebook'!$F$34))</f>
        <v>0</v>
      </c>
      <c r="CH115" s="18">
        <f>IF(AP115="","",--(AP115='Codebook'!$F$35))</f>
        <v>0</v>
      </c>
      <c r="CI115" s="18">
        <f>IF(AQ115="","",--(AQ115='Codebook'!$F$36))</f>
        <v>0</v>
      </c>
      <c r="CJ115" s="18">
        <f>IF(AR115="","",--(AR115='Codebook'!$F$37))</f>
        <v>0</v>
      </c>
      <c r="CK115" s="18">
        <f>IF(AS115="","",--(AS115='Codebook'!$F$38))</f>
        <v>0</v>
      </c>
      <c r="CL115" s="18">
        <f>IF(AT115="","",--(AT115='Codebook'!$F$39))</f>
        <v>0</v>
      </c>
      <c r="CM115" s="18">
        <f>IF(AU115="","",--(AU115='Codebook'!$F$40))</f>
        <v>0</v>
      </c>
      <c r="CN115" s="18">
        <f>IF(AV115="","",--(AV115='Codebook'!$F$41))</f>
        <v>0</v>
      </c>
      <c r="CO115" s="18">
        <f>IF(AW115="","",--(AW115='Codebook'!$F$42))</f>
        <v>0</v>
      </c>
      <c r="CP115" s="18">
        <f>IF(AX115="","",--(AX115='Codebook'!$F$43))</f>
        <v>0</v>
      </c>
      <c r="CQ115" s="18">
        <f>IF(AY115="","",--(AY115='Codebook'!$F$44))</f>
        <v>0</v>
      </c>
      <c r="CR115" s="18">
        <f>IF(AZ115="","",--(AZ115='Codebook'!$F$45))</f>
        <v>0</v>
      </c>
    </row>
    <row r="116" spans="2:96" ht="24" customHeight="1">
      <c r="B116" s="18">
        <v>111</v>
      </c>
      <c r="C116" s="23">
        <v>46284.7328615625</v>
      </c>
      <c r="D116" s="21" t="s">
        <v>275</v>
      </c>
      <c r="E116" s="21" t="s">
        <v>194</v>
      </c>
      <c r="F116" s="21" t="s">
        <v>212</v>
      </c>
      <c r="G116" s="17" t="s">
        <v>224</v>
      </c>
      <c r="H116" s="21" t="s">
        <v>197</v>
      </c>
      <c r="I116" s="18">
        <f>SUM(BL116:BU116)</f>
        <v>6</v>
      </c>
      <c r="J116" s="18">
        <f>IF(COUNT(BV116:CD116)=9,SUM(BV116:CD116),"")</f>
        <v>5</v>
      </c>
      <c r="K116" s="18">
        <f>SUM(BL116:CD116)</f>
        <v>11</v>
      </c>
      <c r="L116" s="18">
        <f>--(K116&gt;='Codebook'!$C$8)</f>
        <v>0</v>
      </c>
      <c r="M116" s="18">
        <f>--(COUNT(BL116:CD116)=19)</f>
        <v>1</v>
      </c>
      <c r="N116" s="18">
        <f>SUM(CE116:CL116)</f>
        <v>4</v>
      </c>
      <c r="O116" s="18">
        <f>SUM(CM116:CR116)</f>
        <v>1</v>
      </c>
      <c r="P116" s="18">
        <f>N116+O116</f>
        <v>5</v>
      </c>
      <c r="Q116" s="21" t="s">
        <v>198</v>
      </c>
      <c r="R116" s="17" t="s">
        <v>154</v>
      </c>
      <c r="S116" s="18">
        <f>--OR(Overview!$B$6="All",E116=Overview!$B$6)*--OR(Overview!$F$6="All",F116=Overview!$F$6)*--OR(Overview!$J$6="All",G116=Overview!$J$6)*--OR(Overview!$N$6="All",H116=Overview!$N$6)</f>
        <v>1</v>
      </c>
      <c r="T116" s="21" t="s">
        <v>22</v>
      </c>
      <c r="U116" s="21" t="s">
        <v>22</v>
      </c>
      <c r="V116" s="21" t="s">
        <v>22</v>
      </c>
      <c r="W116" s="21" t="s">
        <v>22</v>
      </c>
      <c r="X116" s="21" t="s">
        <v>22</v>
      </c>
      <c r="Y116" s="21" t="s">
        <v>22</v>
      </c>
      <c r="Z116" s="21" t="s">
        <v>22</v>
      </c>
      <c r="AA116" s="21" t="s">
        <v>22</v>
      </c>
      <c r="AB116" s="21" t="s">
        <v>22</v>
      </c>
      <c r="AC116" s="21" t="s">
        <v>22</v>
      </c>
      <c r="AD116" s="21" t="s">
        <v>22</v>
      </c>
      <c r="AE116" s="21" t="s">
        <v>22</v>
      </c>
      <c r="AF116" s="21" t="s">
        <v>22</v>
      </c>
      <c r="AG116" s="21" t="s">
        <v>22</v>
      </c>
      <c r="AH116" s="21" t="s">
        <v>22</v>
      </c>
      <c r="AI116" s="21" t="s">
        <v>22</v>
      </c>
      <c r="AJ116" s="21" t="s">
        <v>22</v>
      </c>
      <c r="AK116" s="21" t="s">
        <v>22</v>
      </c>
      <c r="AL116" s="21" t="s">
        <v>22</v>
      </c>
      <c r="AM116" s="21" t="s">
        <v>83</v>
      </c>
      <c r="AN116" s="21" t="s">
        <v>109</v>
      </c>
      <c r="AO116" s="21" t="s">
        <v>83</v>
      </c>
      <c r="AP116" s="21" t="s">
        <v>109</v>
      </c>
      <c r="AQ116" s="21" t="s">
        <v>109</v>
      </c>
      <c r="AR116" s="21" t="s">
        <v>83</v>
      </c>
      <c r="AS116" s="21" t="s">
        <v>109</v>
      </c>
      <c r="AT116" s="21" t="s">
        <v>83</v>
      </c>
      <c r="AU116" s="21" t="s">
        <v>83</v>
      </c>
      <c r="AV116" s="21" t="s">
        <v>109</v>
      </c>
      <c r="AW116" s="21" t="s">
        <v>198</v>
      </c>
      <c r="AX116" s="21" t="s">
        <v>198</v>
      </c>
      <c r="AY116" s="21" t="s">
        <v>198</v>
      </c>
      <c r="AZ116" s="21" t="s">
        <v>198</v>
      </c>
      <c r="BA116" s="17" t="s">
        <v>292</v>
      </c>
      <c r="BB116" s="17" t="s">
        <v>250</v>
      </c>
      <c r="BC116" s="18">
        <f>--ISNUMBER(SEARCH("Radio or television",BA116))</f>
        <v>1</v>
      </c>
      <c r="BD116" s="18">
        <f>--ISNUMBER(SEARCH("Newspapers or print media",BA116))</f>
        <v>0</v>
      </c>
      <c r="BE116" s="18">
        <f>--ISNUMBER(SEARCH("Social media (e.g. Facebook, WhatsApp, YouTube, X/Twitter)",BA116))</f>
        <v>1</v>
      </c>
      <c r="BF116" s="18">
        <f>--ISNUMBER(SEARCH("Family members",BA116))</f>
        <v>0</v>
      </c>
      <c r="BG116" s="18">
        <f>--ISNUMBER(SEARCH("Friends or fellow students",BA116))</f>
        <v>1</v>
      </c>
      <c r="BH116" s="18">
        <f>--ISNUMBER(SEARCH("School coursework or lectures",BA116))</f>
        <v>0</v>
      </c>
      <c r="BI116" s="18">
        <f>--ISNUMBER(SEARCH("NHIMA outreach activities or NHIMA offices",BA116))</f>
        <v>0</v>
      </c>
      <c r="BJ116" s="18">
        <f>--ISNUMBER(SEARCH("Health facility staff",BA116))</f>
        <v>0</v>
      </c>
      <c r="BK116" s="18">
        <f>--ISNUMBER(SEARCH("not received information",BA116))</f>
        <v>0</v>
      </c>
      <c r="BL116" s="18">
        <f>IF(T116="","",--(T116='Codebook'!$F$13))</f>
        <v>1</v>
      </c>
      <c r="BM116" s="18">
        <f>IF(U116="","",--(U116='Codebook'!$F$14))</f>
        <v>0</v>
      </c>
      <c r="BN116" s="18">
        <f>IF(V116="","",--(V116='Codebook'!$F$15))</f>
        <v>0</v>
      </c>
      <c r="BO116" s="18">
        <f>IF(W116="","",--(W116='Codebook'!$F$16))</f>
        <v>1</v>
      </c>
      <c r="BP116" s="18">
        <f>IF(X116="","",--(X116='Codebook'!$F$17))</f>
        <v>1</v>
      </c>
      <c r="BQ116" s="18">
        <f>IF(Y116="","",--(Y116='Codebook'!$F$18))</f>
        <v>0</v>
      </c>
      <c r="BR116" s="18">
        <f>IF(Z116="","",--(Z116='Codebook'!$F$19))</f>
        <v>1</v>
      </c>
      <c r="BS116" s="18">
        <f>IF(AA116="","",--(AA116='Codebook'!$F$20))</f>
        <v>1</v>
      </c>
      <c r="BT116" s="18">
        <f>IF(AB116="","",--(AB116='Codebook'!$F$21))</f>
        <v>0</v>
      </c>
      <c r="BU116" s="18">
        <f>IF(AC116="","",--(AC116='Codebook'!$F$22))</f>
        <v>1</v>
      </c>
      <c r="BV116" s="18">
        <f>IF(AD116="","",--(AD116='Codebook'!$F$23))</f>
        <v>1</v>
      </c>
      <c r="BW116" s="18">
        <f>IF(AE116="","",--(AE116='Codebook'!$F$24))</f>
        <v>1</v>
      </c>
      <c r="BX116" s="18">
        <f>IF(AF116="","",--(AF116='Codebook'!$F$25))</f>
        <v>0</v>
      </c>
      <c r="BY116" s="18">
        <f>IF(AG116="","",--(AG116='Codebook'!$F$26))</f>
        <v>1</v>
      </c>
      <c r="BZ116" s="18">
        <f>IF(AH116="","",--(AH116='Codebook'!$F$27))</f>
        <v>1</v>
      </c>
      <c r="CA116" s="18">
        <f>IF(AI116="","",--(AI116='Codebook'!$F$28))</f>
        <v>0</v>
      </c>
      <c r="CB116" s="18">
        <f>IF(AJ116="","",--(AJ116='Codebook'!$F$29))</f>
        <v>0</v>
      </c>
      <c r="CC116" s="18">
        <f>IF(AK116="","",--(AK116='Codebook'!$F$30))</f>
        <v>1</v>
      </c>
      <c r="CD116" s="18">
        <f>IF(AL116="","",--(AL116='Codebook'!$F$31))</f>
        <v>0</v>
      </c>
      <c r="CE116" s="18">
        <f>IF(AM116="","",--(AM116='Codebook'!$F$32))</f>
        <v>1</v>
      </c>
      <c r="CF116" s="18">
        <f>IF(AN116="","",--(AN116='Codebook'!$F$33))</f>
        <v>0</v>
      </c>
      <c r="CG116" s="18">
        <f>IF(AO116="","",--(AO116='Codebook'!$F$34))</f>
        <v>1</v>
      </c>
      <c r="CH116" s="18">
        <f>IF(AP116="","",--(AP116='Codebook'!$F$35))</f>
        <v>0</v>
      </c>
      <c r="CI116" s="18">
        <f>IF(AQ116="","",--(AQ116='Codebook'!$F$36))</f>
        <v>0</v>
      </c>
      <c r="CJ116" s="18">
        <f>IF(AR116="","",--(AR116='Codebook'!$F$37))</f>
        <v>1</v>
      </c>
      <c r="CK116" s="18">
        <f>IF(AS116="","",--(AS116='Codebook'!$F$38))</f>
        <v>0</v>
      </c>
      <c r="CL116" s="18">
        <f>IF(AT116="","",--(AT116='Codebook'!$F$39))</f>
        <v>1</v>
      </c>
      <c r="CM116" s="18">
        <f>IF(AU116="","",--(AU116='Codebook'!$F$40))</f>
        <v>0</v>
      </c>
      <c r="CN116" s="18">
        <f>IF(AV116="","",--(AV116='Codebook'!$F$41))</f>
        <v>1</v>
      </c>
      <c r="CO116" s="18">
        <f>IF(AW116="","",--(AW116='Codebook'!$F$42))</f>
        <v>0</v>
      </c>
      <c r="CP116" s="18">
        <f>IF(AX116="","",--(AX116='Codebook'!$F$43))</f>
        <v>0</v>
      </c>
      <c r="CQ116" s="18">
        <f>IF(AY116="","",--(AY116='Codebook'!$F$44))</f>
        <v>0</v>
      </c>
      <c r="CR116" s="18">
        <f>IF(AZ116="","",--(AZ116='Codebook'!$F$45))</f>
        <v>0</v>
      </c>
    </row>
    <row r="117" spans="2:96" ht="24" customHeight="1">
      <c r="B117" s="18">
        <v>112</v>
      </c>
      <c r="C117" s="23">
        <v>46284.74958471065</v>
      </c>
      <c r="D117" s="21" t="s">
        <v>275</v>
      </c>
      <c r="E117" s="21" t="s">
        <v>194</v>
      </c>
      <c r="F117" s="21" t="s">
        <v>195</v>
      </c>
      <c r="G117" s="17" t="s">
        <v>202</v>
      </c>
      <c r="H117" s="21" t="s">
        <v>207</v>
      </c>
      <c r="I117" s="18">
        <f>SUM(BL117:BU117)</f>
        <v>9</v>
      </c>
      <c r="J117" s="18">
        <f>IF(COUNT(BV117:CD117)=9,SUM(BV117:CD117),"")</f>
        <v>6</v>
      </c>
      <c r="K117" s="18">
        <f>SUM(BL117:CD117)</f>
        <v>15</v>
      </c>
      <c r="L117" s="18">
        <f>--(K117&gt;='Codebook'!$C$8)</f>
        <v>1</v>
      </c>
      <c r="M117" s="18">
        <f>--(COUNT(BL117:CD117)=19)</f>
        <v>1</v>
      </c>
      <c r="N117" s="18">
        <f>SUM(CE117:CL117)</f>
        <v>5</v>
      </c>
      <c r="O117" s="18">
        <f>SUM(CM117:CR117)</f>
        <v>3</v>
      </c>
      <c r="P117" s="18">
        <f>N117+O117</f>
        <v>8</v>
      </c>
      <c r="Q117" s="21" t="s">
        <v>197</v>
      </c>
      <c r="R117" s="17" t="s">
        <v>216</v>
      </c>
      <c r="S117" s="18">
        <f>--OR(Overview!$B$6="All",E117=Overview!$B$6)*--OR(Overview!$F$6="All",F117=Overview!$F$6)*--OR(Overview!$J$6="All",G117=Overview!$J$6)*--OR(Overview!$N$6="All",H117=Overview!$N$6)</f>
        <v>1</v>
      </c>
      <c r="T117" s="21" t="s">
        <v>22</v>
      </c>
      <c r="U117" s="21" t="s">
        <v>26</v>
      </c>
      <c r="V117" s="21" t="s">
        <v>26</v>
      </c>
      <c r="W117" s="21" t="s">
        <v>22</v>
      </c>
      <c r="X117" s="21" t="s">
        <v>22</v>
      </c>
      <c r="Y117" s="21" t="s">
        <v>26</v>
      </c>
      <c r="Z117" s="21" t="s">
        <v>22</v>
      </c>
      <c r="AA117" s="21" t="s">
        <v>26</v>
      </c>
      <c r="AB117" s="21" t="s">
        <v>26</v>
      </c>
      <c r="AC117" s="21" t="s">
        <v>22</v>
      </c>
      <c r="AD117" s="21" t="s">
        <v>198</v>
      </c>
      <c r="AE117" s="21" t="s">
        <v>22</v>
      </c>
      <c r="AF117" s="21" t="s">
        <v>26</v>
      </c>
      <c r="AG117" s="21" t="s">
        <v>22</v>
      </c>
      <c r="AH117" s="21" t="s">
        <v>198</v>
      </c>
      <c r="AI117" s="21" t="s">
        <v>26</v>
      </c>
      <c r="AJ117" s="21" t="s">
        <v>22</v>
      </c>
      <c r="AK117" s="21" t="s">
        <v>22</v>
      </c>
      <c r="AL117" s="21" t="s">
        <v>26</v>
      </c>
      <c r="AM117" s="21" t="s">
        <v>109</v>
      </c>
      <c r="AN117" s="21" t="s">
        <v>83</v>
      </c>
      <c r="AO117" s="21" t="s">
        <v>109</v>
      </c>
      <c r="AP117" s="21" t="s">
        <v>109</v>
      </c>
      <c r="AQ117" s="21" t="s">
        <v>83</v>
      </c>
      <c r="AR117" s="21" t="s">
        <v>83</v>
      </c>
      <c r="AS117" s="21" t="s">
        <v>83</v>
      </c>
      <c r="AT117" s="21" t="s">
        <v>83</v>
      </c>
      <c r="AU117" s="21" t="s">
        <v>109</v>
      </c>
      <c r="AV117" s="21" t="s">
        <v>109</v>
      </c>
      <c r="AW117" s="21" t="s">
        <v>83</v>
      </c>
      <c r="AX117" s="21" t="s">
        <v>109</v>
      </c>
      <c r="AY117" s="21" t="s">
        <v>198</v>
      </c>
      <c r="AZ117" s="21" t="s">
        <v>198</v>
      </c>
      <c r="BA117" s="17" t="s">
        <v>293</v>
      </c>
      <c r="BB117" s="17" t="s">
        <v>294</v>
      </c>
      <c r="BC117" s="18">
        <f>--ISNUMBER(SEARCH("Radio or television",BA117))</f>
        <v>1</v>
      </c>
      <c r="BD117" s="18">
        <f>--ISNUMBER(SEARCH("Newspapers or print media",BA117))</f>
        <v>1</v>
      </c>
      <c r="BE117" s="18">
        <f>--ISNUMBER(SEARCH("Social media (e.g. Facebook, WhatsApp, YouTube, X/Twitter)",BA117))</f>
        <v>0</v>
      </c>
      <c r="BF117" s="18">
        <f>--ISNUMBER(SEARCH("Family members",BA117))</f>
        <v>0</v>
      </c>
      <c r="BG117" s="18">
        <f>--ISNUMBER(SEARCH("Friends or fellow students",BA117))</f>
        <v>0</v>
      </c>
      <c r="BH117" s="18">
        <f>--ISNUMBER(SEARCH("School coursework or lectures",BA117))</f>
        <v>0</v>
      </c>
      <c r="BI117" s="18">
        <f>--ISNUMBER(SEARCH("NHIMA outreach activities or NHIMA offices",BA117))</f>
        <v>1</v>
      </c>
      <c r="BJ117" s="18">
        <f>--ISNUMBER(SEARCH("Health facility staff",BA117))</f>
        <v>1</v>
      </c>
      <c r="BK117" s="18">
        <f>--ISNUMBER(SEARCH("not received information",BA117))</f>
        <v>0</v>
      </c>
      <c r="BL117" s="18">
        <f>IF(T117="","",--(T117='Codebook'!$F$13))</f>
        <v>1</v>
      </c>
      <c r="BM117" s="18">
        <f>IF(U117="","",--(U117='Codebook'!$F$14))</f>
        <v>1</v>
      </c>
      <c r="BN117" s="18">
        <f>IF(V117="","",--(V117='Codebook'!$F$15))</f>
        <v>1</v>
      </c>
      <c r="BO117" s="18">
        <f>IF(W117="","",--(W117='Codebook'!$F$16))</f>
        <v>1</v>
      </c>
      <c r="BP117" s="18">
        <f>IF(X117="","",--(X117='Codebook'!$F$17))</f>
        <v>1</v>
      </c>
      <c r="BQ117" s="18">
        <f>IF(Y117="","",--(Y117='Codebook'!$F$18))</f>
        <v>1</v>
      </c>
      <c r="BR117" s="18">
        <f>IF(Z117="","",--(Z117='Codebook'!$F$19))</f>
        <v>1</v>
      </c>
      <c r="BS117" s="18">
        <f>IF(AA117="","",--(AA117='Codebook'!$F$20))</f>
        <v>0</v>
      </c>
      <c r="BT117" s="18">
        <f>IF(AB117="","",--(AB117='Codebook'!$F$21))</f>
        <v>1</v>
      </c>
      <c r="BU117" s="18">
        <f>IF(AC117="","",--(AC117='Codebook'!$F$22))</f>
        <v>1</v>
      </c>
      <c r="BV117" s="18">
        <f>IF(AD117="","",--(AD117='Codebook'!$F$23))</f>
        <v>0</v>
      </c>
      <c r="BW117" s="18">
        <f>IF(AE117="","",--(AE117='Codebook'!$F$24))</f>
        <v>1</v>
      </c>
      <c r="BX117" s="18">
        <f>IF(AF117="","",--(AF117='Codebook'!$F$25))</f>
        <v>1</v>
      </c>
      <c r="BY117" s="18">
        <f>IF(AG117="","",--(AG117='Codebook'!$F$26))</f>
        <v>1</v>
      </c>
      <c r="BZ117" s="18">
        <f>IF(AH117="","",--(AH117='Codebook'!$F$27))</f>
        <v>0</v>
      </c>
      <c r="CA117" s="18">
        <f>IF(AI117="","",--(AI117='Codebook'!$F$28))</f>
        <v>1</v>
      </c>
      <c r="CB117" s="18">
        <f>IF(AJ117="","",--(AJ117='Codebook'!$F$29))</f>
        <v>0</v>
      </c>
      <c r="CC117" s="18">
        <f>IF(AK117="","",--(AK117='Codebook'!$F$30))</f>
        <v>1</v>
      </c>
      <c r="CD117" s="18">
        <f>IF(AL117="","",--(AL117='Codebook'!$F$31))</f>
        <v>1</v>
      </c>
      <c r="CE117" s="18">
        <f>IF(AM117="","",--(AM117='Codebook'!$F$32))</f>
        <v>0</v>
      </c>
      <c r="CF117" s="18">
        <f>IF(AN117="","",--(AN117='Codebook'!$F$33))</f>
        <v>1</v>
      </c>
      <c r="CG117" s="18">
        <f>IF(AO117="","",--(AO117='Codebook'!$F$34))</f>
        <v>0</v>
      </c>
      <c r="CH117" s="18">
        <f>IF(AP117="","",--(AP117='Codebook'!$F$35))</f>
        <v>0</v>
      </c>
      <c r="CI117" s="18">
        <f>IF(AQ117="","",--(AQ117='Codebook'!$F$36))</f>
        <v>1</v>
      </c>
      <c r="CJ117" s="18">
        <f>IF(AR117="","",--(AR117='Codebook'!$F$37))</f>
        <v>1</v>
      </c>
      <c r="CK117" s="18">
        <f>IF(AS117="","",--(AS117='Codebook'!$F$38))</f>
        <v>1</v>
      </c>
      <c r="CL117" s="18">
        <f>IF(AT117="","",--(AT117='Codebook'!$F$39))</f>
        <v>1</v>
      </c>
      <c r="CM117" s="18">
        <f>IF(AU117="","",--(AU117='Codebook'!$F$40))</f>
        <v>1</v>
      </c>
      <c r="CN117" s="18">
        <f>IF(AV117="","",--(AV117='Codebook'!$F$41))</f>
        <v>1</v>
      </c>
      <c r="CO117" s="18">
        <f>IF(AW117="","",--(AW117='Codebook'!$F$42))</f>
        <v>0</v>
      </c>
      <c r="CP117" s="18">
        <f>IF(AX117="","",--(AX117='Codebook'!$F$43))</f>
        <v>1</v>
      </c>
      <c r="CQ117" s="18">
        <f>IF(AY117="","",--(AY117='Codebook'!$F$44))</f>
        <v>0</v>
      </c>
      <c r="CR117" s="18">
        <f>IF(AZ117="","",--(AZ117='Codebook'!$F$45))</f>
        <v>0</v>
      </c>
    </row>
    <row r="118" spans="2:96" ht="24" customHeight="1">
      <c r="B118" s="18">
        <v>113</v>
      </c>
      <c r="C118" s="23">
        <v>46284.82751346064</v>
      </c>
      <c r="D118" s="21" t="s">
        <v>270</v>
      </c>
      <c r="E118" s="21" t="s">
        <v>194</v>
      </c>
      <c r="F118" s="21" t="s">
        <v>212</v>
      </c>
      <c r="G118" s="17" t="s">
        <v>224</v>
      </c>
      <c r="H118" s="21" t="s">
        <v>197</v>
      </c>
      <c r="I118" s="18">
        <f>SUM(BL118:BU118)</f>
        <v>10</v>
      </c>
      <c r="J118" s="18">
        <f>IF(COUNT(BV118:CD118)=9,SUM(BV118:CD118),"")</f>
        <v>5</v>
      </c>
      <c r="K118" s="18">
        <f>SUM(BL118:CD118)</f>
        <v>15</v>
      </c>
      <c r="L118" s="18">
        <f>--(K118&gt;='Codebook'!$C$8)</f>
        <v>1</v>
      </c>
      <c r="M118" s="18">
        <f>--(COUNT(BL118:CD118)=19)</f>
        <v>1</v>
      </c>
      <c r="N118" s="18">
        <f>SUM(CE118:CL118)</f>
        <v>3</v>
      </c>
      <c r="O118" s="18">
        <f>SUM(CM118:CR118)</f>
        <v>6</v>
      </c>
      <c r="P118" s="18">
        <f>N118+O118</f>
        <v>9</v>
      </c>
      <c r="Q118" s="21" t="s">
        <v>197</v>
      </c>
      <c r="R118" s="17" t="s">
        <v>152</v>
      </c>
      <c r="S118" s="18">
        <f>--OR(Overview!$B$6="All",E118=Overview!$B$6)*--OR(Overview!$F$6="All",F118=Overview!$F$6)*--OR(Overview!$J$6="All",G118=Overview!$J$6)*--OR(Overview!$N$6="All",H118=Overview!$N$6)</f>
        <v>1</v>
      </c>
      <c r="T118" s="21" t="s">
        <v>22</v>
      </c>
      <c r="U118" s="21" t="s">
        <v>26</v>
      </c>
      <c r="V118" s="21" t="s">
        <v>26</v>
      </c>
      <c r="W118" s="21" t="s">
        <v>22</v>
      </c>
      <c r="X118" s="21" t="s">
        <v>22</v>
      </c>
      <c r="Y118" s="21" t="s">
        <v>26</v>
      </c>
      <c r="Z118" s="21" t="s">
        <v>22</v>
      </c>
      <c r="AA118" s="21" t="s">
        <v>22</v>
      </c>
      <c r="AB118" s="21" t="s">
        <v>26</v>
      </c>
      <c r="AC118" s="21" t="s">
        <v>22</v>
      </c>
      <c r="AD118" s="21" t="s">
        <v>22</v>
      </c>
      <c r="AE118" s="21" t="s">
        <v>198</v>
      </c>
      <c r="AF118" s="21" t="s">
        <v>26</v>
      </c>
      <c r="AG118" s="21" t="s">
        <v>198</v>
      </c>
      <c r="AH118" s="21" t="s">
        <v>198</v>
      </c>
      <c r="AI118" s="21" t="s">
        <v>26</v>
      </c>
      <c r="AJ118" s="21" t="s">
        <v>22</v>
      </c>
      <c r="AK118" s="21" t="s">
        <v>22</v>
      </c>
      <c r="AL118" s="21" t="s">
        <v>26</v>
      </c>
      <c r="AM118" s="21" t="s">
        <v>198</v>
      </c>
      <c r="AN118" s="21" t="s">
        <v>83</v>
      </c>
      <c r="AO118" s="21" t="s">
        <v>83</v>
      </c>
      <c r="AP118" s="21" t="s">
        <v>83</v>
      </c>
      <c r="AQ118" s="21" t="s">
        <v>198</v>
      </c>
      <c r="AR118" s="21" t="s">
        <v>198</v>
      </c>
      <c r="AS118" s="21" t="s">
        <v>198</v>
      </c>
      <c r="AT118" s="21" t="s">
        <v>198</v>
      </c>
      <c r="AU118" s="21" t="s">
        <v>109</v>
      </c>
      <c r="AV118" s="21" t="s">
        <v>109</v>
      </c>
      <c r="AW118" s="21" t="s">
        <v>109</v>
      </c>
      <c r="AX118" s="21" t="s">
        <v>109</v>
      </c>
      <c r="AY118" s="21" t="s">
        <v>109</v>
      </c>
      <c r="AZ118" s="21" t="s">
        <v>109</v>
      </c>
      <c r="BA118" s="17" t="s">
        <v>246</v>
      </c>
      <c r="BB118" s="17" t="s">
        <v>223</v>
      </c>
      <c r="BC118" s="18">
        <f>--ISNUMBER(SEARCH("Radio or television",BA118))</f>
        <v>1</v>
      </c>
      <c r="BD118" s="18">
        <f>--ISNUMBER(SEARCH("Newspapers or print media",BA118))</f>
        <v>0</v>
      </c>
      <c r="BE118" s="18">
        <f>--ISNUMBER(SEARCH("Social media (e.g. Facebook, WhatsApp, YouTube, X/Twitter)",BA118))</f>
        <v>1</v>
      </c>
      <c r="BF118" s="18">
        <f>--ISNUMBER(SEARCH("Family members",BA118))</f>
        <v>0</v>
      </c>
      <c r="BG118" s="18">
        <f>--ISNUMBER(SEARCH("Friends or fellow students",BA118))</f>
        <v>0</v>
      </c>
      <c r="BH118" s="18">
        <f>--ISNUMBER(SEARCH("School coursework or lectures",BA118))</f>
        <v>0</v>
      </c>
      <c r="BI118" s="18">
        <f>--ISNUMBER(SEARCH("NHIMA outreach activities or NHIMA offices",BA118))</f>
        <v>0</v>
      </c>
      <c r="BJ118" s="18">
        <f>--ISNUMBER(SEARCH("Health facility staff",BA118))</f>
        <v>0</v>
      </c>
      <c r="BK118" s="18">
        <f>--ISNUMBER(SEARCH("not received information",BA118))</f>
        <v>0</v>
      </c>
      <c r="BL118" s="18">
        <f>IF(T118="","",--(T118='Codebook'!$F$13))</f>
        <v>1</v>
      </c>
      <c r="BM118" s="18">
        <f>IF(U118="","",--(U118='Codebook'!$F$14))</f>
        <v>1</v>
      </c>
      <c r="BN118" s="18">
        <f>IF(V118="","",--(V118='Codebook'!$F$15))</f>
        <v>1</v>
      </c>
      <c r="BO118" s="18">
        <f>IF(W118="","",--(W118='Codebook'!$F$16))</f>
        <v>1</v>
      </c>
      <c r="BP118" s="18">
        <f>IF(X118="","",--(X118='Codebook'!$F$17))</f>
        <v>1</v>
      </c>
      <c r="BQ118" s="18">
        <f>IF(Y118="","",--(Y118='Codebook'!$F$18))</f>
        <v>1</v>
      </c>
      <c r="BR118" s="18">
        <f>IF(Z118="","",--(Z118='Codebook'!$F$19))</f>
        <v>1</v>
      </c>
      <c r="BS118" s="18">
        <f>IF(AA118="","",--(AA118='Codebook'!$F$20))</f>
        <v>1</v>
      </c>
      <c r="BT118" s="18">
        <f>IF(AB118="","",--(AB118='Codebook'!$F$21))</f>
        <v>1</v>
      </c>
      <c r="BU118" s="18">
        <f>IF(AC118="","",--(AC118='Codebook'!$F$22))</f>
        <v>1</v>
      </c>
      <c r="BV118" s="18">
        <f>IF(AD118="","",--(AD118='Codebook'!$F$23))</f>
        <v>1</v>
      </c>
      <c r="BW118" s="18">
        <f>IF(AE118="","",--(AE118='Codebook'!$F$24))</f>
        <v>0</v>
      </c>
      <c r="BX118" s="18">
        <f>IF(AF118="","",--(AF118='Codebook'!$F$25))</f>
        <v>1</v>
      </c>
      <c r="BY118" s="18">
        <f>IF(AG118="","",--(AG118='Codebook'!$F$26))</f>
        <v>0</v>
      </c>
      <c r="BZ118" s="18">
        <f>IF(AH118="","",--(AH118='Codebook'!$F$27))</f>
        <v>0</v>
      </c>
      <c r="CA118" s="18">
        <f>IF(AI118="","",--(AI118='Codebook'!$F$28))</f>
        <v>1</v>
      </c>
      <c r="CB118" s="18">
        <f>IF(AJ118="","",--(AJ118='Codebook'!$F$29))</f>
        <v>0</v>
      </c>
      <c r="CC118" s="18">
        <f>IF(AK118="","",--(AK118='Codebook'!$F$30))</f>
        <v>1</v>
      </c>
      <c r="CD118" s="18">
        <f>IF(AL118="","",--(AL118='Codebook'!$F$31))</f>
        <v>1</v>
      </c>
      <c r="CE118" s="18">
        <f>IF(AM118="","",--(AM118='Codebook'!$F$32))</f>
        <v>0</v>
      </c>
      <c r="CF118" s="18">
        <f>IF(AN118="","",--(AN118='Codebook'!$F$33))</f>
        <v>1</v>
      </c>
      <c r="CG118" s="18">
        <f>IF(AO118="","",--(AO118='Codebook'!$F$34))</f>
        <v>1</v>
      </c>
      <c r="CH118" s="18">
        <f>IF(AP118="","",--(AP118='Codebook'!$F$35))</f>
        <v>1</v>
      </c>
      <c r="CI118" s="18">
        <f>IF(AQ118="","",--(AQ118='Codebook'!$F$36))</f>
        <v>0</v>
      </c>
      <c r="CJ118" s="18">
        <f>IF(AR118="","",--(AR118='Codebook'!$F$37))</f>
        <v>0</v>
      </c>
      <c r="CK118" s="18">
        <f>IF(AS118="","",--(AS118='Codebook'!$F$38))</f>
        <v>0</v>
      </c>
      <c r="CL118" s="18">
        <f>IF(AT118="","",--(AT118='Codebook'!$F$39))</f>
        <v>0</v>
      </c>
      <c r="CM118" s="18">
        <f>IF(AU118="","",--(AU118='Codebook'!$F$40))</f>
        <v>1</v>
      </c>
      <c r="CN118" s="18">
        <f>IF(AV118="","",--(AV118='Codebook'!$F$41))</f>
        <v>1</v>
      </c>
      <c r="CO118" s="18">
        <f>IF(AW118="","",--(AW118='Codebook'!$F$42))</f>
        <v>1</v>
      </c>
      <c r="CP118" s="18">
        <f>IF(AX118="","",--(AX118='Codebook'!$F$43))</f>
        <v>1</v>
      </c>
      <c r="CQ118" s="18">
        <f>IF(AY118="","",--(AY118='Codebook'!$F$44))</f>
        <v>1</v>
      </c>
      <c r="CR118" s="18">
        <f>IF(AZ118="","",--(AZ118='Codebook'!$F$45))</f>
        <v>1</v>
      </c>
    </row>
    <row r="119" spans="2:96" ht="24" customHeight="1">
      <c r="B119" s="18">
        <v>114</v>
      </c>
      <c r="C119" s="23">
        <v>46284.82978376158</v>
      </c>
      <c r="D119" s="21" t="s">
        <v>268</v>
      </c>
      <c r="E119" s="21" t="s">
        <v>206</v>
      </c>
      <c r="F119" s="21" t="s">
        <v>195</v>
      </c>
      <c r="G119" s="17" t="s">
        <v>202</v>
      </c>
      <c r="H119" s="21" t="s">
        <v>207</v>
      </c>
      <c r="I119" s="18">
        <f>SUM(BL119:BU119)</f>
        <v>0</v>
      </c>
      <c r="J119" s="18">
        <f>IF(COUNT(BV119:CD119)=9,SUM(BV119:CD119),"")</f>
        <v>0</v>
      </c>
      <c r="K119" s="18">
        <f>SUM(BL119:CD119)</f>
        <v>0</v>
      </c>
      <c r="L119" s="18">
        <f>--(K119&gt;='Codebook'!$C$8)</f>
        <v>0</v>
      </c>
      <c r="M119" s="18">
        <f>--(COUNT(BL119:CD119)=19)</f>
        <v>1</v>
      </c>
      <c r="N119" s="18">
        <f>SUM(CE119:CL119)</f>
        <v>0</v>
      </c>
      <c r="O119" s="18">
        <f>SUM(CM119:CR119)</f>
        <v>0</v>
      </c>
      <c r="P119" s="18">
        <f>N119+O119</f>
        <v>0</v>
      </c>
      <c r="Q119" s="21" t="s">
        <v>197</v>
      </c>
      <c r="R119" s="17" t="s">
        <v>154</v>
      </c>
      <c r="S119" s="18">
        <f>--OR(Overview!$B$6="All",E119=Overview!$B$6)*--OR(Overview!$F$6="All",F119=Overview!$F$6)*--OR(Overview!$J$6="All",G119=Overview!$J$6)*--OR(Overview!$N$6="All",H119=Overview!$N$6)</f>
        <v>1</v>
      </c>
      <c r="T119" s="21" t="s">
        <v>198</v>
      </c>
      <c r="U119" s="21" t="s">
        <v>198</v>
      </c>
      <c r="V119" s="21" t="s">
        <v>198</v>
      </c>
      <c r="W119" s="21" t="s">
        <v>198</v>
      </c>
      <c r="X119" s="21" t="s">
        <v>198</v>
      </c>
      <c r="Y119" s="21" t="s">
        <v>198</v>
      </c>
      <c r="Z119" s="21" t="s">
        <v>198</v>
      </c>
      <c r="AA119" s="21" t="s">
        <v>198</v>
      </c>
      <c r="AB119" s="21" t="s">
        <v>198</v>
      </c>
      <c r="AC119" s="21" t="s">
        <v>198</v>
      </c>
      <c r="AD119" s="21" t="s">
        <v>198</v>
      </c>
      <c r="AE119" s="21" t="s">
        <v>198</v>
      </c>
      <c r="AF119" s="21" t="s">
        <v>198</v>
      </c>
      <c r="AG119" s="21" t="s">
        <v>198</v>
      </c>
      <c r="AH119" s="21" t="s">
        <v>198</v>
      </c>
      <c r="AI119" s="21" t="s">
        <v>198</v>
      </c>
      <c r="AJ119" s="21" t="s">
        <v>198</v>
      </c>
      <c r="AK119" s="21" t="s">
        <v>198</v>
      </c>
      <c r="AL119" s="21" t="s">
        <v>198</v>
      </c>
      <c r="AM119" s="21" t="s">
        <v>198</v>
      </c>
      <c r="AN119" s="21" t="s">
        <v>198</v>
      </c>
      <c r="AO119" s="21" t="s">
        <v>198</v>
      </c>
      <c r="AP119" s="21" t="s">
        <v>198</v>
      </c>
      <c r="AQ119" s="21" t="s">
        <v>198</v>
      </c>
      <c r="AR119" s="21" t="s">
        <v>198</v>
      </c>
      <c r="AS119" s="21" t="s">
        <v>198</v>
      </c>
      <c r="AT119" s="21" t="s">
        <v>198</v>
      </c>
      <c r="AU119" s="21" t="s">
        <v>198</v>
      </c>
      <c r="AV119" s="21" t="s">
        <v>198</v>
      </c>
      <c r="AW119" s="21" t="s">
        <v>198</v>
      </c>
      <c r="AX119" s="21" t="s">
        <v>198</v>
      </c>
      <c r="AY119" s="21" t="s">
        <v>198</v>
      </c>
      <c r="AZ119" s="21" t="s">
        <v>198</v>
      </c>
      <c r="BA119" s="17" t="s">
        <v>250</v>
      </c>
      <c r="BB119" s="17" t="s">
        <v>250</v>
      </c>
      <c r="BC119" s="18">
        <f>--ISNUMBER(SEARCH("Radio or television",BA119))</f>
        <v>0</v>
      </c>
      <c r="BD119" s="18">
        <f>--ISNUMBER(SEARCH("Newspapers or print media",BA119))</f>
        <v>0</v>
      </c>
      <c r="BE119" s="18">
        <f>--ISNUMBER(SEARCH("Social media (e.g. Facebook, WhatsApp, YouTube, X/Twitter)",BA119))</f>
        <v>1</v>
      </c>
      <c r="BF119" s="18">
        <f>--ISNUMBER(SEARCH("Family members",BA119))</f>
        <v>0</v>
      </c>
      <c r="BG119" s="18">
        <f>--ISNUMBER(SEARCH("Friends or fellow students",BA119))</f>
        <v>0</v>
      </c>
      <c r="BH119" s="18">
        <f>--ISNUMBER(SEARCH("School coursework or lectures",BA119))</f>
        <v>0</v>
      </c>
      <c r="BI119" s="18">
        <f>--ISNUMBER(SEARCH("NHIMA outreach activities or NHIMA offices",BA119))</f>
        <v>0</v>
      </c>
      <c r="BJ119" s="18">
        <f>--ISNUMBER(SEARCH("Health facility staff",BA119))</f>
        <v>0</v>
      </c>
      <c r="BK119" s="18">
        <f>--ISNUMBER(SEARCH("not received information",BA119))</f>
        <v>0</v>
      </c>
      <c r="BL119" s="18">
        <f>IF(T119="","",--(T119='Codebook'!$F$13))</f>
        <v>0</v>
      </c>
      <c r="BM119" s="18">
        <f>IF(U119="","",--(U119='Codebook'!$F$14))</f>
        <v>0</v>
      </c>
      <c r="BN119" s="18">
        <f>IF(V119="","",--(V119='Codebook'!$F$15))</f>
        <v>0</v>
      </c>
      <c r="BO119" s="18">
        <f>IF(W119="","",--(W119='Codebook'!$F$16))</f>
        <v>0</v>
      </c>
      <c r="BP119" s="18">
        <f>IF(X119="","",--(X119='Codebook'!$F$17))</f>
        <v>0</v>
      </c>
      <c r="BQ119" s="18">
        <f>IF(Y119="","",--(Y119='Codebook'!$F$18))</f>
        <v>0</v>
      </c>
      <c r="BR119" s="18">
        <f>IF(Z119="","",--(Z119='Codebook'!$F$19))</f>
        <v>0</v>
      </c>
      <c r="BS119" s="18">
        <f>IF(AA119="","",--(AA119='Codebook'!$F$20))</f>
        <v>0</v>
      </c>
      <c r="BT119" s="18">
        <f>IF(AB119="","",--(AB119='Codebook'!$F$21))</f>
        <v>0</v>
      </c>
      <c r="BU119" s="18">
        <f>IF(AC119="","",--(AC119='Codebook'!$F$22))</f>
        <v>0</v>
      </c>
      <c r="BV119" s="18">
        <f>IF(AD119="","",--(AD119='Codebook'!$F$23))</f>
        <v>0</v>
      </c>
      <c r="BW119" s="18">
        <f>IF(AE119="","",--(AE119='Codebook'!$F$24))</f>
        <v>0</v>
      </c>
      <c r="BX119" s="18">
        <f>IF(AF119="","",--(AF119='Codebook'!$F$25))</f>
        <v>0</v>
      </c>
      <c r="BY119" s="18">
        <f>IF(AG119="","",--(AG119='Codebook'!$F$26))</f>
        <v>0</v>
      </c>
      <c r="BZ119" s="18">
        <f>IF(AH119="","",--(AH119='Codebook'!$F$27))</f>
        <v>0</v>
      </c>
      <c r="CA119" s="18">
        <f>IF(AI119="","",--(AI119='Codebook'!$F$28))</f>
        <v>0</v>
      </c>
      <c r="CB119" s="18">
        <f>IF(AJ119="","",--(AJ119='Codebook'!$F$29))</f>
        <v>0</v>
      </c>
      <c r="CC119" s="18">
        <f>IF(AK119="","",--(AK119='Codebook'!$F$30))</f>
        <v>0</v>
      </c>
      <c r="CD119" s="18">
        <f>IF(AL119="","",--(AL119='Codebook'!$F$31))</f>
        <v>0</v>
      </c>
      <c r="CE119" s="18">
        <f>IF(AM119="","",--(AM119='Codebook'!$F$32))</f>
        <v>0</v>
      </c>
      <c r="CF119" s="18">
        <f>IF(AN119="","",--(AN119='Codebook'!$F$33))</f>
        <v>0</v>
      </c>
      <c r="CG119" s="18">
        <f>IF(AO119="","",--(AO119='Codebook'!$F$34))</f>
        <v>0</v>
      </c>
      <c r="CH119" s="18">
        <f>IF(AP119="","",--(AP119='Codebook'!$F$35))</f>
        <v>0</v>
      </c>
      <c r="CI119" s="18">
        <f>IF(AQ119="","",--(AQ119='Codebook'!$F$36))</f>
        <v>0</v>
      </c>
      <c r="CJ119" s="18">
        <f>IF(AR119="","",--(AR119='Codebook'!$F$37))</f>
        <v>0</v>
      </c>
      <c r="CK119" s="18">
        <f>IF(AS119="","",--(AS119='Codebook'!$F$38))</f>
        <v>0</v>
      </c>
      <c r="CL119" s="18">
        <f>IF(AT119="","",--(AT119='Codebook'!$F$39))</f>
        <v>0</v>
      </c>
      <c r="CM119" s="18">
        <f>IF(AU119="","",--(AU119='Codebook'!$F$40))</f>
        <v>0</v>
      </c>
      <c r="CN119" s="18">
        <f>IF(AV119="","",--(AV119='Codebook'!$F$41))</f>
        <v>0</v>
      </c>
      <c r="CO119" s="18">
        <f>IF(AW119="","",--(AW119='Codebook'!$F$42))</f>
        <v>0</v>
      </c>
      <c r="CP119" s="18">
        <f>IF(AX119="","",--(AX119='Codebook'!$F$43))</f>
        <v>0</v>
      </c>
      <c r="CQ119" s="18">
        <f>IF(AY119="","",--(AY119='Codebook'!$F$44))</f>
        <v>0</v>
      </c>
      <c r="CR119" s="18">
        <f>IF(AZ119="","",--(AZ119='Codebook'!$F$45))</f>
        <v>0</v>
      </c>
    </row>
    <row r="120" spans="2:96" ht="24" customHeight="1">
      <c r="B120" s="18">
        <v>115</v>
      </c>
      <c r="C120" s="23">
        <v>46284.83139039352</v>
      </c>
      <c r="D120" s="21" t="s">
        <v>275</v>
      </c>
      <c r="E120" s="21" t="s">
        <v>194</v>
      </c>
      <c r="F120" s="21" t="s">
        <v>201</v>
      </c>
      <c r="G120" s="17" t="s">
        <v>196</v>
      </c>
      <c r="H120" s="21" t="s">
        <v>207</v>
      </c>
      <c r="I120" s="18">
        <f>SUM(BL120:BU120)</f>
        <v>8</v>
      </c>
      <c r="J120" s="18">
        <f>IF(COUNT(BV120:CD120)=9,SUM(BV120:CD120),"")</f>
        <v>5</v>
      </c>
      <c r="K120" s="18">
        <f>SUM(BL120:CD120)</f>
        <v>13</v>
      </c>
      <c r="L120" s="18">
        <f>--(K120&gt;='Codebook'!$C$8)</f>
        <v>1</v>
      </c>
      <c r="M120" s="18">
        <f>--(COUNT(BL120:CD120)=19)</f>
        <v>1</v>
      </c>
      <c r="N120" s="18">
        <f>SUM(CE120:CL120)</f>
        <v>0</v>
      </c>
      <c r="O120" s="18">
        <f>SUM(CM120:CR120)</f>
        <v>0</v>
      </c>
      <c r="P120" s="18">
        <f>N120+O120</f>
        <v>0</v>
      </c>
      <c r="Q120" s="21" t="s">
        <v>197</v>
      </c>
      <c r="R120" s="17" t="s">
        <v>152</v>
      </c>
      <c r="S120" s="18">
        <f>--OR(Overview!$B$6="All",E120=Overview!$B$6)*--OR(Overview!$F$6="All",F120=Overview!$F$6)*--OR(Overview!$J$6="All",G120=Overview!$J$6)*--OR(Overview!$N$6="All",H120=Overview!$N$6)</f>
        <v>1</v>
      </c>
      <c r="T120" s="21" t="s">
        <v>22</v>
      </c>
      <c r="U120" s="21" t="s">
        <v>22</v>
      </c>
      <c r="V120" s="21" t="s">
        <v>198</v>
      </c>
      <c r="W120" s="21" t="s">
        <v>22</v>
      </c>
      <c r="X120" s="21" t="s">
        <v>22</v>
      </c>
      <c r="Y120" s="21" t="s">
        <v>26</v>
      </c>
      <c r="Z120" s="21" t="s">
        <v>22</v>
      </c>
      <c r="AA120" s="21" t="s">
        <v>22</v>
      </c>
      <c r="AB120" s="21" t="s">
        <v>26</v>
      </c>
      <c r="AC120" s="21" t="s">
        <v>22</v>
      </c>
      <c r="AD120" s="21" t="s">
        <v>22</v>
      </c>
      <c r="AE120" s="21" t="s">
        <v>198</v>
      </c>
      <c r="AF120" s="21" t="s">
        <v>26</v>
      </c>
      <c r="AG120" s="21" t="s">
        <v>198</v>
      </c>
      <c r="AH120" s="21" t="s">
        <v>198</v>
      </c>
      <c r="AI120" s="21" t="s">
        <v>26</v>
      </c>
      <c r="AJ120" s="21" t="s">
        <v>198</v>
      </c>
      <c r="AK120" s="21" t="s">
        <v>22</v>
      </c>
      <c r="AL120" s="21" t="s">
        <v>26</v>
      </c>
      <c r="AM120" s="21" t="s">
        <v>198</v>
      </c>
      <c r="AN120" s="21" t="s">
        <v>198</v>
      </c>
      <c r="AO120" s="21" t="s">
        <v>198</v>
      </c>
      <c r="AP120" s="21" t="s">
        <v>198</v>
      </c>
      <c r="AQ120" s="21" t="s">
        <v>198</v>
      </c>
      <c r="AR120" s="21" t="s">
        <v>198</v>
      </c>
      <c r="AS120" s="21" t="s">
        <v>198</v>
      </c>
      <c r="AT120" s="21" t="s">
        <v>198</v>
      </c>
      <c r="AU120" s="21" t="s">
        <v>198</v>
      </c>
      <c r="AV120" s="21" t="s">
        <v>198</v>
      </c>
      <c r="AW120" s="21" t="s">
        <v>198</v>
      </c>
      <c r="AX120" s="21" t="s">
        <v>198</v>
      </c>
      <c r="AY120" s="21" t="s">
        <v>198</v>
      </c>
      <c r="AZ120" s="21" t="s">
        <v>198</v>
      </c>
      <c r="BA120" s="17" t="s">
        <v>295</v>
      </c>
      <c r="BB120" s="17" t="s">
        <v>223</v>
      </c>
      <c r="BC120" s="18">
        <f>--ISNUMBER(SEARCH("Radio or television",BA120))</f>
        <v>1</v>
      </c>
      <c r="BD120" s="18">
        <f>--ISNUMBER(SEARCH("Newspapers or print media",BA120))</f>
        <v>0</v>
      </c>
      <c r="BE120" s="18">
        <f>--ISNUMBER(SEARCH("Social media (e.g. Facebook, WhatsApp, YouTube, X/Twitter)",BA120))</f>
        <v>1</v>
      </c>
      <c r="BF120" s="18">
        <f>--ISNUMBER(SEARCH("Family members",BA120))</f>
        <v>1</v>
      </c>
      <c r="BG120" s="18">
        <f>--ISNUMBER(SEARCH("Friends or fellow students",BA120))</f>
        <v>1</v>
      </c>
      <c r="BH120" s="18">
        <f>--ISNUMBER(SEARCH("School coursework or lectures",BA120))</f>
        <v>1</v>
      </c>
      <c r="BI120" s="18">
        <f>--ISNUMBER(SEARCH("NHIMA outreach activities or NHIMA offices",BA120))</f>
        <v>0</v>
      </c>
      <c r="BJ120" s="18">
        <f>--ISNUMBER(SEARCH("Health facility staff",BA120))</f>
        <v>1</v>
      </c>
      <c r="BK120" s="18">
        <f>--ISNUMBER(SEARCH("not received information",BA120))</f>
        <v>0</v>
      </c>
      <c r="BL120" s="18">
        <f>IF(T120="","",--(T120='Codebook'!$F$13))</f>
        <v>1</v>
      </c>
      <c r="BM120" s="18">
        <f>IF(U120="","",--(U120='Codebook'!$F$14))</f>
        <v>0</v>
      </c>
      <c r="BN120" s="18">
        <f>IF(V120="","",--(V120='Codebook'!$F$15))</f>
        <v>0</v>
      </c>
      <c r="BO120" s="18">
        <f>IF(W120="","",--(W120='Codebook'!$F$16))</f>
        <v>1</v>
      </c>
      <c r="BP120" s="18">
        <f>IF(X120="","",--(X120='Codebook'!$F$17))</f>
        <v>1</v>
      </c>
      <c r="BQ120" s="18">
        <f>IF(Y120="","",--(Y120='Codebook'!$F$18))</f>
        <v>1</v>
      </c>
      <c r="BR120" s="18">
        <f>IF(Z120="","",--(Z120='Codebook'!$F$19))</f>
        <v>1</v>
      </c>
      <c r="BS120" s="18">
        <f>IF(AA120="","",--(AA120='Codebook'!$F$20))</f>
        <v>1</v>
      </c>
      <c r="BT120" s="18">
        <f>IF(AB120="","",--(AB120='Codebook'!$F$21))</f>
        <v>1</v>
      </c>
      <c r="BU120" s="18">
        <f>IF(AC120="","",--(AC120='Codebook'!$F$22))</f>
        <v>1</v>
      </c>
      <c r="BV120" s="18">
        <f>IF(AD120="","",--(AD120='Codebook'!$F$23))</f>
        <v>1</v>
      </c>
      <c r="BW120" s="18">
        <f>IF(AE120="","",--(AE120='Codebook'!$F$24))</f>
        <v>0</v>
      </c>
      <c r="BX120" s="18">
        <f>IF(AF120="","",--(AF120='Codebook'!$F$25))</f>
        <v>1</v>
      </c>
      <c r="BY120" s="18">
        <f>IF(AG120="","",--(AG120='Codebook'!$F$26))</f>
        <v>0</v>
      </c>
      <c r="BZ120" s="18">
        <f>IF(AH120="","",--(AH120='Codebook'!$F$27))</f>
        <v>0</v>
      </c>
      <c r="CA120" s="18">
        <f>IF(AI120="","",--(AI120='Codebook'!$F$28))</f>
        <v>1</v>
      </c>
      <c r="CB120" s="18">
        <f>IF(AJ120="","",--(AJ120='Codebook'!$F$29))</f>
        <v>0</v>
      </c>
      <c r="CC120" s="18">
        <f>IF(AK120="","",--(AK120='Codebook'!$F$30))</f>
        <v>1</v>
      </c>
      <c r="CD120" s="18">
        <f>IF(AL120="","",--(AL120='Codebook'!$F$31))</f>
        <v>1</v>
      </c>
      <c r="CE120" s="18">
        <f>IF(AM120="","",--(AM120='Codebook'!$F$32))</f>
        <v>0</v>
      </c>
      <c r="CF120" s="18">
        <f>IF(AN120="","",--(AN120='Codebook'!$F$33))</f>
        <v>0</v>
      </c>
      <c r="CG120" s="18">
        <f>IF(AO120="","",--(AO120='Codebook'!$F$34))</f>
        <v>0</v>
      </c>
      <c r="CH120" s="18">
        <f>IF(AP120="","",--(AP120='Codebook'!$F$35))</f>
        <v>0</v>
      </c>
      <c r="CI120" s="18">
        <f>IF(AQ120="","",--(AQ120='Codebook'!$F$36))</f>
        <v>0</v>
      </c>
      <c r="CJ120" s="18">
        <f>IF(AR120="","",--(AR120='Codebook'!$F$37))</f>
        <v>0</v>
      </c>
      <c r="CK120" s="18">
        <f>IF(AS120="","",--(AS120='Codebook'!$F$38))</f>
        <v>0</v>
      </c>
      <c r="CL120" s="18">
        <f>IF(AT120="","",--(AT120='Codebook'!$F$39))</f>
        <v>0</v>
      </c>
      <c r="CM120" s="18">
        <f>IF(AU120="","",--(AU120='Codebook'!$F$40))</f>
        <v>0</v>
      </c>
      <c r="CN120" s="18">
        <f>IF(AV120="","",--(AV120='Codebook'!$F$41))</f>
        <v>0</v>
      </c>
      <c r="CO120" s="18">
        <f>IF(AW120="","",--(AW120='Codebook'!$F$42))</f>
        <v>0</v>
      </c>
      <c r="CP120" s="18">
        <f>IF(AX120="","",--(AX120='Codebook'!$F$43))</f>
        <v>0</v>
      </c>
      <c r="CQ120" s="18">
        <f>IF(AY120="","",--(AY120='Codebook'!$F$44))</f>
        <v>0</v>
      </c>
      <c r="CR120" s="18">
        <f>IF(AZ120="","",--(AZ120='Codebook'!$F$45))</f>
        <v>0</v>
      </c>
    </row>
    <row r="121" spans="2:96" ht="24" customHeight="1">
      <c r="B121" s="18">
        <v>116</v>
      </c>
      <c r="C121" s="23">
        <v>46284.83338866898</v>
      </c>
      <c r="D121" s="21" t="s">
        <v>275</v>
      </c>
      <c r="E121" s="21" t="s">
        <v>206</v>
      </c>
      <c r="F121" s="21" t="s">
        <v>226</v>
      </c>
      <c r="G121" s="17" t="s">
        <v>247</v>
      </c>
      <c r="H121" s="21" t="s">
        <v>198</v>
      </c>
      <c r="I121" s="18">
        <f>SUM(BL121:BU121)</f>
        <v>0</v>
      </c>
      <c r="J121" s="18">
        <f>IF(COUNT(BV121:CD121)=9,SUM(BV121:CD121),"")</f>
        <v>0</v>
      </c>
      <c r="K121" s="18">
        <f>SUM(BL121:CD121)</f>
        <v>0</v>
      </c>
      <c r="L121" s="18">
        <f>--(K121&gt;='Codebook'!$C$8)</f>
        <v>0</v>
      </c>
      <c r="M121" s="18">
        <f>--(COUNT(BL121:CD121)=19)</f>
        <v>1</v>
      </c>
      <c r="N121" s="18">
        <f>SUM(CE121:CL121)</f>
        <v>0</v>
      </c>
      <c r="O121" s="18">
        <f>SUM(CM121:CR121)</f>
        <v>0</v>
      </c>
      <c r="P121" s="18">
        <f>N121+O121</f>
        <v>0</v>
      </c>
      <c r="Q121" s="21" t="s">
        <v>197</v>
      </c>
      <c r="R121" s="17" t="s">
        <v>256</v>
      </c>
      <c r="S121" s="18">
        <f>--OR(Overview!$B$6="All",E121=Overview!$B$6)*--OR(Overview!$F$6="All",F121=Overview!$F$6)*--OR(Overview!$J$6="All",G121=Overview!$J$6)*--OR(Overview!$N$6="All",H121=Overview!$N$6)</f>
        <v>1</v>
      </c>
      <c r="T121" s="21" t="s">
        <v>198</v>
      </c>
      <c r="U121" s="21" t="s">
        <v>198</v>
      </c>
      <c r="V121" s="21" t="s">
        <v>198</v>
      </c>
      <c r="W121" s="21" t="s">
        <v>198</v>
      </c>
      <c r="X121" s="21" t="s">
        <v>198</v>
      </c>
      <c r="Y121" s="21" t="s">
        <v>198</v>
      </c>
      <c r="Z121" s="21" t="s">
        <v>198</v>
      </c>
      <c r="AA121" s="21" t="s">
        <v>198</v>
      </c>
      <c r="AB121" s="21" t="s">
        <v>198</v>
      </c>
      <c r="AC121" s="21" t="s">
        <v>198</v>
      </c>
      <c r="AD121" s="21" t="s">
        <v>198</v>
      </c>
      <c r="AE121" s="21" t="s">
        <v>198</v>
      </c>
      <c r="AF121" s="21" t="s">
        <v>198</v>
      </c>
      <c r="AG121" s="21" t="s">
        <v>198</v>
      </c>
      <c r="AH121" s="21" t="s">
        <v>198</v>
      </c>
      <c r="AI121" s="21" t="s">
        <v>198</v>
      </c>
      <c r="AJ121" s="21" t="s">
        <v>198</v>
      </c>
      <c r="AK121" s="21" t="s">
        <v>198</v>
      </c>
      <c r="AL121" s="21" t="s">
        <v>198</v>
      </c>
      <c r="AM121" s="21" t="s">
        <v>198</v>
      </c>
      <c r="AN121" s="21" t="s">
        <v>198</v>
      </c>
      <c r="AO121" s="21" t="s">
        <v>198</v>
      </c>
      <c r="AP121" s="21" t="s">
        <v>198</v>
      </c>
      <c r="AQ121" s="21" t="s">
        <v>198</v>
      </c>
      <c r="AR121" s="21" t="s">
        <v>198</v>
      </c>
      <c r="AS121" s="21" t="s">
        <v>198</v>
      </c>
      <c r="AT121" s="21" t="s">
        <v>198</v>
      </c>
      <c r="AU121" s="21" t="s">
        <v>198</v>
      </c>
      <c r="AV121" s="21" t="s">
        <v>198</v>
      </c>
      <c r="AW121" s="21" t="s">
        <v>198</v>
      </c>
      <c r="AX121" s="21" t="s">
        <v>198</v>
      </c>
      <c r="AY121" s="21" t="s">
        <v>198</v>
      </c>
      <c r="AZ121" s="21" t="s">
        <v>198</v>
      </c>
      <c r="BA121" s="17" t="s">
        <v>296</v>
      </c>
      <c r="BB121" s="17" t="s">
        <v>296</v>
      </c>
      <c r="BC121" s="18">
        <f>--ISNUMBER(SEARCH("Radio or television",BA121))</f>
        <v>0</v>
      </c>
      <c r="BD121" s="18">
        <f>--ISNUMBER(SEARCH("Newspapers or print media",BA121))</f>
        <v>0</v>
      </c>
      <c r="BE121" s="18">
        <f>--ISNUMBER(SEARCH("Social media (e.g. Facebook, WhatsApp, YouTube, X/Twitter)",BA121))</f>
        <v>0</v>
      </c>
      <c r="BF121" s="18">
        <f>--ISNUMBER(SEARCH("Family members",BA121))</f>
        <v>0</v>
      </c>
      <c r="BG121" s="18">
        <f>--ISNUMBER(SEARCH("Friends or fellow students",BA121))</f>
        <v>0</v>
      </c>
      <c r="BH121" s="18">
        <f>--ISNUMBER(SEARCH("School coursework or lectures",BA121))</f>
        <v>0</v>
      </c>
      <c r="BI121" s="18">
        <f>--ISNUMBER(SEARCH("NHIMA outreach activities or NHIMA offices",BA121))</f>
        <v>0</v>
      </c>
      <c r="BJ121" s="18">
        <f>--ISNUMBER(SEARCH("Health facility staff",BA121))</f>
        <v>0</v>
      </c>
      <c r="BK121" s="18">
        <f>--ISNUMBER(SEARCH("not received information",BA121))</f>
        <v>1</v>
      </c>
      <c r="BL121" s="18">
        <f>IF(T121="","",--(T121='Codebook'!$F$13))</f>
        <v>0</v>
      </c>
      <c r="BM121" s="18">
        <f>IF(U121="","",--(U121='Codebook'!$F$14))</f>
        <v>0</v>
      </c>
      <c r="BN121" s="18">
        <f>IF(V121="","",--(V121='Codebook'!$F$15))</f>
        <v>0</v>
      </c>
      <c r="BO121" s="18">
        <f>IF(W121="","",--(W121='Codebook'!$F$16))</f>
        <v>0</v>
      </c>
      <c r="BP121" s="18">
        <f>IF(X121="","",--(X121='Codebook'!$F$17))</f>
        <v>0</v>
      </c>
      <c r="BQ121" s="18">
        <f>IF(Y121="","",--(Y121='Codebook'!$F$18))</f>
        <v>0</v>
      </c>
      <c r="BR121" s="18">
        <f>IF(Z121="","",--(Z121='Codebook'!$F$19))</f>
        <v>0</v>
      </c>
      <c r="BS121" s="18">
        <f>IF(AA121="","",--(AA121='Codebook'!$F$20))</f>
        <v>0</v>
      </c>
      <c r="BT121" s="18">
        <f>IF(AB121="","",--(AB121='Codebook'!$F$21))</f>
        <v>0</v>
      </c>
      <c r="BU121" s="18">
        <f>IF(AC121="","",--(AC121='Codebook'!$F$22))</f>
        <v>0</v>
      </c>
      <c r="BV121" s="18">
        <f>IF(AD121="","",--(AD121='Codebook'!$F$23))</f>
        <v>0</v>
      </c>
      <c r="BW121" s="18">
        <f>IF(AE121="","",--(AE121='Codebook'!$F$24))</f>
        <v>0</v>
      </c>
      <c r="BX121" s="18">
        <f>IF(AF121="","",--(AF121='Codebook'!$F$25))</f>
        <v>0</v>
      </c>
      <c r="BY121" s="18">
        <f>IF(AG121="","",--(AG121='Codebook'!$F$26))</f>
        <v>0</v>
      </c>
      <c r="BZ121" s="18">
        <f>IF(AH121="","",--(AH121='Codebook'!$F$27))</f>
        <v>0</v>
      </c>
      <c r="CA121" s="18">
        <f>IF(AI121="","",--(AI121='Codebook'!$F$28))</f>
        <v>0</v>
      </c>
      <c r="CB121" s="18">
        <f>IF(AJ121="","",--(AJ121='Codebook'!$F$29))</f>
        <v>0</v>
      </c>
      <c r="CC121" s="18">
        <f>IF(AK121="","",--(AK121='Codebook'!$F$30))</f>
        <v>0</v>
      </c>
      <c r="CD121" s="18">
        <f>IF(AL121="","",--(AL121='Codebook'!$F$31))</f>
        <v>0</v>
      </c>
      <c r="CE121" s="18">
        <f>IF(AM121="","",--(AM121='Codebook'!$F$32))</f>
        <v>0</v>
      </c>
      <c r="CF121" s="18">
        <f>IF(AN121="","",--(AN121='Codebook'!$F$33))</f>
        <v>0</v>
      </c>
      <c r="CG121" s="18">
        <f>IF(AO121="","",--(AO121='Codebook'!$F$34))</f>
        <v>0</v>
      </c>
      <c r="CH121" s="18">
        <f>IF(AP121="","",--(AP121='Codebook'!$F$35))</f>
        <v>0</v>
      </c>
      <c r="CI121" s="18">
        <f>IF(AQ121="","",--(AQ121='Codebook'!$F$36))</f>
        <v>0</v>
      </c>
      <c r="CJ121" s="18">
        <f>IF(AR121="","",--(AR121='Codebook'!$F$37))</f>
        <v>0</v>
      </c>
      <c r="CK121" s="18">
        <f>IF(AS121="","",--(AS121='Codebook'!$F$38))</f>
        <v>0</v>
      </c>
      <c r="CL121" s="18">
        <f>IF(AT121="","",--(AT121='Codebook'!$F$39))</f>
        <v>0</v>
      </c>
      <c r="CM121" s="18">
        <f>IF(AU121="","",--(AU121='Codebook'!$F$40))</f>
        <v>0</v>
      </c>
      <c r="CN121" s="18">
        <f>IF(AV121="","",--(AV121='Codebook'!$F$41))</f>
        <v>0</v>
      </c>
      <c r="CO121" s="18">
        <f>IF(AW121="","",--(AW121='Codebook'!$F$42))</f>
        <v>0</v>
      </c>
      <c r="CP121" s="18">
        <f>IF(AX121="","",--(AX121='Codebook'!$F$43))</f>
        <v>0</v>
      </c>
      <c r="CQ121" s="18">
        <f>IF(AY121="","",--(AY121='Codebook'!$F$44))</f>
        <v>0</v>
      </c>
      <c r="CR121" s="18">
        <f>IF(AZ121="","",--(AZ121='Codebook'!$F$45))</f>
        <v>0</v>
      </c>
    </row>
    <row r="122" spans="2:96" ht="24" customHeight="1">
      <c r="B122" s="18">
        <v>117</v>
      </c>
      <c r="C122" s="23">
        <v>46284.83464170139</v>
      </c>
      <c r="D122" s="21" t="s">
        <v>270</v>
      </c>
      <c r="E122" s="21" t="s">
        <v>206</v>
      </c>
      <c r="F122" s="21" t="s">
        <v>212</v>
      </c>
      <c r="G122" s="17" t="s">
        <v>196</v>
      </c>
      <c r="H122" s="21" t="s">
        <v>207</v>
      </c>
      <c r="I122" s="18">
        <f>SUM(BL122:BU122)</f>
        <v>7</v>
      </c>
      <c r="J122" s="18">
        <f>IF(COUNT(BV122:CD122)=9,SUM(BV122:CD122),"")</f>
        <v>5</v>
      </c>
      <c r="K122" s="18">
        <f>SUM(BL122:CD122)</f>
        <v>12</v>
      </c>
      <c r="L122" s="18">
        <f>--(K122&gt;='Codebook'!$C$8)</f>
        <v>1</v>
      </c>
      <c r="M122" s="18">
        <f>--(COUNT(BL122:CD122)=19)</f>
        <v>1</v>
      </c>
      <c r="N122" s="18">
        <f>SUM(CE122:CL122)</f>
        <v>0</v>
      </c>
      <c r="O122" s="18">
        <f>SUM(CM122:CR122)</f>
        <v>0</v>
      </c>
      <c r="P122" s="18">
        <f>N122+O122</f>
        <v>0</v>
      </c>
      <c r="Q122" s="21" t="s">
        <v>197</v>
      </c>
      <c r="R122" s="17" t="s">
        <v>158</v>
      </c>
      <c r="S122" s="18">
        <f>--OR(Overview!$B$6="All",E122=Overview!$B$6)*--OR(Overview!$F$6="All",F122=Overview!$F$6)*--OR(Overview!$J$6="All",G122=Overview!$J$6)*--OR(Overview!$N$6="All",H122=Overview!$N$6)</f>
        <v>1</v>
      </c>
      <c r="T122" s="21" t="s">
        <v>22</v>
      </c>
      <c r="U122" s="21" t="s">
        <v>22</v>
      </c>
      <c r="V122" s="21" t="s">
        <v>198</v>
      </c>
      <c r="W122" s="21" t="s">
        <v>22</v>
      </c>
      <c r="X122" s="21" t="s">
        <v>22</v>
      </c>
      <c r="Y122" s="21" t="s">
        <v>26</v>
      </c>
      <c r="Z122" s="21" t="s">
        <v>22</v>
      </c>
      <c r="AA122" s="21" t="s">
        <v>198</v>
      </c>
      <c r="AB122" s="21" t="s">
        <v>26</v>
      </c>
      <c r="AC122" s="21" t="s">
        <v>22</v>
      </c>
      <c r="AD122" s="21" t="s">
        <v>22</v>
      </c>
      <c r="AE122" s="21" t="s">
        <v>198</v>
      </c>
      <c r="AF122" s="21" t="s">
        <v>26</v>
      </c>
      <c r="AG122" s="21" t="s">
        <v>198</v>
      </c>
      <c r="AH122" s="21" t="s">
        <v>198</v>
      </c>
      <c r="AI122" s="21" t="s">
        <v>26</v>
      </c>
      <c r="AJ122" s="21" t="s">
        <v>198</v>
      </c>
      <c r="AK122" s="21" t="s">
        <v>22</v>
      </c>
      <c r="AL122" s="21" t="s">
        <v>26</v>
      </c>
      <c r="AM122" s="21" t="s">
        <v>198</v>
      </c>
      <c r="AN122" s="21" t="s">
        <v>198</v>
      </c>
      <c r="AO122" s="21" t="s">
        <v>198</v>
      </c>
      <c r="AP122" s="21" t="s">
        <v>198</v>
      </c>
      <c r="AQ122" s="21" t="s">
        <v>198</v>
      </c>
      <c r="AR122" s="21" t="s">
        <v>198</v>
      </c>
      <c r="AS122" s="21" t="s">
        <v>198</v>
      </c>
      <c r="AT122" s="21" t="s">
        <v>198</v>
      </c>
      <c r="AU122" s="21" t="s">
        <v>198</v>
      </c>
      <c r="AV122" s="21" t="s">
        <v>198</v>
      </c>
      <c r="AW122" s="21" t="s">
        <v>198</v>
      </c>
      <c r="AX122" s="21" t="s">
        <v>198</v>
      </c>
      <c r="AY122" s="21" t="s">
        <v>198</v>
      </c>
      <c r="AZ122" s="21" t="s">
        <v>198</v>
      </c>
      <c r="BA122" s="17" t="s">
        <v>228</v>
      </c>
      <c r="BB122" s="17" t="s">
        <v>225</v>
      </c>
      <c r="BC122" s="18">
        <f>--ISNUMBER(SEARCH("Radio or television",BA122))</f>
        <v>1</v>
      </c>
      <c r="BD122" s="18">
        <f>--ISNUMBER(SEARCH("Newspapers or print media",BA122))</f>
        <v>1</v>
      </c>
      <c r="BE122" s="18">
        <f>--ISNUMBER(SEARCH("Social media (e.g. Facebook, WhatsApp, YouTube, X/Twitter)",BA122))</f>
        <v>1</v>
      </c>
      <c r="BF122" s="18">
        <f>--ISNUMBER(SEARCH("Family members",BA122))</f>
        <v>1</v>
      </c>
      <c r="BG122" s="18">
        <f>--ISNUMBER(SEARCH("Friends or fellow students",BA122))</f>
        <v>1</v>
      </c>
      <c r="BH122" s="18">
        <f>--ISNUMBER(SEARCH("School coursework or lectures",BA122))</f>
        <v>1</v>
      </c>
      <c r="BI122" s="18">
        <f>--ISNUMBER(SEARCH("NHIMA outreach activities or NHIMA offices",BA122))</f>
        <v>1</v>
      </c>
      <c r="BJ122" s="18">
        <f>--ISNUMBER(SEARCH("Health facility staff",BA122))</f>
        <v>1</v>
      </c>
      <c r="BK122" s="18">
        <f>--ISNUMBER(SEARCH("not received information",BA122))</f>
        <v>0</v>
      </c>
      <c r="BL122" s="18">
        <f>IF(T122="","",--(T122='Codebook'!$F$13))</f>
        <v>1</v>
      </c>
      <c r="BM122" s="18">
        <f>IF(U122="","",--(U122='Codebook'!$F$14))</f>
        <v>0</v>
      </c>
      <c r="BN122" s="18">
        <f>IF(V122="","",--(V122='Codebook'!$F$15))</f>
        <v>0</v>
      </c>
      <c r="BO122" s="18">
        <f>IF(W122="","",--(W122='Codebook'!$F$16))</f>
        <v>1</v>
      </c>
      <c r="BP122" s="18">
        <f>IF(X122="","",--(X122='Codebook'!$F$17))</f>
        <v>1</v>
      </c>
      <c r="BQ122" s="18">
        <f>IF(Y122="","",--(Y122='Codebook'!$F$18))</f>
        <v>1</v>
      </c>
      <c r="BR122" s="18">
        <f>IF(Z122="","",--(Z122='Codebook'!$F$19))</f>
        <v>1</v>
      </c>
      <c r="BS122" s="18">
        <f>IF(AA122="","",--(AA122='Codebook'!$F$20))</f>
        <v>0</v>
      </c>
      <c r="BT122" s="18">
        <f>IF(AB122="","",--(AB122='Codebook'!$F$21))</f>
        <v>1</v>
      </c>
      <c r="BU122" s="18">
        <f>IF(AC122="","",--(AC122='Codebook'!$F$22))</f>
        <v>1</v>
      </c>
      <c r="BV122" s="18">
        <f>IF(AD122="","",--(AD122='Codebook'!$F$23))</f>
        <v>1</v>
      </c>
      <c r="BW122" s="18">
        <f>IF(AE122="","",--(AE122='Codebook'!$F$24))</f>
        <v>0</v>
      </c>
      <c r="BX122" s="18">
        <f>IF(AF122="","",--(AF122='Codebook'!$F$25))</f>
        <v>1</v>
      </c>
      <c r="BY122" s="18">
        <f>IF(AG122="","",--(AG122='Codebook'!$F$26))</f>
        <v>0</v>
      </c>
      <c r="BZ122" s="18">
        <f>IF(AH122="","",--(AH122='Codebook'!$F$27))</f>
        <v>0</v>
      </c>
      <c r="CA122" s="18">
        <f>IF(AI122="","",--(AI122='Codebook'!$F$28))</f>
        <v>1</v>
      </c>
      <c r="CB122" s="18">
        <f>IF(AJ122="","",--(AJ122='Codebook'!$F$29))</f>
        <v>0</v>
      </c>
      <c r="CC122" s="18">
        <f>IF(AK122="","",--(AK122='Codebook'!$F$30))</f>
        <v>1</v>
      </c>
      <c r="CD122" s="18">
        <f>IF(AL122="","",--(AL122='Codebook'!$F$31))</f>
        <v>1</v>
      </c>
      <c r="CE122" s="18">
        <f>IF(AM122="","",--(AM122='Codebook'!$F$32))</f>
        <v>0</v>
      </c>
      <c r="CF122" s="18">
        <f>IF(AN122="","",--(AN122='Codebook'!$F$33))</f>
        <v>0</v>
      </c>
      <c r="CG122" s="18">
        <f>IF(AO122="","",--(AO122='Codebook'!$F$34))</f>
        <v>0</v>
      </c>
      <c r="CH122" s="18">
        <f>IF(AP122="","",--(AP122='Codebook'!$F$35))</f>
        <v>0</v>
      </c>
      <c r="CI122" s="18">
        <f>IF(AQ122="","",--(AQ122='Codebook'!$F$36))</f>
        <v>0</v>
      </c>
      <c r="CJ122" s="18">
        <f>IF(AR122="","",--(AR122='Codebook'!$F$37))</f>
        <v>0</v>
      </c>
      <c r="CK122" s="18">
        <f>IF(AS122="","",--(AS122='Codebook'!$F$38))</f>
        <v>0</v>
      </c>
      <c r="CL122" s="18">
        <f>IF(AT122="","",--(AT122='Codebook'!$F$39))</f>
        <v>0</v>
      </c>
      <c r="CM122" s="18">
        <f>IF(AU122="","",--(AU122='Codebook'!$F$40))</f>
        <v>0</v>
      </c>
      <c r="CN122" s="18">
        <f>IF(AV122="","",--(AV122='Codebook'!$F$41))</f>
        <v>0</v>
      </c>
      <c r="CO122" s="18">
        <f>IF(AW122="","",--(AW122='Codebook'!$F$42))</f>
        <v>0</v>
      </c>
      <c r="CP122" s="18">
        <f>IF(AX122="","",--(AX122='Codebook'!$F$43))</f>
        <v>0</v>
      </c>
      <c r="CQ122" s="18">
        <f>IF(AY122="","",--(AY122='Codebook'!$F$44))</f>
        <v>0</v>
      </c>
      <c r="CR122" s="18">
        <f>IF(AZ122="","",--(AZ122='Codebook'!$F$45))</f>
        <v>0</v>
      </c>
    </row>
    <row r="123" spans="2:96" ht="24" customHeight="1">
      <c r="B123" s="18">
        <v>118</v>
      </c>
      <c r="C123" s="23">
        <v>46284.83710344908</v>
      </c>
      <c r="D123" s="21" t="s">
        <v>270</v>
      </c>
      <c r="E123" s="21" t="s">
        <v>194</v>
      </c>
      <c r="F123" s="21" t="s">
        <v>212</v>
      </c>
      <c r="G123" s="17" t="s">
        <v>202</v>
      </c>
      <c r="H123" s="21" t="s">
        <v>198</v>
      </c>
      <c r="I123" s="18">
        <f>SUM(BL123:BU123)</f>
        <v>0</v>
      </c>
      <c r="J123" s="18">
        <f>IF(COUNT(BV123:CD123)=9,SUM(BV123:CD123),"")</f>
        <v>0</v>
      </c>
      <c r="K123" s="18">
        <f>SUM(BL123:CD123)</f>
        <v>0</v>
      </c>
      <c r="L123" s="18">
        <f>--(K123&gt;='Codebook'!$C$8)</f>
        <v>0</v>
      </c>
      <c r="M123" s="18">
        <f>--(COUNT(BL123:CD123)=19)</f>
        <v>1</v>
      </c>
      <c r="N123" s="18">
        <f>SUM(CE123:CL123)</f>
        <v>0</v>
      </c>
      <c r="O123" s="18">
        <f>SUM(CM123:CR123)</f>
        <v>0</v>
      </c>
      <c r="P123" s="18">
        <f>N123+O123</f>
        <v>0</v>
      </c>
      <c r="Q123" s="21" t="s">
        <v>197</v>
      </c>
      <c r="R123" s="17" t="s">
        <v>256</v>
      </c>
      <c r="S123" s="18">
        <f>--OR(Overview!$B$6="All",E123=Overview!$B$6)*--OR(Overview!$F$6="All",F123=Overview!$F$6)*--OR(Overview!$J$6="All",G123=Overview!$J$6)*--OR(Overview!$N$6="All",H123=Overview!$N$6)</f>
        <v>1</v>
      </c>
      <c r="T123" s="21" t="s">
        <v>198</v>
      </c>
      <c r="U123" s="21" t="s">
        <v>198</v>
      </c>
      <c r="V123" s="21" t="s">
        <v>198</v>
      </c>
      <c r="W123" s="21" t="s">
        <v>198</v>
      </c>
      <c r="X123" s="21" t="s">
        <v>198</v>
      </c>
      <c r="Y123" s="21" t="s">
        <v>198</v>
      </c>
      <c r="Z123" s="21" t="s">
        <v>198</v>
      </c>
      <c r="AA123" s="21" t="s">
        <v>198</v>
      </c>
      <c r="AB123" s="21" t="s">
        <v>198</v>
      </c>
      <c r="AC123" s="21" t="s">
        <v>198</v>
      </c>
      <c r="AD123" s="21" t="s">
        <v>198</v>
      </c>
      <c r="AE123" s="21" t="s">
        <v>198</v>
      </c>
      <c r="AF123" s="21" t="s">
        <v>198</v>
      </c>
      <c r="AG123" s="21" t="s">
        <v>198</v>
      </c>
      <c r="AH123" s="21" t="s">
        <v>198</v>
      </c>
      <c r="AI123" s="21" t="s">
        <v>198</v>
      </c>
      <c r="AJ123" s="21" t="s">
        <v>198</v>
      </c>
      <c r="AK123" s="21" t="s">
        <v>198</v>
      </c>
      <c r="AL123" s="21" t="s">
        <v>198</v>
      </c>
      <c r="AM123" s="21" t="s">
        <v>198</v>
      </c>
      <c r="AN123" s="21" t="s">
        <v>198</v>
      </c>
      <c r="AO123" s="21" t="s">
        <v>198</v>
      </c>
      <c r="AP123" s="21" t="s">
        <v>198</v>
      </c>
      <c r="AQ123" s="21" t="s">
        <v>198</v>
      </c>
      <c r="AR123" s="21" t="s">
        <v>198</v>
      </c>
      <c r="AS123" s="21" t="s">
        <v>198</v>
      </c>
      <c r="AT123" s="21" t="s">
        <v>198</v>
      </c>
      <c r="AU123" s="21" t="s">
        <v>198</v>
      </c>
      <c r="AV123" s="21" t="s">
        <v>198</v>
      </c>
      <c r="AW123" s="21" t="s">
        <v>198</v>
      </c>
      <c r="AX123" s="21" t="s">
        <v>198</v>
      </c>
      <c r="AY123" s="21" t="s">
        <v>198</v>
      </c>
      <c r="AZ123" s="21" t="s">
        <v>198</v>
      </c>
      <c r="BA123" s="17" t="s">
        <v>296</v>
      </c>
      <c r="BB123" s="17" t="s">
        <v>296</v>
      </c>
      <c r="BC123" s="18">
        <f>--ISNUMBER(SEARCH("Radio or television",BA123))</f>
        <v>0</v>
      </c>
      <c r="BD123" s="18">
        <f>--ISNUMBER(SEARCH("Newspapers or print media",BA123))</f>
        <v>0</v>
      </c>
      <c r="BE123" s="18">
        <f>--ISNUMBER(SEARCH("Social media (e.g. Facebook, WhatsApp, YouTube, X/Twitter)",BA123))</f>
        <v>0</v>
      </c>
      <c r="BF123" s="18">
        <f>--ISNUMBER(SEARCH("Family members",BA123))</f>
        <v>0</v>
      </c>
      <c r="BG123" s="18">
        <f>--ISNUMBER(SEARCH("Friends or fellow students",BA123))</f>
        <v>0</v>
      </c>
      <c r="BH123" s="18">
        <f>--ISNUMBER(SEARCH("School coursework or lectures",BA123))</f>
        <v>0</v>
      </c>
      <c r="BI123" s="18">
        <f>--ISNUMBER(SEARCH("NHIMA outreach activities or NHIMA offices",BA123))</f>
        <v>0</v>
      </c>
      <c r="BJ123" s="18">
        <f>--ISNUMBER(SEARCH("Health facility staff",BA123))</f>
        <v>0</v>
      </c>
      <c r="BK123" s="18">
        <f>--ISNUMBER(SEARCH("not received information",BA123))</f>
        <v>1</v>
      </c>
      <c r="BL123" s="18">
        <f>IF(T123="","",--(T123='Codebook'!$F$13))</f>
        <v>0</v>
      </c>
      <c r="BM123" s="18">
        <f>IF(U123="","",--(U123='Codebook'!$F$14))</f>
        <v>0</v>
      </c>
      <c r="BN123" s="18">
        <f>IF(V123="","",--(V123='Codebook'!$F$15))</f>
        <v>0</v>
      </c>
      <c r="BO123" s="18">
        <f>IF(W123="","",--(W123='Codebook'!$F$16))</f>
        <v>0</v>
      </c>
      <c r="BP123" s="18">
        <f>IF(X123="","",--(X123='Codebook'!$F$17))</f>
        <v>0</v>
      </c>
      <c r="BQ123" s="18">
        <f>IF(Y123="","",--(Y123='Codebook'!$F$18))</f>
        <v>0</v>
      </c>
      <c r="BR123" s="18">
        <f>IF(Z123="","",--(Z123='Codebook'!$F$19))</f>
        <v>0</v>
      </c>
      <c r="BS123" s="18">
        <f>IF(AA123="","",--(AA123='Codebook'!$F$20))</f>
        <v>0</v>
      </c>
      <c r="BT123" s="18">
        <f>IF(AB123="","",--(AB123='Codebook'!$F$21))</f>
        <v>0</v>
      </c>
      <c r="BU123" s="18">
        <f>IF(AC123="","",--(AC123='Codebook'!$F$22))</f>
        <v>0</v>
      </c>
      <c r="BV123" s="18">
        <f>IF(AD123="","",--(AD123='Codebook'!$F$23))</f>
        <v>0</v>
      </c>
      <c r="BW123" s="18">
        <f>IF(AE123="","",--(AE123='Codebook'!$F$24))</f>
        <v>0</v>
      </c>
      <c r="BX123" s="18">
        <f>IF(AF123="","",--(AF123='Codebook'!$F$25))</f>
        <v>0</v>
      </c>
      <c r="BY123" s="18">
        <f>IF(AG123="","",--(AG123='Codebook'!$F$26))</f>
        <v>0</v>
      </c>
      <c r="BZ123" s="18">
        <f>IF(AH123="","",--(AH123='Codebook'!$F$27))</f>
        <v>0</v>
      </c>
      <c r="CA123" s="18">
        <f>IF(AI123="","",--(AI123='Codebook'!$F$28))</f>
        <v>0</v>
      </c>
      <c r="CB123" s="18">
        <f>IF(AJ123="","",--(AJ123='Codebook'!$F$29))</f>
        <v>0</v>
      </c>
      <c r="CC123" s="18">
        <f>IF(AK123="","",--(AK123='Codebook'!$F$30))</f>
        <v>0</v>
      </c>
      <c r="CD123" s="18">
        <f>IF(AL123="","",--(AL123='Codebook'!$F$31))</f>
        <v>0</v>
      </c>
      <c r="CE123" s="18">
        <f>IF(AM123="","",--(AM123='Codebook'!$F$32))</f>
        <v>0</v>
      </c>
      <c r="CF123" s="18">
        <f>IF(AN123="","",--(AN123='Codebook'!$F$33))</f>
        <v>0</v>
      </c>
      <c r="CG123" s="18">
        <f>IF(AO123="","",--(AO123='Codebook'!$F$34))</f>
        <v>0</v>
      </c>
      <c r="CH123" s="18">
        <f>IF(AP123="","",--(AP123='Codebook'!$F$35))</f>
        <v>0</v>
      </c>
      <c r="CI123" s="18">
        <f>IF(AQ123="","",--(AQ123='Codebook'!$F$36))</f>
        <v>0</v>
      </c>
      <c r="CJ123" s="18">
        <f>IF(AR123="","",--(AR123='Codebook'!$F$37))</f>
        <v>0</v>
      </c>
      <c r="CK123" s="18">
        <f>IF(AS123="","",--(AS123='Codebook'!$F$38))</f>
        <v>0</v>
      </c>
      <c r="CL123" s="18">
        <f>IF(AT123="","",--(AT123='Codebook'!$F$39))</f>
        <v>0</v>
      </c>
      <c r="CM123" s="18">
        <f>IF(AU123="","",--(AU123='Codebook'!$F$40))</f>
        <v>0</v>
      </c>
      <c r="CN123" s="18">
        <f>IF(AV123="","",--(AV123='Codebook'!$F$41))</f>
        <v>0</v>
      </c>
      <c r="CO123" s="18">
        <f>IF(AW123="","",--(AW123='Codebook'!$F$42))</f>
        <v>0</v>
      </c>
      <c r="CP123" s="18">
        <f>IF(AX123="","",--(AX123='Codebook'!$F$43))</f>
        <v>0</v>
      </c>
      <c r="CQ123" s="18">
        <f>IF(AY123="","",--(AY123='Codebook'!$F$44))</f>
        <v>0</v>
      </c>
      <c r="CR123" s="18">
        <f>IF(AZ123="","",--(AZ123='Codebook'!$F$45))</f>
        <v>0</v>
      </c>
    </row>
    <row r="124" spans="2:96" ht="24" customHeight="1">
      <c r="B124" s="18">
        <v>119</v>
      </c>
      <c r="C124" s="23">
        <v>46284.85634666667</v>
      </c>
      <c r="D124" s="21" t="s">
        <v>270</v>
      </c>
      <c r="E124" s="21" t="s">
        <v>194</v>
      </c>
      <c r="F124" s="21" t="s">
        <v>212</v>
      </c>
      <c r="G124" s="17" t="s">
        <v>215</v>
      </c>
      <c r="H124" s="21" t="s">
        <v>197</v>
      </c>
      <c r="I124" s="18">
        <f>SUM(BL124:BU124)</f>
        <v>6</v>
      </c>
      <c r="J124" s="18">
        <f>IF(COUNT(BV124:CD124)=9,SUM(BV124:CD124),"")</f>
        <v>5</v>
      </c>
      <c r="K124" s="18">
        <f>SUM(BL124:CD124)</f>
        <v>11</v>
      </c>
      <c r="L124" s="18">
        <f>--(K124&gt;='Codebook'!$C$8)</f>
        <v>0</v>
      </c>
      <c r="M124" s="18">
        <f>--(COUNT(BL124:CD124)=19)</f>
        <v>1</v>
      </c>
      <c r="N124" s="18">
        <f>SUM(CE124:CL124)</f>
        <v>8</v>
      </c>
      <c r="O124" s="18">
        <f>SUM(CM124:CR124)</f>
        <v>2</v>
      </c>
      <c r="P124" s="18">
        <f>N124+O124</f>
        <v>10</v>
      </c>
      <c r="Q124" s="21" t="s">
        <v>197</v>
      </c>
      <c r="R124" s="17" t="s">
        <v>216</v>
      </c>
      <c r="S124" s="18">
        <f>--OR(Overview!$B$6="All",E124=Overview!$B$6)*--OR(Overview!$F$6="All",F124=Overview!$F$6)*--OR(Overview!$J$6="All",G124=Overview!$J$6)*--OR(Overview!$N$6="All",H124=Overview!$N$6)</f>
        <v>1</v>
      </c>
      <c r="T124" s="21" t="s">
        <v>22</v>
      </c>
      <c r="U124" s="21" t="s">
        <v>22</v>
      </c>
      <c r="V124" s="21" t="s">
        <v>22</v>
      </c>
      <c r="W124" s="21" t="s">
        <v>22</v>
      </c>
      <c r="X124" s="21" t="s">
        <v>22</v>
      </c>
      <c r="Y124" s="21" t="s">
        <v>22</v>
      </c>
      <c r="Z124" s="21" t="s">
        <v>22</v>
      </c>
      <c r="AA124" s="21" t="s">
        <v>22</v>
      </c>
      <c r="AB124" s="21" t="s">
        <v>22</v>
      </c>
      <c r="AC124" s="21" t="s">
        <v>22</v>
      </c>
      <c r="AD124" s="21" t="s">
        <v>22</v>
      </c>
      <c r="AE124" s="21" t="s">
        <v>22</v>
      </c>
      <c r="AF124" s="21" t="s">
        <v>22</v>
      </c>
      <c r="AG124" s="21" t="s">
        <v>22</v>
      </c>
      <c r="AH124" s="21" t="s">
        <v>22</v>
      </c>
      <c r="AI124" s="21" t="s">
        <v>22</v>
      </c>
      <c r="AJ124" s="21" t="s">
        <v>22</v>
      </c>
      <c r="AK124" s="21" t="s">
        <v>22</v>
      </c>
      <c r="AL124" s="21" t="s">
        <v>22</v>
      </c>
      <c r="AM124" s="21" t="s">
        <v>83</v>
      </c>
      <c r="AN124" s="21" t="s">
        <v>83</v>
      </c>
      <c r="AO124" s="21" t="s">
        <v>83</v>
      </c>
      <c r="AP124" s="21" t="s">
        <v>83</v>
      </c>
      <c r="AQ124" s="21" t="s">
        <v>83</v>
      </c>
      <c r="AR124" s="21" t="s">
        <v>83</v>
      </c>
      <c r="AS124" s="21" t="s">
        <v>83</v>
      </c>
      <c r="AT124" s="21" t="s">
        <v>83</v>
      </c>
      <c r="AU124" s="21" t="s">
        <v>198</v>
      </c>
      <c r="AV124" s="21" t="s">
        <v>109</v>
      </c>
      <c r="AW124" s="21" t="s">
        <v>198</v>
      </c>
      <c r="AX124" s="21" t="s">
        <v>109</v>
      </c>
      <c r="AY124" s="21" t="s">
        <v>83</v>
      </c>
      <c r="AZ124" s="21" t="s">
        <v>83</v>
      </c>
      <c r="BA124" s="17" t="s">
        <v>236</v>
      </c>
      <c r="BB124" s="17" t="s">
        <v>252</v>
      </c>
      <c r="BC124" s="18">
        <f>--ISNUMBER(SEARCH("Radio or television",BA124))</f>
        <v>1</v>
      </c>
      <c r="BD124" s="18">
        <f>--ISNUMBER(SEARCH("Newspapers or print media",BA124))</f>
        <v>1</v>
      </c>
      <c r="BE124" s="18">
        <f>--ISNUMBER(SEARCH("Social media (e.g. Facebook, WhatsApp, YouTube, X/Twitter)",BA124))</f>
        <v>1</v>
      </c>
      <c r="BF124" s="18">
        <f>--ISNUMBER(SEARCH("Family members",BA124))</f>
        <v>1</v>
      </c>
      <c r="BG124" s="18">
        <f>--ISNUMBER(SEARCH("Friends or fellow students",BA124))</f>
        <v>1</v>
      </c>
      <c r="BH124" s="18">
        <f>--ISNUMBER(SEARCH("School coursework or lectures",BA124))</f>
        <v>0</v>
      </c>
      <c r="BI124" s="18">
        <f>--ISNUMBER(SEARCH("NHIMA outreach activities or NHIMA offices",BA124))</f>
        <v>0</v>
      </c>
      <c r="BJ124" s="18">
        <f>--ISNUMBER(SEARCH("Health facility staff",BA124))</f>
        <v>0</v>
      </c>
      <c r="BK124" s="18">
        <f>--ISNUMBER(SEARCH("not received information",BA124))</f>
        <v>0</v>
      </c>
      <c r="BL124" s="18">
        <f>IF(T124="","",--(T124='Codebook'!$F$13))</f>
        <v>1</v>
      </c>
      <c r="BM124" s="18">
        <f>IF(U124="","",--(U124='Codebook'!$F$14))</f>
        <v>0</v>
      </c>
      <c r="BN124" s="18">
        <f>IF(V124="","",--(V124='Codebook'!$F$15))</f>
        <v>0</v>
      </c>
      <c r="BO124" s="18">
        <f>IF(W124="","",--(W124='Codebook'!$F$16))</f>
        <v>1</v>
      </c>
      <c r="BP124" s="18">
        <f>IF(X124="","",--(X124='Codebook'!$F$17))</f>
        <v>1</v>
      </c>
      <c r="BQ124" s="18">
        <f>IF(Y124="","",--(Y124='Codebook'!$F$18))</f>
        <v>0</v>
      </c>
      <c r="BR124" s="18">
        <f>IF(Z124="","",--(Z124='Codebook'!$F$19))</f>
        <v>1</v>
      </c>
      <c r="BS124" s="18">
        <f>IF(AA124="","",--(AA124='Codebook'!$F$20))</f>
        <v>1</v>
      </c>
      <c r="BT124" s="18">
        <f>IF(AB124="","",--(AB124='Codebook'!$F$21))</f>
        <v>0</v>
      </c>
      <c r="BU124" s="18">
        <f>IF(AC124="","",--(AC124='Codebook'!$F$22))</f>
        <v>1</v>
      </c>
      <c r="BV124" s="18">
        <f>IF(AD124="","",--(AD124='Codebook'!$F$23))</f>
        <v>1</v>
      </c>
      <c r="BW124" s="18">
        <f>IF(AE124="","",--(AE124='Codebook'!$F$24))</f>
        <v>1</v>
      </c>
      <c r="BX124" s="18">
        <f>IF(AF124="","",--(AF124='Codebook'!$F$25))</f>
        <v>0</v>
      </c>
      <c r="BY124" s="18">
        <f>IF(AG124="","",--(AG124='Codebook'!$F$26))</f>
        <v>1</v>
      </c>
      <c r="BZ124" s="18">
        <f>IF(AH124="","",--(AH124='Codebook'!$F$27))</f>
        <v>1</v>
      </c>
      <c r="CA124" s="18">
        <f>IF(AI124="","",--(AI124='Codebook'!$F$28))</f>
        <v>0</v>
      </c>
      <c r="CB124" s="18">
        <f>IF(AJ124="","",--(AJ124='Codebook'!$F$29))</f>
        <v>0</v>
      </c>
      <c r="CC124" s="18">
        <f>IF(AK124="","",--(AK124='Codebook'!$F$30))</f>
        <v>1</v>
      </c>
      <c r="CD124" s="18">
        <f>IF(AL124="","",--(AL124='Codebook'!$F$31))</f>
        <v>0</v>
      </c>
      <c r="CE124" s="18">
        <f>IF(AM124="","",--(AM124='Codebook'!$F$32))</f>
        <v>1</v>
      </c>
      <c r="CF124" s="18">
        <f>IF(AN124="","",--(AN124='Codebook'!$F$33))</f>
        <v>1</v>
      </c>
      <c r="CG124" s="18">
        <f>IF(AO124="","",--(AO124='Codebook'!$F$34))</f>
        <v>1</v>
      </c>
      <c r="CH124" s="18">
        <f>IF(AP124="","",--(AP124='Codebook'!$F$35))</f>
        <v>1</v>
      </c>
      <c r="CI124" s="18">
        <f>IF(AQ124="","",--(AQ124='Codebook'!$F$36))</f>
        <v>1</v>
      </c>
      <c r="CJ124" s="18">
        <f>IF(AR124="","",--(AR124='Codebook'!$F$37))</f>
        <v>1</v>
      </c>
      <c r="CK124" s="18">
        <f>IF(AS124="","",--(AS124='Codebook'!$F$38))</f>
        <v>1</v>
      </c>
      <c r="CL124" s="18">
        <f>IF(AT124="","",--(AT124='Codebook'!$F$39))</f>
        <v>1</v>
      </c>
      <c r="CM124" s="18">
        <f>IF(AU124="","",--(AU124='Codebook'!$F$40))</f>
        <v>0</v>
      </c>
      <c r="CN124" s="18">
        <f>IF(AV124="","",--(AV124='Codebook'!$F$41))</f>
        <v>1</v>
      </c>
      <c r="CO124" s="18">
        <f>IF(AW124="","",--(AW124='Codebook'!$F$42))</f>
        <v>0</v>
      </c>
      <c r="CP124" s="18">
        <f>IF(AX124="","",--(AX124='Codebook'!$F$43))</f>
        <v>1</v>
      </c>
      <c r="CQ124" s="18">
        <f>IF(AY124="","",--(AY124='Codebook'!$F$44))</f>
        <v>0</v>
      </c>
      <c r="CR124" s="18">
        <f>IF(AZ124="","",--(AZ124='Codebook'!$F$45))</f>
        <v>0</v>
      </c>
    </row>
    <row r="125" spans="2:96" ht="24" customHeight="1">
      <c r="B125" s="18">
        <v>120</v>
      </c>
      <c r="C125" s="23">
        <v>46284.85725706018</v>
      </c>
      <c r="D125" s="21" t="s">
        <v>268</v>
      </c>
      <c r="E125" s="21" t="s">
        <v>206</v>
      </c>
      <c r="F125" s="21" t="s">
        <v>212</v>
      </c>
      <c r="G125" s="17" t="s">
        <v>247</v>
      </c>
      <c r="H125" s="21" t="s">
        <v>197</v>
      </c>
      <c r="I125" s="18">
        <f>SUM(BL125:BU125)</f>
        <v>6</v>
      </c>
      <c r="J125" s="18">
        <f>IF(COUNT(BV125:CD125)=9,SUM(BV125:CD125),"")</f>
        <v>5</v>
      </c>
      <c r="K125" s="18">
        <f>SUM(BL125:CD125)</f>
        <v>11</v>
      </c>
      <c r="L125" s="18">
        <f>--(K125&gt;='Codebook'!$C$8)</f>
        <v>0</v>
      </c>
      <c r="M125" s="18">
        <f>--(COUNT(BL125:CD125)=19)</f>
        <v>1</v>
      </c>
      <c r="N125" s="18">
        <f>SUM(CE125:CL125)</f>
        <v>7</v>
      </c>
      <c r="O125" s="18">
        <f>SUM(CM125:CR125)</f>
        <v>0</v>
      </c>
      <c r="P125" s="18">
        <f>N125+O125</f>
        <v>7</v>
      </c>
      <c r="Q125" s="21" t="s">
        <v>197</v>
      </c>
      <c r="R125" s="17" t="s">
        <v>216</v>
      </c>
      <c r="S125" s="18">
        <f>--OR(Overview!$B$6="All",E125=Overview!$B$6)*--OR(Overview!$F$6="All",F125=Overview!$F$6)*--OR(Overview!$J$6="All",G125=Overview!$J$6)*--OR(Overview!$N$6="All",H125=Overview!$N$6)</f>
        <v>1</v>
      </c>
      <c r="T125" s="21" t="s">
        <v>22</v>
      </c>
      <c r="U125" s="21" t="s">
        <v>22</v>
      </c>
      <c r="V125" s="21" t="s">
        <v>22</v>
      </c>
      <c r="W125" s="21" t="s">
        <v>22</v>
      </c>
      <c r="X125" s="21" t="s">
        <v>22</v>
      </c>
      <c r="Y125" s="21" t="s">
        <v>22</v>
      </c>
      <c r="Z125" s="21" t="s">
        <v>22</v>
      </c>
      <c r="AA125" s="21" t="s">
        <v>22</v>
      </c>
      <c r="AB125" s="21" t="s">
        <v>22</v>
      </c>
      <c r="AC125" s="21" t="s">
        <v>22</v>
      </c>
      <c r="AD125" s="21" t="s">
        <v>22</v>
      </c>
      <c r="AE125" s="21" t="s">
        <v>22</v>
      </c>
      <c r="AF125" s="21" t="s">
        <v>22</v>
      </c>
      <c r="AG125" s="21" t="s">
        <v>22</v>
      </c>
      <c r="AH125" s="21" t="s">
        <v>22</v>
      </c>
      <c r="AI125" s="21" t="s">
        <v>22</v>
      </c>
      <c r="AJ125" s="21" t="s">
        <v>22</v>
      </c>
      <c r="AK125" s="21" t="s">
        <v>22</v>
      </c>
      <c r="AL125" s="21" t="s">
        <v>22</v>
      </c>
      <c r="AM125" s="21" t="s">
        <v>83</v>
      </c>
      <c r="AN125" s="21" t="s">
        <v>83</v>
      </c>
      <c r="AO125" s="21" t="s">
        <v>83</v>
      </c>
      <c r="AP125" s="21" t="s">
        <v>83</v>
      </c>
      <c r="AQ125" s="21" t="s">
        <v>109</v>
      </c>
      <c r="AR125" s="21" t="s">
        <v>83</v>
      </c>
      <c r="AS125" s="21" t="s">
        <v>83</v>
      </c>
      <c r="AT125" s="21" t="s">
        <v>83</v>
      </c>
      <c r="AU125" s="21" t="s">
        <v>83</v>
      </c>
      <c r="AV125" s="21" t="s">
        <v>83</v>
      </c>
      <c r="AW125" s="21" t="s">
        <v>83</v>
      </c>
      <c r="AX125" s="21" t="s">
        <v>83</v>
      </c>
      <c r="AY125" s="21" t="s">
        <v>83</v>
      </c>
      <c r="AZ125" s="21" t="s">
        <v>83</v>
      </c>
      <c r="BA125" s="17" t="s">
        <v>236</v>
      </c>
      <c r="BB125" s="17" t="s">
        <v>274</v>
      </c>
      <c r="BC125" s="18">
        <f>--ISNUMBER(SEARCH("Radio or television",BA125))</f>
        <v>1</v>
      </c>
      <c r="BD125" s="18">
        <f>--ISNUMBER(SEARCH("Newspapers or print media",BA125))</f>
        <v>1</v>
      </c>
      <c r="BE125" s="18">
        <f>--ISNUMBER(SEARCH("Social media (e.g. Facebook, WhatsApp, YouTube, X/Twitter)",BA125))</f>
        <v>1</v>
      </c>
      <c r="BF125" s="18">
        <f>--ISNUMBER(SEARCH("Family members",BA125))</f>
        <v>1</v>
      </c>
      <c r="BG125" s="18">
        <f>--ISNUMBER(SEARCH("Friends or fellow students",BA125))</f>
        <v>1</v>
      </c>
      <c r="BH125" s="18">
        <f>--ISNUMBER(SEARCH("School coursework or lectures",BA125))</f>
        <v>0</v>
      </c>
      <c r="BI125" s="18">
        <f>--ISNUMBER(SEARCH("NHIMA outreach activities or NHIMA offices",BA125))</f>
        <v>0</v>
      </c>
      <c r="BJ125" s="18">
        <f>--ISNUMBER(SEARCH("Health facility staff",BA125))</f>
        <v>0</v>
      </c>
      <c r="BK125" s="18">
        <f>--ISNUMBER(SEARCH("not received information",BA125))</f>
        <v>0</v>
      </c>
      <c r="BL125" s="18">
        <f>IF(T125="","",--(T125='Codebook'!$F$13))</f>
        <v>1</v>
      </c>
      <c r="BM125" s="18">
        <f>IF(U125="","",--(U125='Codebook'!$F$14))</f>
        <v>0</v>
      </c>
      <c r="BN125" s="18">
        <f>IF(V125="","",--(V125='Codebook'!$F$15))</f>
        <v>0</v>
      </c>
      <c r="BO125" s="18">
        <f>IF(W125="","",--(W125='Codebook'!$F$16))</f>
        <v>1</v>
      </c>
      <c r="BP125" s="18">
        <f>IF(X125="","",--(X125='Codebook'!$F$17))</f>
        <v>1</v>
      </c>
      <c r="BQ125" s="18">
        <f>IF(Y125="","",--(Y125='Codebook'!$F$18))</f>
        <v>0</v>
      </c>
      <c r="BR125" s="18">
        <f>IF(Z125="","",--(Z125='Codebook'!$F$19))</f>
        <v>1</v>
      </c>
      <c r="BS125" s="18">
        <f>IF(AA125="","",--(AA125='Codebook'!$F$20))</f>
        <v>1</v>
      </c>
      <c r="BT125" s="18">
        <f>IF(AB125="","",--(AB125='Codebook'!$F$21))</f>
        <v>0</v>
      </c>
      <c r="BU125" s="18">
        <f>IF(AC125="","",--(AC125='Codebook'!$F$22))</f>
        <v>1</v>
      </c>
      <c r="BV125" s="18">
        <f>IF(AD125="","",--(AD125='Codebook'!$F$23))</f>
        <v>1</v>
      </c>
      <c r="BW125" s="18">
        <f>IF(AE125="","",--(AE125='Codebook'!$F$24))</f>
        <v>1</v>
      </c>
      <c r="BX125" s="18">
        <f>IF(AF125="","",--(AF125='Codebook'!$F$25))</f>
        <v>0</v>
      </c>
      <c r="BY125" s="18">
        <f>IF(AG125="","",--(AG125='Codebook'!$F$26))</f>
        <v>1</v>
      </c>
      <c r="BZ125" s="18">
        <f>IF(AH125="","",--(AH125='Codebook'!$F$27))</f>
        <v>1</v>
      </c>
      <c r="CA125" s="18">
        <f>IF(AI125="","",--(AI125='Codebook'!$F$28))</f>
        <v>0</v>
      </c>
      <c r="CB125" s="18">
        <f>IF(AJ125="","",--(AJ125='Codebook'!$F$29))</f>
        <v>0</v>
      </c>
      <c r="CC125" s="18">
        <f>IF(AK125="","",--(AK125='Codebook'!$F$30))</f>
        <v>1</v>
      </c>
      <c r="CD125" s="18">
        <f>IF(AL125="","",--(AL125='Codebook'!$F$31))</f>
        <v>0</v>
      </c>
      <c r="CE125" s="18">
        <f>IF(AM125="","",--(AM125='Codebook'!$F$32))</f>
        <v>1</v>
      </c>
      <c r="CF125" s="18">
        <f>IF(AN125="","",--(AN125='Codebook'!$F$33))</f>
        <v>1</v>
      </c>
      <c r="CG125" s="18">
        <f>IF(AO125="","",--(AO125='Codebook'!$F$34))</f>
        <v>1</v>
      </c>
      <c r="CH125" s="18">
        <f>IF(AP125="","",--(AP125='Codebook'!$F$35))</f>
        <v>1</v>
      </c>
      <c r="CI125" s="18">
        <f>IF(AQ125="","",--(AQ125='Codebook'!$F$36))</f>
        <v>0</v>
      </c>
      <c r="CJ125" s="18">
        <f>IF(AR125="","",--(AR125='Codebook'!$F$37))</f>
        <v>1</v>
      </c>
      <c r="CK125" s="18">
        <f>IF(AS125="","",--(AS125='Codebook'!$F$38))</f>
        <v>1</v>
      </c>
      <c r="CL125" s="18">
        <f>IF(AT125="","",--(AT125='Codebook'!$F$39))</f>
        <v>1</v>
      </c>
      <c r="CM125" s="18">
        <f>IF(AU125="","",--(AU125='Codebook'!$F$40))</f>
        <v>0</v>
      </c>
      <c r="CN125" s="18">
        <f>IF(AV125="","",--(AV125='Codebook'!$F$41))</f>
        <v>0</v>
      </c>
      <c r="CO125" s="18">
        <f>IF(AW125="","",--(AW125='Codebook'!$F$42))</f>
        <v>0</v>
      </c>
      <c r="CP125" s="18">
        <f>IF(AX125="","",--(AX125='Codebook'!$F$43))</f>
        <v>0</v>
      </c>
      <c r="CQ125" s="18">
        <f>IF(AY125="","",--(AY125='Codebook'!$F$44))</f>
        <v>0</v>
      </c>
      <c r="CR125" s="18">
        <f>IF(AZ125="","",--(AZ125='Codebook'!$F$45))</f>
        <v>0</v>
      </c>
    </row>
    <row r="126" spans="2:96" ht="24" customHeight="1">
      <c r="B126" s="18">
        <v>121</v>
      </c>
      <c r="C126" s="23">
        <v>46284.85807334491</v>
      </c>
      <c r="D126" s="21" t="s">
        <v>270</v>
      </c>
      <c r="E126" s="21" t="s">
        <v>194</v>
      </c>
      <c r="F126" s="21" t="s">
        <v>195</v>
      </c>
      <c r="G126" s="17" t="s">
        <v>247</v>
      </c>
      <c r="H126" s="21" t="s">
        <v>197</v>
      </c>
      <c r="I126" s="18">
        <f>SUM(BL126:BU126)</f>
        <v>5</v>
      </c>
      <c r="J126" s="18">
        <f>IF(COUNT(BV126:CD126)=9,SUM(BV126:CD126),"")</f>
        <v>5</v>
      </c>
      <c r="K126" s="18">
        <f>SUM(BL126:CD126)</f>
        <v>10</v>
      </c>
      <c r="L126" s="18">
        <f>--(K126&gt;='Codebook'!$C$8)</f>
        <v>0</v>
      </c>
      <c r="M126" s="18">
        <f>--(COUNT(BL126:CD126)=19)</f>
        <v>1</v>
      </c>
      <c r="N126" s="18">
        <f>SUM(CE126:CL126)</f>
        <v>5</v>
      </c>
      <c r="O126" s="18">
        <f>SUM(CM126:CR126)</f>
        <v>1</v>
      </c>
      <c r="P126" s="18">
        <f>N126+O126</f>
        <v>6</v>
      </c>
      <c r="Q126" s="21" t="s">
        <v>197</v>
      </c>
      <c r="R126" s="17" t="s">
        <v>216</v>
      </c>
      <c r="S126" s="18">
        <f>--OR(Overview!$B$6="All",E126=Overview!$B$6)*--OR(Overview!$F$6="All",F126=Overview!$F$6)*--OR(Overview!$J$6="All",G126=Overview!$J$6)*--OR(Overview!$N$6="All",H126=Overview!$N$6)</f>
        <v>1</v>
      </c>
      <c r="T126" s="21" t="s">
        <v>22</v>
      </c>
      <c r="U126" s="21" t="s">
        <v>22</v>
      </c>
      <c r="V126" s="21" t="s">
        <v>22</v>
      </c>
      <c r="W126" s="21" t="s">
        <v>22</v>
      </c>
      <c r="X126" s="21" t="s">
        <v>26</v>
      </c>
      <c r="Y126" s="21" t="s">
        <v>22</v>
      </c>
      <c r="Z126" s="21" t="s">
        <v>22</v>
      </c>
      <c r="AA126" s="21" t="s">
        <v>22</v>
      </c>
      <c r="AB126" s="21" t="s">
        <v>22</v>
      </c>
      <c r="AC126" s="21" t="s">
        <v>22</v>
      </c>
      <c r="AD126" s="21" t="s">
        <v>22</v>
      </c>
      <c r="AE126" s="21" t="s">
        <v>22</v>
      </c>
      <c r="AF126" s="21" t="s">
        <v>22</v>
      </c>
      <c r="AG126" s="21" t="s">
        <v>22</v>
      </c>
      <c r="AH126" s="21" t="s">
        <v>22</v>
      </c>
      <c r="AI126" s="21" t="s">
        <v>22</v>
      </c>
      <c r="AJ126" s="21" t="s">
        <v>22</v>
      </c>
      <c r="AK126" s="21" t="s">
        <v>22</v>
      </c>
      <c r="AL126" s="21" t="s">
        <v>22</v>
      </c>
      <c r="AM126" s="21" t="s">
        <v>83</v>
      </c>
      <c r="AN126" s="21" t="s">
        <v>109</v>
      </c>
      <c r="AO126" s="21" t="s">
        <v>109</v>
      </c>
      <c r="AP126" s="21" t="s">
        <v>109</v>
      </c>
      <c r="AQ126" s="21" t="s">
        <v>83</v>
      </c>
      <c r="AR126" s="21" t="s">
        <v>83</v>
      </c>
      <c r="AS126" s="21" t="s">
        <v>83</v>
      </c>
      <c r="AT126" s="21" t="s">
        <v>83</v>
      </c>
      <c r="AU126" s="21" t="s">
        <v>83</v>
      </c>
      <c r="AV126" s="21" t="s">
        <v>83</v>
      </c>
      <c r="AW126" s="21" t="s">
        <v>83</v>
      </c>
      <c r="AX126" s="21" t="s">
        <v>83</v>
      </c>
      <c r="AY126" s="21" t="s">
        <v>83</v>
      </c>
      <c r="AZ126" s="21" t="s">
        <v>109</v>
      </c>
      <c r="BA126" s="17" t="s">
        <v>297</v>
      </c>
      <c r="BB126" s="17" t="s">
        <v>274</v>
      </c>
      <c r="BC126" s="18">
        <f>--ISNUMBER(SEARCH("Radio or television",BA126))</f>
        <v>1</v>
      </c>
      <c r="BD126" s="18">
        <f>--ISNUMBER(SEARCH("Newspapers or print media",BA126))</f>
        <v>1</v>
      </c>
      <c r="BE126" s="18">
        <f>--ISNUMBER(SEARCH("Social media (e.g. Facebook, WhatsApp, YouTube, X/Twitter)",BA126))</f>
        <v>0</v>
      </c>
      <c r="BF126" s="18">
        <f>--ISNUMBER(SEARCH("Family members",BA126))</f>
        <v>1</v>
      </c>
      <c r="BG126" s="18">
        <f>--ISNUMBER(SEARCH("Friends or fellow students",BA126))</f>
        <v>0</v>
      </c>
      <c r="BH126" s="18">
        <f>--ISNUMBER(SEARCH("School coursework or lectures",BA126))</f>
        <v>1</v>
      </c>
      <c r="BI126" s="18">
        <f>--ISNUMBER(SEARCH("NHIMA outreach activities or NHIMA offices",BA126))</f>
        <v>0</v>
      </c>
      <c r="BJ126" s="18">
        <f>--ISNUMBER(SEARCH("Health facility staff",BA126))</f>
        <v>0</v>
      </c>
      <c r="BK126" s="18">
        <f>--ISNUMBER(SEARCH("not received information",BA126))</f>
        <v>0</v>
      </c>
      <c r="BL126" s="18">
        <f>IF(T126="","",--(T126='Codebook'!$F$13))</f>
        <v>1</v>
      </c>
      <c r="BM126" s="18">
        <f>IF(U126="","",--(U126='Codebook'!$F$14))</f>
        <v>0</v>
      </c>
      <c r="BN126" s="18">
        <f>IF(V126="","",--(V126='Codebook'!$F$15))</f>
        <v>0</v>
      </c>
      <c r="BO126" s="18">
        <f>IF(W126="","",--(W126='Codebook'!$F$16))</f>
        <v>1</v>
      </c>
      <c r="BP126" s="18">
        <f>IF(X126="","",--(X126='Codebook'!$F$17))</f>
        <v>0</v>
      </c>
      <c r="BQ126" s="18">
        <f>IF(Y126="","",--(Y126='Codebook'!$F$18))</f>
        <v>0</v>
      </c>
      <c r="BR126" s="18">
        <f>IF(Z126="","",--(Z126='Codebook'!$F$19))</f>
        <v>1</v>
      </c>
      <c r="BS126" s="18">
        <f>IF(AA126="","",--(AA126='Codebook'!$F$20))</f>
        <v>1</v>
      </c>
      <c r="BT126" s="18">
        <f>IF(AB126="","",--(AB126='Codebook'!$F$21))</f>
        <v>0</v>
      </c>
      <c r="BU126" s="18">
        <f>IF(AC126="","",--(AC126='Codebook'!$F$22))</f>
        <v>1</v>
      </c>
      <c r="BV126" s="18">
        <f>IF(AD126="","",--(AD126='Codebook'!$F$23))</f>
        <v>1</v>
      </c>
      <c r="BW126" s="18">
        <f>IF(AE126="","",--(AE126='Codebook'!$F$24))</f>
        <v>1</v>
      </c>
      <c r="BX126" s="18">
        <f>IF(AF126="","",--(AF126='Codebook'!$F$25))</f>
        <v>0</v>
      </c>
      <c r="BY126" s="18">
        <f>IF(AG126="","",--(AG126='Codebook'!$F$26))</f>
        <v>1</v>
      </c>
      <c r="BZ126" s="18">
        <f>IF(AH126="","",--(AH126='Codebook'!$F$27))</f>
        <v>1</v>
      </c>
      <c r="CA126" s="18">
        <f>IF(AI126="","",--(AI126='Codebook'!$F$28))</f>
        <v>0</v>
      </c>
      <c r="CB126" s="18">
        <f>IF(AJ126="","",--(AJ126='Codebook'!$F$29))</f>
        <v>0</v>
      </c>
      <c r="CC126" s="18">
        <f>IF(AK126="","",--(AK126='Codebook'!$F$30))</f>
        <v>1</v>
      </c>
      <c r="CD126" s="18">
        <f>IF(AL126="","",--(AL126='Codebook'!$F$31))</f>
        <v>0</v>
      </c>
      <c r="CE126" s="18">
        <f>IF(AM126="","",--(AM126='Codebook'!$F$32))</f>
        <v>1</v>
      </c>
      <c r="CF126" s="18">
        <f>IF(AN126="","",--(AN126='Codebook'!$F$33))</f>
        <v>0</v>
      </c>
      <c r="CG126" s="18">
        <f>IF(AO126="","",--(AO126='Codebook'!$F$34))</f>
        <v>0</v>
      </c>
      <c r="CH126" s="18">
        <f>IF(AP126="","",--(AP126='Codebook'!$F$35))</f>
        <v>0</v>
      </c>
      <c r="CI126" s="18">
        <f>IF(AQ126="","",--(AQ126='Codebook'!$F$36))</f>
        <v>1</v>
      </c>
      <c r="CJ126" s="18">
        <f>IF(AR126="","",--(AR126='Codebook'!$F$37))</f>
        <v>1</v>
      </c>
      <c r="CK126" s="18">
        <f>IF(AS126="","",--(AS126='Codebook'!$F$38))</f>
        <v>1</v>
      </c>
      <c r="CL126" s="18">
        <f>IF(AT126="","",--(AT126='Codebook'!$F$39))</f>
        <v>1</v>
      </c>
      <c r="CM126" s="18">
        <f>IF(AU126="","",--(AU126='Codebook'!$F$40))</f>
        <v>0</v>
      </c>
      <c r="CN126" s="18">
        <f>IF(AV126="","",--(AV126='Codebook'!$F$41))</f>
        <v>0</v>
      </c>
      <c r="CO126" s="18">
        <f>IF(AW126="","",--(AW126='Codebook'!$F$42))</f>
        <v>0</v>
      </c>
      <c r="CP126" s="18">
        <f>IF(AX126="","",--(AX126='Codebook'!$F$43))</f>
        <v>0</v>
      </c>
      <c r="CQ126" s="18">
        <f>IF(AY126="","",--(AY126='Codebook'!$F$44))</f>
        <v>0</v>
      </c>
      <c r="CR126" s="18">
        <f>IF(AZ126="","",--(AZ126='Codebook'!$F$45))</f>
        <v>1</v>
      </c>
    </row>
    <row r="127" spans="2:96" ht="24" customHeight="1">
      <c r="B127" s="18">
        <v>122</v>
      </c>
      <c r="C127" s="23">
        <v>46284.85915414352</v>
      </c>
      <c r="D127" s="21" t="s">
        <v>270</v>
      </c>
      <c r="E127" s="21" t="s">
        <v>194</v>
      </c>
      <c r="F127" s="21" t="s">
        <v>195</v>
      </c>
      <c r="G127" s="17" t="s">
        <v>247</v>
      </c>
      <c r="H127" s="21" t="s">
        <v>197</v>
      </c>
      <c r="I127" s="18">
        <f>SUM(BL127:BU127)</f>
        <v>6</v>
      </c>
      <c r="J127" s="18">
        <f>IF(COUNT(BV127:CD127)=9,SUM(BV127:CD127),"")</f>
        <v>5</v>
      </c>
      <c r="K127" s="18">
        <f>SUM(BL127:CD127)</f>
        <v>11</v>
      </c>
      <c r="L127" s="18">
        <f>--(K127&gt;='Codebook'!$C$8)</f>
        <v>0</v>
      </c>
      <c r="M127" s="18">
        <f>--(COUNT(BL127:CD127)=19)</f>
        <v>1</v>
      </c>
      <c r="N127" s="18">
        <f>SUM(CE127:CL127)</f>
        <v>7</v>
      </c>
      <c r="O127" s="18">
        <f>SUM(CM127:CR127)</f>
        <v>6</v>
      </c>
      <c r="P127" s="18">
        <f>N127+O127</f>
        <v>13</v>
      </c>
      <c r="Q127" s="21" t="s">
        <v>207</v>
      </c>
      <c r="R127" s="17" t="s">
        <v>216</v>
      </c>
      <c r="S127" s="18">
        <f>--OR(Overview!$B$6="All",E127=Overview!$B$6)*--OR(Overview!$F$6="All",F127=Overview!$F$6)*--OR(Overview!$J$6="All",G127=Overview!$J$6)*--OR(Overview!$N$6="All",H127=Overview!$N$6)</f>
        <v>1</v>
      </c>
      <c r="T127" s="21" t="s">
        <v>22</v>
      </c>
      <c r="U127" s="21" t="s">
        <v>22</v>
      </c>
      <c r="V127" s="21" t="s">
        <v>22</v>
      </c>
      <c r="W127" s="21" t="s">
        <v>22</v>
      </c>
      <c r="X127" s="21" t="s">
        <v>22</v>
      </c>
      <c r="Y127" s="21" t="s">
        <v>22</v>
      </c>
      <c r="Z127" s="21" t="s">
        <v>22</v>
      </c>
      <c r="AA127" s="21" t="s">
        <v>22</v>
      </c>
      <c r="AB127" s="21" t="s">
        <v>22</v>
      </c>
      <c r="AC127" s="21" t="s">
        <v>22</v>
      </c>
      <c r="AD127" s="21" t="s">
        <v>22</v>
      </c>
      <c r="AE127" s="21" t="s">
        <v>22</v>
      </c>
      <c r="AF127" s="21" t="s">
        <v>22</v>
      </c>
      <c r="AG127" s="21" t="s">
        <v>22</v>
      </c>
      <c r="AH127" s="21" t="s">
        <v>22</v>
      </c>
      <c r="AI127" s="21" t="s">
        <v>22</v>
      </c>
      <c r="AJ127" s="21" t="s">
        <v>22</v>
      </c>
      <c r="AK127" s="21" t="s">
        <v>22</v>
      </c>
      <c r="AL127" s="21" t="s">
        <v>22</v>
      </c>
      <c r="AM127" s="21" t="s">
        <v>83</v>
      </c>
      <c r="AN127" s="21" t="s">
        <v>83</v>
      </c>
      <c r="AO127" s="21" t="s">
        <v>83</v>
      </c>
      <c r="AP127" s="21" t="s">
        <v>83</v>
      </c>
      <c r="AQ127" s="21" t="s">
        <v>109</v>
      </c>
      <c r="AR127" s="21" t="s">
        <v>83</v>
      </c>
      <c r="AS127" s="21" t="s">
        <v>83</v>
      </c>
      <c r="AT127" s="21" t="s">
        <v>83</v>
      </c>
      <c r="AU127" s="21" t="s">
        <v>109</v>
      </c>
      <c r="AV127" s="21" t="s">
        <v>109</v>
      </c>
      <c r="AW127" s="21" t="s">
        <v>109</v>
      </c>
      <c r="AX127" s="21" t="s">
        <v>109</v>
      </c>
      <c r="AY127" s="21" t="s">
        <v>109</v>
      </c>
      <c r="AZ127" s="21" t="s">
        <v>109</v>
      </c>
      <c r="BA127" s="17" t="s">
        <v>274</v>
      </c>
      <c r="BB127" s="17" t="s">
        <v>236</v>
      </c>
      <c r="BC127" s="18">
        <f>--ISNUMBER(SEARCH("Radio or television",BA127))</f>
        <v>1</v>
      </c>
      <c r="BD127" s="18">
        <f>--ISNUMBER(SEARCH("Newspapers or print media",BA127))</f>
        <v>1</v>
      </c>
      <c r="BE127" s="18">
        <f>--ISNUMBER(SEARCH("Social media (e.g. Facebook, WhatsApp, YouTube, X/Twitter)",BA127))</f>
        <v>1</v>
      </c>
      <c r="BF127" s="18">
        <f>--ISNUMBER(SEARCH("Family members",BA127))</f>
        <v>1</v>
      </c>
      <c r="BG127" s="18">
        <f>--ISNUMBER(SEARCH("Friends or fellow students",BA127))</f>
        <v>0</v>
      </c>
      <c r="BH127" s="18">
        <f>--ISNUMBER(SEARCH("School coursework or lectures",BA127))</f>
        <v>0</v>
      </c>
      <c r="BI127" s="18">
        <f>--ISNUMBER(SEARCH("NHIMA outreach activities or NHIMA offices",BA127))</f>
        <v>0</v>
      </c>
      <c r="BJ127" s="18">
        <f>--ISNUMBER(SEARCH("Health facility staff",BA127))</f>
        <v>0</v>
      </c>
      <c r="BK127" s="18">
        <f>--ISNUMBER(SEARCH("not received information",BA127))</f>
        <v>0</v>
      </c>
      <c r="BL127" s="18">
        <f>IF(T127="","",--(T127='Codebook'!$F$13))</f>
        <v>1</v>
      </c>
      <c r="BM127" s="18">
        <f>IF(U127="","",--(U127='Codebook'!$F$14))</f>
        <v>0</v>
      </c>
      <c r="BN127" s="18">
        <f>IF(V127="","",--(V127='Codebook'!$F$15))</f>
        <v>0</v>
      </c>
      <c r="BO127" s="18">
        <f>IF(W127="","",--(W127='Codebook'!$F$16))</f>
        <v>1</v>
      </c>
      <c r="BP127" s="18">
        <f>IF(X127="","",--(X127='Codebook'!$F$17))</f>
        <v>1</v>
      </c>
      <c r="BQ127" s="18">
        <f>IF(Y127="","",--(Y127='Codebook'!$F$18))</f>
        <v>0</v>
      </c>
      <c r="BR127" s="18">
        <f>IF(Z127="","",--(Z127='Codebook'!$F$19))</f>
        <v>1</v>
      </c>
      <c r="BS127" s="18">
        <f>IF(AA127="","",--(AA127='Codebook'!$F$20))</f>
        <v>1</v>
      </c>
      <c r="BT127" s="18">
        <f>IF(AB127="","",--(AB127='Codebook'!$F$21))</f>
        <v>0</v>
      </c>
      <c r="BU127" s="18">
        <f>IF(AC127="","",--(AC127='Codebook'!$F$22))</f>
        <v>1</v>
      </c>
      <c r="BV127" s="18">
        <f>IF(AD127="","",--(AD127='Codebook'!$F$23))</f>
        <v>1</v>
      </c>
      <c r="BW127" s="18">
        <f>IF(AE127="","",--(AE127='Codebook'!$F$24))</f>
        <v>1</v>
      </c>
      <c r="BX127" s="18">
        <f>IF(AF127="","",--(AF127='Codebook'!$F$25))</f>
        <v>0</v>
      </c>
      <c r="BY127" s="18">
        <f>IF(AG127="","",--(AG127='Codebook'!$F$26))</f>
        <v>1</v>
      </c>
      <c r="BZ127" s="18">
        <f>IF(AH127="","",--(AH127='Codebook'!$F$27))</f>
        <v>1</v>
      </c>
      <c r="CA127" s="18">
        <f>IF(AI127="","",--(AI127='Codebook'!$F$28))</f>
        <v>0</v>
      </c>
      <c r="CB127" s="18">
        <f>IF(AJ127="","",--(AJ127='Codebook'!$F$29))</f>
        <v>0</v>
      </c>
      <c r="CC127" s="18">
        <f>IF(AK127="","",--(AK127='Codebook'!$F$30))</f>
        <v>1</v>
      </c>
      <c r="CD127" s="18">
        <f>IF(AL127="","",--(AL127='Codebook'!$F$31))</f>
        <v>0</v>
      </c>
      <c r="CE127" s="18">
        <f>IF(AM127="","",--(AM127='Codebook'!$F$32))</f>
        <v>1</v>
      </c>
      <c r="CF127" s="18">
        <f>IF(AN127="","",--(AN127='Codebook'!$F$33))</f>
        <v>1</v>
      </c>
      <c r="CG127" s="18">
        <f>IF(AO127="","",--(AO127='Codebook'!$F$34))</f>
        <v>1</v>
      </c>
      <c r="CH127" s="18">
        <f>IF(AP127="","",--(AP127='Codebook'!$F$35))</f>
        <v>1</v>
      </c>
      <c r="CI127" s="18">
        <f>IF(AQ127="","",--(AQ127='Codebook'!$F$36))</f>
        <v>0</v>
      </c>
      <c r="CJ127" s="18">
        <f>IF(AR127="","",--(AR127='Codebook'!$F$37))</f>
        <v>1</v>
      </c>
      <c r="CK127" s="18">
        <f>IF(AS127="","",--(AS127='Codebook'!$F$38))</f>
        <v>1</v>
      </c>
      <c r="CL127" s="18">
        <f>IF(AT127="","",--(AT127='Codebook'!$F$39))</f>
        <v>1</v>
      </c>
      <c r="CM127" s="18">
        <f>IF(AU127="","",--(AU127='Codebook'!$F$40))</f>
        <v>1</v>
      </c>
      <c r="CN127" s="18">
        <f>IF(AV127="","",--(AV127='Codebook'!$F$41))</f>
        <v>1</v>
      </c>
      <c r="CO127" s="18">
        <f>IF(AW127="","",--(AW127='Codebook'!$F$42))</f>
        <v>1</v>
      </c>
      <c r="CP127" s="18">
        <f>IF(AX127="","",--(AX127='Codebook'!$F$43))</f>
        <v>1</v>
      </c>
      <c r="CQ127" s="18">
        <f>IF(AY127="","",--(AY127='Codebook'!$F$44))</f>
        <v>1</v>
      </c>
      <c r="CR127" s="18">
        <f>IF(AZ127="","",--(AZ127='Codebook'!$F$45))</f>
        <v>1</v>
      </c>
    </row>
    <row r="128" spans="2:96" ht="24" customHeight="1">
      <c r="B128" s="18">
        <v>123</v>
      </c>
      <c r="C128" s="23">
        <v>46284.85991952546</v>
      </c>
      <c r="D128" s="21" t="s">
        <v>268</v>
      </c>
      <c r="E128" s="21" t="s">
        <v>194</v>
      </c>
      <c r="F128" s="21" t="s">
        <v>195</v>
      </c>
      <c r="G128" s="17" t="s">
        <v>247</v>
      </c>
      <c r="H128" s="21" t="s">
        <v>197</v>
      </c>
      <c r="I128" s="18">
        <f>SUM(BL128:BU128)</f>
        <v>6</v>
      </c>
      <c r="J128" s="18">
        <f>IF(COUNT(BV128:CD128)=9,SUM(BV128:CD128),"")</f>
        <v>5</v>
      </c>
      <c r="K128" s="18">
        <f>SUM(BL128:CD128)</f>
        <v>11</v>
      </c>
      <c r="L128" s="18">
        <f>--(K128&gt;='Codebook'!$C$8)</f>
        <v>0</v>
      </c>
      <c r="M128" s="18">
        <f>--(COUNT(BL128:CD128)=19)</f>
        <v>1</v>
      </c>
      <c r="N128" s="18">
        <f>SUM(CE128:CL128)</f>
        <v>1</v>
      </c>
      <c r="O128" s="18">
        <f>SUM(CM128:CR128)</f>
        <v>3</v>
      </c>
      <c r="P128" s="18">
        <f>N128+O128</f>
        <v>4</v>
      </c>
      <c r="Q128" s="21" t="s">
        <v>197</v>
      </c>
      <c r="R128" s="17" t="s">
        <v>216</v>
      </c>
      <c r="S128" s="18">
        <f>--OR(Overview!$B$6="All",E128=Overview!$B$6)*--OR(Overview!$F$6="All",F128=Overview!$F$6)*--OR(Overview!$J$6="All",G128=Overview!$J$6)*--OR(Overview!$N$6="All",H128=Overview!$N$6)</f>
        <v>1</v>
      </c>
      <c r="T128" s="21" t="s">
        <v>22</v>
      </c>
      <c r="U128" s="21" t="s">
        <v>22</v>
      </c>
      <c r="V128" s="21" t="s">
        <v>22</v>
      </c>
      <c r="W128" s="21" t="s">
        <v>22</v>
      </c>
      <c r="X128" s="21" t="s">
        <v>22</v>
      </c>
      <c r="Y128" s="21" t="s">
        <v>22</v>
      </c>
      <c r="Z128" s="21" t="s">
        <v>22</v>
      </c>
      <c r="AA128" s="21" t="s">
        <v>22</v>
      </c>
      <c r="AB128" s="21" t="s">
        <v>22</v>
      </c>
      <c r="AC128" s="21" t="s">
        <v>22</v>
      </c>
      <c r="AD128" s="21" t="s">
        <v>22</v>
      </c>
      <c r="AE128" s="21" t="s">
        <v>22</v>
      </c>
      <c r="AF128" s="21" t="s">
        <v>22</v>
      </c>
      <c r="AG128" s="21" t="s">
        <v>22</v>
      </c>
      <c r="AH128" s="21" t="s">
        <v>22</v>
      </c>
      <c r="AI128" s="21" t="s">
        <v>22</v>
      </c>
      <c r="AJ128" s="21" t="s">
        <v>22</v>
      </c>
      <c r="AK128" s="21" t="s">
        <v>22</v>
      </c>
      <c r="AL128" s="21" t="s">
        <v>22</v>
      </c>
      <c r="AM128" s="21" t="s">
        <v>83</v>
      </c>
      <c r="AN128" s="21" t="s">
        <v>109</v>
      </c>
      <c r="AO128" s="21" t="s">
        <v>109</v>
      </c>
      <c r="AP128" s="21" t="s">
        <v>109</v>
      </c>
      <c r="AQ128" s="21" t="s">
        <v>109</v>
      </c>
      <c r="AR128" s="21" t="s">
        <v>109</v>
      </c>
      <c r="AS128" s="21" t="s">
        <v>109</v>
      </c>
      <c r="AT128" s="21" t="s">
        <v>109</v>
      </c>
      <c r="AU128" s="21" t="s">
        <v>109</v>
      </c>
      <c r="AV128" s="21" t="s">
        <v>109</v>
      </c>
      <c r="AW128" s="21" t="s">
        <v>109</v>
      </c>
      <c r="AX128" s="21" t="s">
        <v>83</v>
      </c>
      <c r="AY128" s="21" t="s">
        <v>83</v>
      </c>
      <c r="AZ128" s="21" t="s">
        <v>83</v>
      </c>
      <c r="BA128" s="17" t="s">
        <v>298</v>
      </c>
      <c r="BB128" s="17" t="s">
        <v>299</v>
      </c>
      <c r="BC128" s="18">
        <f>--ISNUMBER(SEARCH("Radio or television",BA128))</f>
        <v>1</v>
      </c>
      <c r="BD128" s="18">
        <f>--ISNUMBER(SEARCH("Newspapers or print media",BA128))</f>
        <v>0</v>
      </c>
      <c r="BE128" s="18">
        <f>--ISNUMBER(SEARCH("Social media (e.g. Facebook, WhatsApp, YouTube, X/Twitter)",BA128))</f>
        <v>0</v>
      </c>
      <c r="BF128" s="18">
        <f>--ISNUMBER(SEARCH("Family members",BA128))</f>
        <v>1</v>
      </c>
      <c r="BG128" s="18">
        <f>--ISNUMBER(SEARCH("Friends or fellow students",BA128))</f>
        <v>1</v>
      </c>
      <c r="BH128" s="18">
        <f>--ISNUMBER(SEARCH("School coursework or lectures",BA128))</f>
        <v>0</v>
      </c>
      <c r="BI128" s="18">
        <f>--ISNUMBER(SEARCH("NHIMA outreach activities or NHIMA offices",BA128))</f>
        <v>0</v>
      </c>
      <c r="BJ128" s="18">
        <f>--ISNUMBER(SEARCH("Health facility staff",BA128))</f>
        <v>0</v>
      </c>
      <c r="BK128" s="18">
        <f>--ISNUMBER(SEARCH("not received information",BA128))</f>
        <v>0</v>
      </c>
      <c r="BL128" s="18">
        <f>IF(T128="","",--(T128='Codebook'!$F$13))</f>
        <v>1</v>
      </c>
      <c r="BM128" s="18">
        <f>IF(U128="","",--(U128='Codebook'!$F$14))</f>
        <v>0</v>
      </c>
      <c r="BN128" s="18">
        <f>IF(V128="","",--(V128='Codebook'!$F$15))</f>
        <v>0</v>
      </c>
      <c r="BO128" s="18">
        <f>IF(W128="","",--(W128='Codebook'!$F$16))</f>
        <v>1</v>
      </c>
      <c r="BP128" s="18">
        <f>IF(X128="","",--(X128='Codebook'!$F$17))</f>
        <v>1</v>
      </c>
      <c r="BQ128" s="18">
        <f>IF(Y128="","",--(Y128='Codebook'!$F$18))</f>
        <v>0</v>
      </c>
      <c r="BR128" s="18">
        <f>IF(Z128="","",--(Z128='Codebook'!$F$19))</f>
        <v>1</v>
      </c>
      <c r="BS128" s="18">
        <f>IF(AA128="","",--(AA128='Codebook'!$F$20))</f>
        <v>1</v>
      </c>
      <c r="BT128" s="18">
        <f>IF(AB128="","",--(AB128='Codebook'!$F$21))</f>
        <v>0</v>
      </c>
      <c r="BU128" s="18">
        <f>IF(AC128="","",--(AC128='Codebook'!$F$22))</f>
        <v>1</v>
      </c>
      <c r="BV128" s="18">
        <f>IF(AD128="","",--(AD128='Codebook'!$F$23))</f>
        <v>1</v>
      </c>
      <c r="BW128" s="18">
        <f>IF(AE128="","",--(AE128='Codebook'!$F$24))</f>
        <v>1</v>
      </c>
      <c r="BX128" s="18">
        <f>IF(AF128="","",--(AF128='Codebook'!$F$25))</f>
        <v>0</v>
      </c>
      <c r="BY128" s="18">
        <f>IF(AG128="","",--(AG128='Codebook'!$F$26))</f>
        <v>1</v>
      </c>
      <c r="BZ128" s="18">
        <f>IF(AH128="","",--(AH128='Codebook'!$F$27))</f>
        <v>1</v>
      </c>
      <c r="CA128" s="18">
        <f>IF(AI128="","",--(AI128='Codebook'!$F$28))</f>
        <v>0</v>
      </c>
      <c r="CB128" s="18">
        <f>IF(AJ128="","",--(AJ128='Codebook'!$F$29))</f>
        <v>0</v>
      </c>
      <c r="CC128" s="18">
        <f>IF(AK128="","",--(AK128='Codebook'!$F$30))</f>
        <v>1</v>
      </c>
      <c r="CD128" s="18">
        <f>IF(AL128="","",--(AL128='Codebook'!$F$31))</f>
        <v>0</v>
      </c>
      <c r="CE128" s="18">
        <f>IF(AM128="","",--(AM128='Codebook'!$F$32))</f>
        <v>1</v>
      </c>
      <c r="CF128" s="18">
        <f>IF(AN128="","",--(AN128='Codebook'!$F$33))</f>
        <v>0</v>
      </c>
      <c r="CG128" s="18">
        <f>IF(AO128="","",--(AO128='Codebook'!$F$34))</f>
        <v>0</v>
      </c>
      <c r="CH128" s="18">
        <f>IF(AP128="","",--(AP128='Codebook'!$F$35))</f>
        <v>0</v>
      </c>
      <c r="CI128" s="18">
        <f>IF(AQ128="","",--(AQ128='Codebook'!$F$36))</f>
        <v>0</v>
      </c>
      <c r="CJ128" s="18">
        <f>IF(AR128="","",--(AR128='Codebook'!$F$37))</f>
        <v>0</v>
      </c>
      <c r="CK128" s="18">
        <f>IF(AS128="","",--(AS128='Codebook'!$F$38))</f>
        <v>0</v>
      </c>
      <c r="CL128" s="18">
        <f>IF(AT128="","",--(AT128='Codebook'!$F$39))</f>
        <v>0</v>
      </c>
      <c r="CM128" s="18">
        <f>IF(AU128="","",--(AU128='Codebook'!$F$40))</f>
        <v>1</v>
      </c>
      <c r="CN128" s="18">
        <f>IF(AV128="","",--(AV128='Codebook'!$F$41))</f>
        <v>1</v>
      </c>
      <c r="CO128" s="18">
        <f>IF(AW128="","",--(AW128='Codebook'!$F$42))</f>
        <v>1</v>
      </c>
      <c r="CP128" s="18">
        <f>IF(AX128="","",--(AX128='Codebook'!$F$43))</f>
        <v>0</v>
      </c>
      <c r="CQ128" s="18">
        <f>IF(AY128="","",--(AY128='Codebook'!$F$44))</f>
        <v>0</v>
      </c>
      <c r="CR128" s="18">
        <f>IF(AZ128="","",--(AZ128='Codebook'!$F$45))</f>
        <v>0</v>
      </c>
    </row>
    <row r="129" spans="2:96" ht="24" customHeight="1">
      <c r="B129" s="18">
        <v>124</v>
      </c>
      <c r="C129" s="23">
        <v>46284.88532603009</v>
      </c>
      <c r="D129" s="21" t="s">
        <v>268</v>
      </c>
      <c r="E129" s="21" t="s">
        <v>206</v>
      </c>
      <c r="F129" s="21" t="s">
        <v>195</v>
      </c>
      <c r="G129" s="17" t="s">
        <v>196</v>
      </c>
      <c r="H129" s="21" t="s">
        <v>207</v>
      </c>
      <c r="I129" s="18">
        <f>SUM(BL129:BU129)</f>
        <v>10</v>
      </c>
      <c r="J129" s="18">
        <f>IF(COUNT(BV129:CD129)=9,SUM(BV129:CD129),"")</f>
        <v>8</v>
      </c>
      <c r="K129" s="18">
        <f>SUM(BL129:CD129)</f>
        <v>18</v>
      </c>
      <c r="L129" s="18">
        <f>--(K129&gt;='Codebook'!$C$8)</f>
        <v>1</v>
      </c>
      <c r="M129" s="18">
        <f>--(COUNT(BL129:CD129)=19)</f>
        <v>1</v>
      </c>
      <c r="N129" s="18">
        <f>SUM(CE129:CL129)</f>
        <v>7</v>
      </c>
      <c r="O129" s="18">
        <f>SUM(CM129:CR129)</f>
        <v>6</v>
      </c>
      <c r="P129" s="18">
        <f>N129+O129</f>
        <v>13</v>
      </c>
      <c r="Q129" s="21" t="s">
        <v>197</v>
      </c>
      <c r="R129" s="17" t="s">
        <v>158</v>
      </c>
      <c r="S129" s="18">
        <f>--OR(Overview!$B$6="All",E129=Overview!$B$6)*--OR(Overview!$F$6="All",F129=Overview!$F$6)*--OR(Overview!$J$6="All",G129=Overview!$J$6)*--OR(Overview!$N$6="All",H129=Overview!$N$6)</f>
        <v>1</v>
      </c>
      <c r="T129" s="21" t="s">
        <v>22</v>
      </c>
      <c r="U129" s="21" t="s">
        <v>26</v>
      </c>
      <c r="V129" s="21" t="s">
        <v>26</v>
      </c>
      <c r="W129" s="21" t="s">
        <v>22</v>
      </c>
      <c r="X129" s="21" t="s">
        <v>22</v>
      </c>
      <c r="Y129" s="21" t="s">
        <v>26</v>
      </c>
      <c r="Z129" s="21" t="s">
        <v>22</v>
      </c>
      <c r="AA129" s="21" t="s">
        <v>22</v>
      </c>
      <c r="AB129" s="21" t="s">
        <v>26</v>
      </c>
      <c r="AC129" s="21" t="s">
        <v>22</v>
      </c>
      <c r="AD129" s="21" t="s">
        <v>22</v>
      </c>
      <c r="AE129" s="21" t="s">
        <v>22</v>
      </c>
      <c r="AF129" s="21" t="s">
        <v>26</v>
      </c>
      <c r="AG129" s="21" t="s">
        <v>26</v>
      </c>
      <c r="AH129" s="21" t="s">
        <v>22</v>
      </c>
      <c r="AI129" s="21" t="s">
        <v>26</v>
      </c>
      <c r="AJ129" s="21" t="s">
        <v>26</v>
      </c>
      <c r="AK129" s="21" t="s">
        <v>22</v>
      </c>
      <c r="AL129" s="21" t="s">
        <v>26</v>
      </c>
      <c r="AM129" s="21" t="s">
        <v>109</v>
      </c>
      <c r="AN129" s="21" t="s">
        <v>83</v>
      </c>
      <c r="AO129" s="21" t="s">
        <v>83</v>
      </c>
      <c r="AP129" s="21" t="s">
        <v>83</v>
      </c>
      <c r="AQ129" s="21" t="s">
        <v>83</v>
      </c>
      <c r="AR129" s="21" t="s">
        <v>83</v>
      </c>
      <c r="AS129" s="21" t="s">
        <v>83</v>
      </c>
      <c r="AT129" s="21" t="s">
        <v>83</v>
      </c>
      <c r="AU129" s="21" t="s">
        <v>109</v>
      </c>
      <c r="AV129" s="21" t="s">
        <v>109</v>
      </c>
      <c r="AW129" s="21" t="s">
        <v>109</v>
      </c>
      <c r="AX129" s="21" t="s">
        <v>109</v>
      </c>
      <c r="AY129" s="21" t="s">
        <v>109</v>
      </c>
      <c r="AZ129" s="21" t="s">
        <v>109</v>
      </c>
      <c r="BA129" s="17" t="s">
        <v>300</v>
      </c>
      <c r="BB129" s="17" t="s">
        <v>225</v>
      </c>
      <c r="BC129" s="18">
        <f>--ISNUMBER(SEARCH("Radio or television",BA129))</f>
        <v>0</v>
      </c>
      <c r="BD129" s="18">
        <f>--ISNUMBER(SEARCH("Newspapers or print media",BA129))</f>
        <v>0</v>
      </c>
      <c r="BE129" s="18">
        <f>--ISNUMBER(SEARCH("Social media (e.g. Facebook, WhatsApp, YouTube, X/Twitter)",BA129))</f>
        <v>1</v>
      </c>
      <c r="BF129" s="18">
        <f>--ISNUMBER(SEARCH("Family members",BA129))</f>
        <v>1</v>
      </c>
      <c r="BG129" s="18">
        <f>--ISNUMBER(SEARCH("Friends or fellow students",BA129))</f>
        <v>1</v>
      </c>
      <c r="BH129" s="18">
        <f>--ISNUMBER(SEARCH("School coursework or lectures",BA129))</f>
        <v>1</v>
      </c>
      <c r="BI129" s="18">
        <f>--ISNUMBER(SEARCH("NHIMA outreach activities or NHIMA offices",BA129))</f>
        <v>1</v>
      </c>
      <c r="BJ129" s="18">
        <f>--ISNUMBER(SEARCH("Health facility staff",BA129))</f>
        <v>0</v>
      </c>
      <c r="BK129" s="18">
        <f>--ISNUMBER(SEARCH("not received information",BA129))</f>
        <v>0</v>
      </c>
      <c r="BL129" s="18">
        <f>IF(T129="","",--(T129='Codebook'!$F$13))</f>
        <v>1</v>
      </c>
      <c r="BM129" s="18">
        <f>IF(U129="","",--(U129='Codebook'!$F$14))</f>
        <v>1</v>
      </c>
      <c r="BN129" s="18">
        <f>IF(V129="","",--(V129='Codebook'!$F$15))</f>
        <v>1</v>
      </c>
      <c r="BO129" s="18">
        <f>IF(W129="","",--(W129='Codebook'!$F$16))</f>
        <v>1</v>
      </c>
      <c r="BP129" s="18">
        <f>IF(X129="","",--(X129='Codebook'!$F$17))</f>
        <v>1</v>
      </c>
      <c r="BQ129" s="18">
        <f>IF(Y129="","",--(Y129='Codebook'!$F$18))</f>
        <v>1</v>
      </c>
      <c r="BR129" s="18">
        <f>IF(Z129="","",--(Z129='Codebook'!$F$19))</f>
        <v>1</v>
      </c>
      <c r="BS129" s="18">
        <f>IF(AA129="","",--(AA129='Codebook'!$F$20))</f>
        <v>1</v>
      </c>
      <c r="BT129" s="18">
        <f>IF(AB129="","",--(AB129='Codebook'!$F$21))</f>
        <v>1</v>
      </c>
      <c r="BU129" s="18">
        <f>IF(AC129="","",--(AC129='Codebook'!$F$22))</f>
        <v>1</v>
      </c>
      <c r="BV129" s="18">
        <f>IF(AD129="","",--(AD129='Codebook'!$F$23))</f>
        <v>1</v>
      </c>
      <c r="BW129" s="18">
        <f>IF(AE129="","",--(AE129='Codebook'!$F$24))</f>
        <v>1</v>
      </c>
      <c r="BX129" s="18">
        <f>IF(AF129="","",--(AF129='Codebook'!$F$25))</f>
        <v>1</v>
      </c>
      <c r="BY129" s="18">
        <f>IF(AG129="","",--(AG129='Codebook'!$F$26))</f>
        <v>0</v>
      </c>
      <c r="BZ129" s="18">
        <f>IF(AH129="","",--(AH129='Codebook'!$F$27))</f>
        <v>1</v>
      </c>
      <c r="CA129" s="18">
        <f>IF(AI129="","",--(AI129='Codebook'!$F$28))</f>
        <v>1</v>
      </c>
      <c r="CB129" s="18">
        <f>IF(AJ129="","",--(AJ129='Codebook'!$F$29))</f>
        <v>1</v>
      </c>
      <c r="CC129" s="18">
        <f>IF(AK129="","",--(AK129='Codebook'!$F$30))</f>
        <v>1</v>
      </c>
      <c r="CD129" s="18">
        <f>IF(AL129="","",--(AL129='Codebook'!$F$31))</f>
        <v>1</v>
      </c>
      <c r="CE129" s="18">
        <f>IF(AM129="","",--(AM129='Codebook'!$F$32))</f>
        <v>0</v>
      </c>
      <c r="CF129" s="18">
        <f>IF(AN129="","",--(AN129='Codebook'!$F$33))</f>
        <v>1</v>
      </c>
      <c r="CG129" s="18">
        <f>IF(AO129="","",--(AO129='Codebook'!$F$34))</f>
        <v>1</v>
      </c>
      <c r="CH129" s="18">
        <f>IF(AP129="","",--(AP129='Codebook'!$F$35))</f>
        <v>1</v>
      </c>
      <c r="CI129" s="18">
        <f>IF(AQ129="","",--(AQ129='Codebook'!$F$36))</f>
        <v>1</v>
      </c>
      <c r="CJ129" s="18">
        <f>IF(AR129="","",--(AR129='Codebook'!$F$37))</f>
        <v>1</v>
      </c>
      <c r="CK129" s="18">
        <f>IF(AS129="","",--(AS129='Codebook'!$F$38))</f>
        <v>1</v>
      </c>
      <c r="CL129" s="18">
        <f>IF(AT129="","",--(AT129='Codebook'!$F$39))</f>
        <v>1</v>
      </c>
      <c r="CM129" s="18">
        <f>IF(AU129="","",--(AU129='Codebook'!$F$40))</f>
        <v>1</v>
      </c>
      <c r="CN129" s="18">
        <f>IF(AV129="","",--(AV129='Codebook'!$F$41))</f>
        <v>1</v>
      </c>
      <c r="CO129" s="18">
        <f>IF(AW129="","",--(AW129='Codebook'!$F$42))</f>
        <v>1</v>
      </c>
      <c r="CP129" s="18">
        <f>IF(AX129="","",--(AX129='Codebook'!$F$43))</f>
        <v>1</v>
      </c>
      <c r="CQ129" s="18">
        <f>IF(AY129="","",--(AY129='Codebook'!$F$44))</f>
        <v>1</v>
      </c>
      <c r="CR129" s="18">
        <f>IF(AZ129="","",--(AZ129='Codebook'!$F$45))</f>
        <v>1</v>
      </c>
    </row>
    <row r="130" spans="2:96" ht="24" customHeight="1">
      <c r="B130" s="18">
        <v>125</v>
      </c>
      <c r="C130" s="23">
        <v>46284.88730244213</v>
      </c>
      <c r="D130" s="21" t="s">
        <v>268</v>
      </c>
      <c r="E130" s="21" t="s">
        <v>206</v>
      </c>
      <c r="F130" s="21" t="s">
        <v>195</v>
      </c>
      <c r="G130" s="17" t="s">
        <v>224</v>
      </c>
      <c r="H130" s="21" t="s">
        <v>207</v>
      </c>
      <c r="I130" s="18">
        <f>SUM(BL130:BU130)</f>
        <v>9</v>
      </c>
      <c r="J130" s="18">
        <f>IF(COUNT(BV130:CD130)=9,SUM(BV130:CD130),"")</f>
        <v>8</v>
      </c>
      <c r="K130" s="18">
        <f>SUM(BL130:CD130)</f>
        <v>17</v>
      </c>
      <c r="L130" s="18">
        <f>--(K130&gt;='Codebook'!$C$8)</f>
        <v>1</v>
      </c>
      <c r="M130" s="18">
        <f>--(COUNT(BL130:CD130)=19)</f>
        <v>1</v>
      </c>
      <c r="N130" s="18">
        <f>SUM(CE130:CL130)</f>
        <v>8</v>
      </c>
      <c r="O130" s="18">
        <f>SUM(CM130:CR130)</f>
        <v>6</v>
      </c>
      <c r="P130" s="18">
        <f>N130+O130</f>
        <v>14</v>
      </c>
      <c r="Q130" s="21" t="s">
        <v>197</v>
      </c>
      <c r="R130" s="17" t="s">
        <v>154</v>
      </c>
      <c r="S130" s="18">
        <f>--OR(Overview!$B$6="All",E130=Overview!$B$6)*--OR(Overview!$F$6="All",F130=Overview!$F$6)*--OR(Overview!$J$6="All",G130=Overview!$J$6)*--OR(Overview!$N$6="All",H130=Overview!$N$6)</f>
        <v>1</v>
      </c>
      <c r="T130" s="21" t="s">
        <v>22</v>
      </c>
      <c r="U130" s="21" t="s">
        <v>26</v>
      </c>
      <c r="V130" s="21" t="s">
        <v>22</v>
      </c>
      <c r="W130" s="21" t="s">
        <v>22</v>
      </c>
      <c r="X130" s="21" t="s">
        <v>22</v>
      </c>
      <c r="Y130" s="21" t="s">
        <v>26</v>
      </c>
      <c r="Z130" s="21" t="s">
        <v>22</v>
      </c>
      <c r="AA130" s="21" t="s">
        <v>22</v>
      </c>
      <c r="AB130" s="21" t="s">
        <v>26</v>
      </c>
      <c r="AC130" s="21" t="s">
        <v>22</v>
      </c>
      <c r="AD130" s="21" t="s">
        <v>22</v>
      </c>
      <c r="AE130" s="21" t="s">
        <v>22</v>
      </c>
      <c r="AF130" s="21" t="s">
        <v>26</v>
      </c>
      <c r="AG130" s="21" t="s">
        <v>26</v>
      </c>
      <c r="AH130" s="21" t="s">
        <v>22</v>
      </c>
      <c r="AI130" s="21" t="s">
        <v>26</v>
      </c>
      <c r="AJ130" s="21" t="s">
        <v>26</v>
      </c>
      <c r="AK130" s="21" t="s">
        <v>22</v>
      </c>
      <c r="AL130" s="21" t="s">
        <v>26</v>
      </c>
      <c r="AM130" s="21" t="s">
        <v>83</v>
      </c>
      <c r="AN130" s="21" t="s">
        <v>83</v>
      </c>
      <c r="AO130" s="21" t="s">
        <v>83</v>
      </c>
      <c r="AP130" s="21" t="s">
        <v>83</v>
      </c>
      <c r="AQ130" s="21" t="s">
        <v>83</v>
      </c>
      <c r="AR130" s="21" t="s">
        <v>83</v>
      </c>
      <c r="AS130" s="21" t="s">
        <v>83</v>
      </c>
      <c r="AT130" s="21" t="s">
        <v>83</v>
      </c>
      <c r="AU130" s="21" t="s">
        <v>109</v>
      </c>
      <c r="AV130" s="21" t="s">
        <v>109</v>
      </c>
      <c r="AW130" s="21" t="s">
        <v>109</v>
      </c>
      <c r="AX130" s="21" t="s">
        <v>109</v>
      </c>
      <c r="AY130" s="21" t="s">
        <v>109</v>
      </c>
      <c r="AZ130" s="21" t="s">
        <v>109</v>
      </c>
      <c r="BA130" s="17" t="s">
        <v>258</v>
      </c>
      <c r="BB130" s="17" t="s">
        <v>250</v>
      </c>
      <c r="BC130" s="18">
        <f>--ISNUMBER(SEARCH("Radio or television",BA130))</f>
        <v>0</v>
      </c>
      <c r="BD130" s="18">
        <f>--ISNUMBER(SEARCH("Newspapers or print media",BA130))</f>
        <v>0</v>
      </c>
      <c r="BE130" s="18">
        <f>--ISNUMBER(SEARCH("Social media (e.g. Facebook, WhatsApp, YouTube, X/Twitter)",BA130))</f>
        <v>1</v>
      </c>
      <c r="BF130" s="18">
        <f>--ISNUMBER(SEARCH("Family members",BA130))</f>
        <v>1</v>
      </c>
      <c r="BG130" s="18">
        <f>--ISNUMBER(SEARCH("Friends or fellow students",BA130))</f>
        <v>1</v>
      </c>
      <c r="BH130" s="18">
        <f>--ISNUMBER(SEARCH("School coursework or lectures",BA130))</f>
        <v>0</v>
      </c>
      <c r="BI130" s="18">
        <f>--ISNUMBER(SEARCH("NHIMA outreach activities or NHIMA offices",BA130))</f>
        <v>0</v>
      </c>
      <c r="BJ130" s="18">
        <f>--ISNUMBER(SEARCH("Health facility staff",BA130))</f>
        <v>0</v>
      </c>
      <c r="BK130" s="18">
        <f>--ISNUMBER(SEARCH("not received information",BA130))</f>
        <v>0</v>
      </c>
      <c r="BL130" s="18">
        <f>IF(T130="","",--(T130='Codebook'!$F$13))</f>
        <v>1</v>
      </c>
      <c r="BM130" s="18">
        <f>IF(U130="","",--(U130='Codebook'!$F$14))</f>
        <v>1</v>
      </c>
      <c r="BN130" s="18">
        <f>IF(V130="","",--(V130='Codebook'!$F$15))</f>
        <v>0</v>
      </c>
      <c r="BO130" s="18">
        <f>IF(W130="","",--(W130='Codebook'!$F$16))</f>
        <v>1</v>
      </c>
      <c r="BP130" s="18">
        <f>IF(X130="","",--(X130='Codebook'!$F$17))</f>
        <v>1</v>
      </c>
      <c r="BQ130" s="18">
        <f>IF(Y130="","",--(Y130='Codebook'!$F$18))</f>
        <v>1</v>
      </c>
      <c r="BR130" s="18">
        <f>IF(Z130="","",--(Z130='Codebook'!$F$19))</f>
        <v>1</v>
      </c>
      <c r="BS130" s="18">
        <f>IF(AA130="","",--(AA130='Codebook'!$F$20))</f>
        <v>1</v>
      </c>
      <c r="BT130" s="18">
        <f>IF(AB130="","",--(AB130='Codebook'!$F$21))</f>
        <v>1</v>
      </c>
      <c r="BU130" s="18">
        <f>IF(AC130="","",--(AC130='Codebook'!$F$22))</f>
        <v>1</v>
      </c>
      <c r="BV130" s="18">
        <f>IF(AD130="","",--(AD130='Codebook'!$F$23))</f>
        <v>1</v>
      </c>
      <c r="BW130" s="18">
        <f>IF(AE130="","",--(AE130='Codebook'!$F$24))</f>
        <v>1</v>
      </c>
      <c r="BX130" s="18">
        <f>IF(AF130="","",--(AF130='Codebook'!$F$25))</f>
        <v>1</v>
      </c>
      <c r="BY130" s="18">
        <f>IF(AG130="","",--(AG130='Codebook'!$F$26))</f>
        <v>0</v>
      </c>
      <c r="BZ130" s="18">
        <f>IF(AH130="","",--(AH130='Codebook'!$F$27))</f>
        <v>1</v>
      </c>
      <c r="CA130" s="18">
        <f>IF(AI130="","",--(AI130='Codebook'!$F$28))</f>
        <v>1</v>
      </c>
      <c r="CB130" s="18">
        <f>IF(AJ130="","",--(AJ130='Codebook'!$F$29))</f>
        <v>1</v>
      </c>
      <c r="CC130" s="18">
        <f>IF(AK130="","",--(AK130='Codebook'!$F$30))</f>
        <v>1</v>
      </c>
      <c r="CD130" s="18">
        <f>IF(AL130="","",--(AL130='Codebook'!$F$31))</f>
        <v>1</v>
      </c>
      <c r="CE130" s="18">
        <f>IF(AM130="","",--(AM130='Codebook'!$F$32))</f>
        <v>1</v>
      </c>
      <c r="CF130" s="18">
        <f>IF(AN130="","",--(AN130='Codebook'!$F$33))</f>
        <v>1</v>
      </c>
      <c r="CG130" s="18">
        <f>IF(AO130="","",--(AO130='Codebook'!$F$34))</f>
        <v>1</v>
      </c>
      <c r="CH130" s="18">
        <f>IF(AP130="","",--(AP130='Codebook'!$F$35))</f>
        <v>1</v>
      </c>
      <c r="CI130" s="18">
        <f>IF(AQ130="","",--(AQ130='Codebook'!$F$36))</f>
        <v>1</v>
      </c>
      <c r="CJ130" s="18">
        <f>IF(AR130="","",--(AR130='Codebook'!$F$37))</f>
        <v>1</v>
      </c>
      <c r="CK130" s="18">
        <f>IF(AS130="","",--(AS130='Codebook'!$F$38))</f>
        <v>1</v>
      </c>
      <c r="CL130" s="18">
        <f>IF(AT130="","",--(AT130='Codebook'!$F$39))</f>
        <v>1</v>
      </c>
      <c r="CM130" s="18">
        <f>IF(AU130="","",--(AU130='Codebook'!$F$40))</f>
        <v>1</v>
      </c>
      <c r="CN130" s="18">
        <f>IF(AV130="","",--(AV130='Codebook'!$F$41))</f>
        <v>1</v>
      </c>
      <c r="CO130" s="18">
        <f>IF(AW130="","",--(AW130='Codebook'!$F$42))</f>
        <v>1</v>
      </c>
      <c r="CP130" s="18">
        <f>IF(AX130="","",--(AX130='Codebook'!$F$43))</f>
        <v>1</v>
      </c>
      <c r="CQ130" s="18">
        <f>IF(AY130="","",--(AY130='Codebook'!$F$44))</f>
        <v>1</v>
      </c>
      <c r="CR130" s="18">
        <f>IF(AZ130="","",--(AZ130='Codebook'!$F$45))</f>
        <v>1</v>
      </c>
    </row>
    <row r="131" spans="2:96" ht="24" customHeight="1">
      <c r="B131" s="18">
        <v>126</v>
      </c>
      <c r="C131" s="23">
        <v>46284.89017432871</v>
      </c>
      <c r="D131" s="21" t="s">
        <v>275</v>
      </c>
      <c r="E131" s="21" t="s">
        <v>194</v>
      </c>
      <c r="F131" s="21" t="s">
        <v>226</v>
      </c>
      <c r="G131" s="17" t="s">
        <v>247</v>
      </c>
      <c r="H131" s="21" t="s">
        <v>197</v>
      </c>
      <c r="I131" s="18">
        <f>SUM(BL131:BU131)</f>
        <v>10</v>
      </c>
      <c r="J131" s="18">
        <f>IF(COUNT(BV131:CD131)=9,SUM(BV131:CD131),"")</f>
        <v>8</v>
      </c>
      <c r="K131" s="18">
        <f>SUM(BL131:CD131)</f>
        <v>18</v>
      </c>
      <c r="L131" s="18">
        <f>--(K131&gt;='Codebook'!$C$8)</f>
        <v>1</v>
      </c>
      <c r="M131" s="18">
        <f>--(COUNT(BL131:CD131)=19)</f>
        <v>1</v>
      </c>
      <c r="N131" s="18">
        <f>SUM(CE131:CL131)</f>
        <v>7</v>
      </c>
      <c r="O131" s="18">
        <f>SUM(CM131:CR131)</f>
        <v>6</v>
      </c>
      <c r="P131" s="18">
        <f>N131+O131</f>
        <v>13</v>
      </c>
      <c r="Q131" s="21" t="s">
        <v>197</v>
      </c>
      <c r="R131" s="17" t="s">
        <v>216</v>
      </c>
      <c r="S131" s="18">
        <f>--OR(Overview!$B$6="All",E131=Overview!$B$6)*--OR(Overview!$F$6="All",F131=Overview!$F$6)*--OR(Overview!$J$6="All",G131=Overview!$J$6)*--OR(Overview!$N$6="All",H131=Overview!$N$6)</f>
        <v>1</v>
      </c>
      <c r="T131" s="21" t="s">
        <v>22</v>
      </c>
      <c r="U131" s="21" t="s">
        <v>26</v>
      </c>
      <c r="V131" s="21" t="s">
        <v>26</v>
      </c>
      <c r="W131" s="21" t="s">
        <v>22</v>
      </c>
      <c r="X131" s="21" t="s">
        <v>22</v>
      </c>
      <c r="Y131" s="21" t="s">
        <v>26</v>
      </c>
      <c r="Z131" s="21" t="s">
        <v>22</v>
      </c>
      <c r="AA131" s="21" t="s">
        <v>22</v>
      </c>
      <c r="AB131" s="21" t="s">
        <v>26</v>
      </c>
      <c r="AC131" s="21" t="s">
        <v>22</v>
      </c>
      <c r="AD131" s="21" t="s">
        <v>22</v>
      </c>
      <c r="AE131" s="21" t="s">
        <v>22</v>
      </c>
      <c r="AF131" s="21" t="s">
        <v>26</v>
      </c>
      <c r="AG131" s="21" t="s">
        <v>26</v>
      </c>
      <c r="AH131" s="21" t="s">
        <v>22</v>
      </c>
      <c r="AI131" s="21" t="s">
        <v>26</v>
      </c>
      <c r="AJ131" s="21" t="s">
        <v>26</v>
      </c>
      <c r="AK131" s="21" t="s">
        <v>22</v>
      </c>
      <c r="AL131" s="21" t="s">
        <v>26</v>
      </c>
      <c r="AM131" s="21" t="s">
        <v>109</v>
      </c>
      <c r="AN131" s="21" t="s">
        <v>83</v>
      </c>
      <c r="AO131" s="21" t="s">
        <v>83</v>
      </c>
      <c r="AP131" s="21" t="s">
        <v>83</v>
      </c>
      <c r="AQ131" s="21" t="s">
        <v>83</v>
      </c>
      <c r="AR131" s="21" t="s">
        <v>83</v>
      </c>
      <c r="AS131" s="21" t="s">
        <v>83</v>
      </c>
      <c r="AT131" s="21" t="s">
        <v>83</v>
      </c>
      <c r="AU131" s="21" t="s">
        <v>109</v>
      </c>
      <c r="AV131" s="21" t="s">
        <v>109</v>
      </c>
      <c r="AW131" s="21" t="s">
        <v>109</v>
      </c>
      <c r="AX131" s="21" t="s">
        <v>109</v>
      </c>
      <c r="AY131" s="21" t="s">
        <v>109</v>
      </c>
      <c r="AZ131" s="21" t="s">
        <v>109</v>
      </c>
      <c r="BA131" s="17" t="s">
        <v>228</v>
      </c>
      <c r="BB131" s="17" t="s">
        <v>285</v>
      </c>
      <c r="BC131" s="18">
        <f>--ISNUMBER(SEARCH("Radio or television",BA131))</f>
        <v>1</v>
      </c>
      <c r="BD131" s="18">
        <f>--ISNUMBER(SEARCH("Newspapers or print media",BA131))</f>
        <v>1</v>
      </c>
      <c r="BE131" s="18">
        <f>--ISNUMBER(SEARCH("Social media (e.g. Facebook, WhatsApp, YouTube, X/Twitter)",BA131))</f>
        <v>1</v>
      </c>
      <c r="BF131" s="18">
        <f>--ISNUMBER(SEARCH("Family members",BA131))</f>
        <v>1</v>
      </c>
      <c r="BG131" s="18">
        <f>--ISNUMBER(SEARCH("Friends or fellow students",BA131))</f>
        <v>1</v>
      </c>
      <c r="BH131" s="18">
        <f>--ISNUMBER(SEARCH("School coursework or lectures",BA131))</f>
        <v>1</v>
      </c>
      <c r="BI131" s="18">
        <f>--ISNUMBER(SEARCH("NHIMA outreach activities or NHIMA offices",BA131))</f>
        <v>1</v>
      </c>
      <c r="BJ131" s="18">
        <f>--ISNUMBER(SEARCH("Health facility staff",BA131))</f>
        <v>1</v>
      </c>
      <c r="BK131" s="18">
        <f>--ISNUMBER(SEARCH("not received information",BA131))</f>
        <v>0</v>
      </c>
      <c r="BL131" s="18">
        <f>IF(T131="","",--(T131='Codebook'!$F$13))</f>
        <v>1</v>
      </c>
      <c r="BM131" s="18">
        <f>IF(U131="","",--(U131='Codebook'!$F$14))</f>
        <v>1</v>
      </c>
      <c r="BN131" s="18">
        <f>IF(V131="","",--(V131='Codebook'!$F$15))</f>
        <v>1</v>
      </c>
      <c r="BO131" s="18">
        <f>IF(W131="","",--(W131='Codebook'!$F$16))</f>
        <v>1</v>
      </c>
      <c r="BP131" s="18">
        <f>IF(X131="","",--(X131='Codebook'!$F$17))</f>
        <v>1</v>
      </c>
      <c r="BQ131" s="18">
        <f>IF(Y131="","",--(Y131='Codebook'!$F$18))</f>
        <v>1</v>
      </c>
      <c r="BR131" s="18">
        <f>IF(Z131="","",--(Z131='Codebook'!$F$19))</f>
        <v>1</v>
      </c>
      <c r="BS131" s="18">
        <f>IF(AA131="","",--(AA131='Codebook'!$F$20))</f>
        <v>1</v>
      </c>
      <c r="BT131" s="18">
        <f>IF(AB131="","",--(AB131='Codebook'!$F$21))</f>
        <v>1</v>
      </c>
      <c r="BU131" s="18">
        <f>IF(AC131="","",--(AC131='Codebook'!$F$22))</f>
        <v>1</v>
      </c>
      <c r="BV131" s="18">
        <f>IF(AD131="","",--(AD131='Codebook'!$F$23))</f>
        <v>1</v>
      </c>
      <c r="BW131" s="18">
        <f>IF(AE131="","",--(AE131='Codebook'!$F$24))</f>
        <v>1</v>
      </c>
      <c r="BX131" s="18">
        <f>IF(AF131="","",--(AF131='Codebook'!$F$25))</f>
        <v>1</v>
      </c>
      <c r="BY131" s="18">
        <f>IF(AG131="","",--(AG131='Codebook'!$F$26))</f>
        <v>0</v>
      </c>
      <c r="BZ131" s="18">
        <f>IF(AH131="","",--(AH131='Codebook'!$F$27))</f>
        <v>1</v>
      </c>
      <c r="CA131" s="18">
        <f>IF(AI131="","",--(AI131='Codebook'!$F$28))</f>
        <v>1</v>
      </c>
      <c r="CB131" s="18">
        <f>IF(AJ131="","",--(AJ131='Codebook'!$F$29))</f>
        <v>1</v>
      </c>
      <c r="CC131" s="18">
        <f>IF(AK131="","",--(AK131='Codebook'!$F$30))</f>
        <v>1</v>
      </c>
      <c r="CD131" s="18">
        <f>IF(AL131="","",--(AL131='Codebook'!$F$31))</f>
        <v>1</v>
      </c>
      <c r="CE131" s="18">
        <f>IF(AM131="","",--(AM131='Codebook'!$F$32))</f>
        <v>0</v>
      </c>
      <c r="CF131" s="18">
        <f>IF(AN131="","",--(AN131='Codebook'!$F$33))</f>
        <v>1</v>
      </c>
      <c r="CG131" s="18">
        <f>IF(AO131="","",--(AO131='Codebook'!$F$34))</f>
        <v>1</v>
      </c>
      <c r="CH131" s="18">
        <f>IF(AP131="","",--(AP131='Codebook'!$F$35))</f>
        <v>1</v>
      </c>
      <c r="CI131" s="18">
        <f>IF(AQ131="","",--(AQ131='Codebook'!$F$36))</f>
        <v>1</v>
      </c>
      <c r="CJ131" s="18">
        <f>IF(AR131="","",--(AR131='Codebook'!$F$37))</f>
        <v>1</v>
      </c>
      <c r="CK131" s="18">
        <f>IF(AS131="","",--(AS131='Codebook'!$F$38))</f>
        <v>1</v>
      </c>
      <c r="CL131" s="18">
        <f>IF(AT131="","",--(AT131='Codebook'!$F$39))</f>
        <v>1</v>
      </c>
      <c r="CM131" s="18">
        <f>IF(AU131="","",--(AU131='Codebook'!$F$40))</f>
        <v>1</v>
      </c>
      <c r="CN131" s="18">
        <f>IF(AV131="","",--(AV131='Codebook'!$F$41))</f>
        <v>1</v>
      </c>
      <c r="CO131" s="18">
        <f>IF(AW131="","",--(AW131='Codebook'!$F$42))</f>
        <v>1</v>
      </c>
      <c r="CP131" s="18">
        <f>IF(AX131="","",--(AX131='Codebook'!$F$43))</f>
        <v>1</v>
      </c>
      <c r="CQ131" s="18">
        <f>IF(AY131="","",--(AY131='Codebook'!$F$44))</f>
        <v>1</v>
      </c>
      <c r="CR131" s="18">
        <f>IF(AZ131="","",--(AZ131='Codebook'!$F$45))</f>
        <v>1</v>
      </c>
    </row>
    <row r="132" spans="2:96" ht="24" customHeight="1">
      <c r="B132" s="18">
        <v>127</v>
      </c>
      <c r="C132" s="23">
        <v>46284.8918359375</v>
      </c>
      <c r="D132" s="21" t="s">
        <v>268</v>
      </c>
      <c r="E132" s="21" t="s">
        <v>206</v>
      </c>
      <c r="F132" s="21" t="s">
        <v>195</v>
      </c>
      <c r="G132" s="17" t="s">
        <v>202</v>
      </c>
      <c r="H132" s="21" t="s">
        <v>197</v>
      </c>
      <c r="I132" s="18">
        <f>SUM(BL132:BU132)</f>
        <v>10</v>
      </c>
      <c r="J132" s="18">
        <f>IF(COUNT(BV132:CD132)=9,SUM(BV132:CD132),"")</f>
        <v>8</v>
      </c>
      <c r="K132" s="18">
        <f>SUM(BL132:CD132)</f>
        <v>18</v>
      </c>
      <c r="L132" s="18">
        <f>--(K132&gt;='Codebook'!$C$8)</f>
        <v>1</v>
      </c>
      <c r="M132" s="18">
        <f>--(COUNT(BL132:CD132)=19)</f>
        <v>1</v>
      </c>
      <c r="N132" s="18">
        <f>SUM(CE132:CL132)</f>
        <v>7</v>
      </c>
      <c r="O132" s="18">
        <f>SUM(CM132:CR132)</f>
        <v>6</v>
      </c>
      <c r="P132" s="18">
        <f>N132+O132</f>
        <v>13</v>
      </c>
      <c r="Q132" s="21" t="s">
        <v>197</v>
      </c>
      <c r="R132" s="17" t="s">
        <v>154</v>
      </c>
      <c r="S132" s="18">
        <f>--OR(Overview!$B$6="All",E132=Overview!$B$6)*--OR(Overview!$F$6="All",F132=Overview!$F$6)*--OR(Overview!$J$6="All",G132=Overview!$J$6)*--OR(Overview!$N$6="All",H132=Overview!$N$6)</f>
        <v>1</v>
      </c>
      <c r="T132" s="21" t="s">
        <v>22</v>
      </c>
      <c r="U132" s="21" t="s">
        <v>26</v>
      </c>
      <c r="V132" s="21" t="s">
        <v>26</v>
      </c>
      <c r="W132" s="21" t="s">
        <v>22</v>
      </c>
      <c r="X132" s="21" t="s">
        <v>22</v>
      </c>
      <c r="Y132" s="21" t="s">
        <v>26</v>
      </c>
      <c r="Z132" s="21" t="s">
        <v>22</v>
      </c>
      <c r="AA132" s="21" t="s">
        <v>22</v>
      </c>
      <c r="AB132" s="21" t="s">
        <v>26</v>
      </c>
      <c r="AC132" s="21" t="s">
        <v>22</v>
      </c>
      <c r="AD132" s="21" t="s">
        <v>22</v>
      </c>
      <c r="AE132" s="21" t="s">
        <v>22</v>
      </c>
      <c r="AF132" s="21" t="s">
        <v>26</v>
      </c>
      <c r="AG132" s="21" t="s">
        <v>26</v>
      </c>
      <c r="AH132" s="21" t="s">
        <v>22</v>
      </c>
      <c r="AI132" s="21" t="s">
        <v>26</v>
      </c>
      <c r="AJ132" s="21" t="s">
        <v>26</v>
      </c>
      <c r="AK132" s="21" t="s">
        <v>22</v>
      </c>
      <c r="AL132" s="21" t="s">
        <v>26</v>
      </c>
      <c r="AM132" s="21" t="s">
        <v>109</v>
      </c>
      <c r="AN132" s="21" t="s">
        <v>83</v>
      </c>
      <c r="AO132" s="21" t="s">
        <v>83</v>
      </c>
      <c r="AP132" s="21" t="s">
        <v>83</v>
      </c>
      <c r="AQ132" s="21" t="s">
        <v>83</v>
      </c>
      <c r="AR132" s="21" t="s">
        <v>83</v>
      </c>
      <c r="AS132" s="21" t="s">
        <v>83</v>
      </c>
      <c r="AT132" s="21" t="s">
        <v>83</v>
      </c>
      <c r="AU132" s="21" t="s">
        <v>109</v>
      </c>
      <c r="AV132" s="21" t="s">
        <v>109</v>
      </c>
      <c r="AW132" s="21" t="s">
        <v>109</v>
      </c>
      <c r="AX132" s="21" t="s">
        <v>109</v>
      </c>
      <c r="AY132" s="21" t="s">
        <v>109</v>
      </c>
      <c r="AZ132" s="21" t="s">
        <v>109</v>
      </c>
      <c r="BA132" s="17" t="s">
        <v>301</v>
      </c>
      <c r="BB132" s="17" t="s">
        <v>250</v>
      </c>
      <c r="BC132" s="18">
        <f>--ISNUMBER(SEARCH("Radio or television",BA132))</f>
        <v>0</v>
      </c>
      <c r="BD132" s="18">
        <f>--ISNUMBER(SEARCH("Newspapers or print media",BA132))</f>
        <v>1</v>
      </c>
      <c r="BE132" s="18">
        <f>--ISNUMBER(SEARCH("Social media (e.g. Facebook, WhatsApp, YouTube, X/Twitter)",BA132))</f>
        <v>1</v>
      </c>
      <c r="BF132" s="18">
        <f>--ISNUMBER(SEARCH("Family members",BA132))</f>
        <v>1</v>
      </c>
      <c r="BG132" s="18">
        <f>--ISNUMBER(SEARCH("Friends or fellow students",BA132))</f>
        <v>1</v>
      </c>
      <c r="BH132" s="18">
        <f>--ISNUMBER(SEARCH("School coursework or lectures",BA132))</f>
        <v>1</v>
      </c>
      <c r="BI132" s="18">
        <f>--ISNUMBER(SEARCH("NHIMA outreach activities or NHIMA offices",BA132))</f>
        <v>1</v>
      </c>
      <c r="BJ132" s="18">
        <f>--ISNUMBER(SEARCH("Health facility staff",BA132))</f>
        <v>1</v>
      </c>
      <c r="BK132" s="18">
        <f>--ISNUMBER(SEARCH("not received information",BA132))</f>
        <v>0</v>
      </c>
      <c r="BL132" s="18">
        <f>IF(T132="","",--(T132='Codebook'!$F$13))</f>
        <v>1</v>
      </c>
      <c r="BM132" s="18">
        <f>IF(U132="","",--(U132='Codebook'!$F$14))</f>
        <v>1</v>
      </c>
      <c r="BN132" s="18">
        <f>IF(V132="","",--(V132='Codebook'!$F$15))</f>
        <v>1</v>
      </c>
      <c r="BO132" s="18">
        <f>IF(W132="","",--(W132='Codebook'!$F$16))</f>
        <v>1</v>
      </c>
      <c r="BP132" s="18">
        <f>IF(X132="","",--(X132='Codebook'!$F$17))</f>
        <v>1</v>
      </c>
      <c r="BQ132" s="18">
        <f>IF(Y132="","",--(Y132='Codebook'!$F$18))</f>
        <v>1</v>
      </c>
      <c r="BR132" s="18">
        <f>IF(Z132="","",--(Z132='Codebook'!$F$19))</f>
        <v>1</v>
      </c>
      <c r="BS132" s="18">
        <f>IF(AA132="","",--(AA132='Codebook'!$F$20))</f>
        <v>1</v>
      </c>
      <c r="BT132" s="18">
        <f>IF(AB132="","",--(AB132='Codebook'!$F$21))</f>
        <v>1</v>
      </c>
      <c r="BU132" s="18">
        <f>IF(AC132="","",--(AC132='Codebook'!$F$22))</f>
        <v>1</v>
      </c>
      <c r="BV132" s="18">
        <f>IF(AD132="","",--(AD132='Codebook'!$F$23))</f>
        <v>1</v>
      </c>
      <c r="BW132" s="18">
        <f>IF(AE132="","",--(AE132='Codebook'!$F$24))</f>
        <v>1</v>
      </c>
      <c r="BX132" s="18">
        <f>IF(AF132="","",--(AF132='Codebook'!$F$25))</f>
        <v>1</v>
      </c>
      <c r="BY132" s="18">
        <f>IF(AG132="","",--(AG132='Codebook'!$F$26))</f>
        <v>0</v>
      </c>
      <c r="BZ132" s="18">
        <f>IF(AH132="","",--(AH132='Codebook'!$F$27))</f>
        <v>1</v>
      </c>
      <c r="CA132" s="18">
        <f>IF(AI132="","",--(AI132='Codebook'!$F$28))</f>
        <v>1</v>
      </c>
      <c r="CB132" s="18">
        <f>IF(AJ132="","",--(AJ132='Codebook'!$F$29))</f>
        <v>1</v>
      </c>
      <c r="CC132" s="18">
        <f>IF(AK132="","",--(AK132='Codebook'!$F$30))</f>
        <v>1</v>
      </c>
      <c r="CD132" s="18">
        <f>IF(AL132="","",--(AL132='Codebook'!$F$31))</f>
        <v>1</v>
      </c>
      <c r="CE132" s="18">
        <f>IF(AM132="","",--(AM132='Codebook'!$F$32))</f>
        <v>0</v>
      </c>
      <c r="CF132" s="18">
        <f>IF(AN132="","",--(AN132='Codebook'!$F$33))</f>
        <v>1</v>
      </c>
      <c r="CG132" s="18">
        <f>IF(AO132="","",--(AO132='Codebook'!$F$34))</f>
        <v>1</v>
      </c>
      <c r="CH132" s="18">
        <f>IF(AP132="","",--(AP132='Codebook'!$F$35))</f>
        <v>1</v>
      </c>
      <c r="CI132" s="18">
        <f>IF(AQ132="","",--(AQ132='Codebook'!$F$36))</f>
        <v>1</v>
      </c>
      <c r="CJ132" s="18">
        <f>IF(AR132="","",--(AR132='Codebook'!$F$37))</f>
        <v>1</v>
      </c>
      <c r="CK132" s="18">
        <f>IF(AS132="","",--(AS132='Codebook'!$F$38))</f>
        <v>1</v>
      </c>
      <c r="CL132" s="18">
        <f>IF(AT132="","",--(AT132='Codebook'!$F$39))</f>
        <v>1</v>
      </c>
      <c r="CM132" s="18">
        <f>IF(AU132="","",--(AU132='Codebook'!$F$40))</f>
        <v>1</v>
      </c>
      <c r="CN132" s="18">
        <f>IF(AV132="","",--(AV132='Codebook'!$F$41))</f>
        <v>1</v>
      </c>
      <c r="CO132" s="18">
        <f>IF(AW132="","",--(AW132='Codebook'!$F$42))</f>
        <v>1</v>
      </c>
      <c r="CP132" s="18">
        <f>IF(AX132="","",--(AX132='Codebook'!$F$43))</f>
        <v>1</v>
      </c>
      <c r="CQ132" s="18">
        <f>IF(AY132="","",--(AY132='Codebook'!$F$44))</f>
        <v>1</v>
      </c>
      <c r="CR132" s="18">
        <f>IF(AZ132="","",--(AZ132='Codebook'!$F$45))</f>
        <v>1</v>
      </c>
    </row>
    <row r="133" spans="2:96" ht="24" customHeight="1">
      <c r="B133" s="18">
        <v>128</v>
      </c>
      <c r="C133" s="23">
        <v>46284.89367296296</v>
      </c>
      <c r="D133" s="21" t="s">
        <v>268</v>
      </c>
      <c r="E133" s="21" t="s">
        <v>194</v>
      </c>
      <c r="F133" s="21" t="s">
        <v>212</v>
      </c>
      <c r="G133" s="17" t="s">
        <v>215</v>
      </c>
      <c r="H133" s="21" t="s">
        <v>207</v>
      </c>
      <c r="I133" s="18">
        <f>SUM(BL133:BU133)</f>
        <v>10</v>
      </c>
      <c r="J133" s="18">
        <f>IF(COUNT(BV133:CD133)=9,SUM(BV133:CD133),"")</f>
        <v>8</v>
      </c>
      <c r="K133" s="18">
        <f>SUM(BL133:CD133)</f>
        <v>18</v>
      </c>
      <c r="L133" s="18">
        <f>--(K133&gt;='Codebook'!$C$8)</f>
        <v>1</v>
      </c>
      <c r="M133" s="18">
        <f>--(COUNT(BL133:CD133)=19)</f>
        <v>1</v>
      </c>
      <c r="N133" s="18">
        <f>SUM(CE133:CL133)</f>
        <v>7</v>
      </c>
      <c r="O133" s="18">
        <f>SUM(CM133:CR133)</f>
        <v>6</v>
      </c>
      <c r="P133" s="18">
        <f>N133+O133</f>
        <v>13</v>
      </c>
      <c r="Q133" s="21" t="s">
        <v>197</v>
      </c>
      <c r="R133" s="17" t="s">
        <v>216</v>
      </c>
      <c r="S133" s="18">
        <f>--OR(Overview!$B$6="All",E133=Overview!$B$6)*--OR(Overview!$F$6="All",F133=Overview!$F$6)*--OR(Overview!$J$6="All",G133=Overview!$J$6)*--OR(Overview!$N$6="All",H133=Overview!$N$6)</f>
        <v>1</v>
      </c>
      <c r="T133" s="21" t="s">
        <v>22</v>
      </c>
      <c r="U133" s="21" t="s">
        <v>26</v>
      </c>
      <c r="V133" s="21" t="s">
        <v>26</v>
      </c>
      <c r="W133" s="21" t="s">
        <v>22</v>
      </c>
      <c r="X133" s="21" t="s">
        <v>22</v>
      </c>
      <c r="Y133" s="21" t="s">
        <v>26</v>
      </c>
      <c r="Z133" s="21" t="s">
        <v>22</v>
      </c>
      <c r="AA133" s="21" t="s">
        <v>22</v>
      </c>
      <c r="AB133" s="21" t="s">
        <v>26</v>
      </c>
      <c r="AC133" s="21" t="s">
        <v>22</v>
      </c>
      <c r="AD133" s="21" t="s">
        <v>22</v>
      </c>
      <c r="AE133" s="21" t="s">
        <v>22</v>
      </c>
      <c r="AF133" s="21" t="s">
        <v>26</v>
      </c>
      <c r="AG133" s="21" t="s">
        <v>26</v>
      </c>
      <c r="AH133" s="21" t="s">
        <v>22</v>
      </c>
      <c r="AI133" s="21" t="s">
        <v>26</v>
      </c>
      <c r="AJ133" s="21" t="s">
        <v>26</v>
      </c>
      <c r="AK133" s="21" t="s">
        <v>22</v>
      </c>
      <c r="AL133" s="21" t="s">
        <v>26</v>
      </c>
      <c r="AM133" s="21" t="s">
        <v>109</v>
      </c>
      <c r="AN133" s="21" t="s">
        <v>83</v>
      </c>
      <c r="AO133" s="21" t="s">
        <v>83</v>
      </c>
      <c r="AP133" s="21" t="s">
        <v>83</v>
      </c>
      <c r="AQ133" s="21" t="s">
        <v>83</v>
      </c>
      <c r="AR133" s="21" t="s">
        <v>83</v>
      </c>
      <c r="AS133" s="21" t="s">
        <v>83</v>
      </c>
      <c r="AT133" s="21" t="s">
        <v>83</v>
      </c>
      <c r="AU133" s="21" t="s">
        <v>109</v>
      </c>
      <c r="AV133" s="21" t="s">
        <v>109</v>
      </c>
      <c r="AW133" s="21" t="s">
        <v>109</v>
      </c>
      <c r="AX133" s="21" t="s">
        <v>109</v>
      </c>
      <c r="AY133" s="21" t="s">
        <v>109</v>
      </c>
      <c r="AZ133" s="21" t="s">
        <v>109</v>
      </c>
      <c r="BA133" s="17" t="s">
        <v>302</v>
      </c>
      <c r="BB133" s="17" t="s">
        <v>285</v>
      </c>
      <c r="BC133" s="18">
        <f>--ISNUMBER(SEARCH("Radio or television",BA133))</f>
        <v>0</v>
      </c>
      <c r="BD133" s="18">
        <f>--ISNUMBER(SEARCH("Newspapers or print media",BA133))</f>
        <v>0</v>
      </c>
      <c r="BE133" s="18">
        <f>--ISNUMBER(SEARCH("Social media (e.g. Facebook, WhatsApp, YouTube, X/Twitter)",BA133))</f>
        <v>1</v>
      </c>
      <c r="BF133" s="18">
        <f>--ISNUMBER(SEARCH("Family members",BA133))</f>
        <v>1</v>
      </c>
      <c r="BG133" s="18">
        <f>--ISNUMBER(SEARCH("Friends or fellow students",BA133))</f>
        <v>0</v>
      </c>
      <c r="BH133" s="18">
        <f>--ISNUMBER(SEARCH("School coursework or lectures",BA133))</f>
        <v>1</v>
      </c>
      <c r="BI133" s="18">
        <f>--ISNUMBER(SEARCH("NHIMA outreach activities or NHIMA offices",BA133))</f>
        <v>1</v>
      </c>
      <c r="BJ133" s="18">
        <f>--ISNUMBER(SEARCH("Health facility staff",BA133))</f>
        <v>0</v>
      </c>
      <c r="BK133" s="18">
        <f>--ISNUMBER(SEARCH("not received information",BA133))</f>
        <v>0</v>
      </c>
      <c r="BL133" s="18">
        <f>IF(T133="","",--(T133='Codebook'!$F$13))</f>
        <v>1</v>
      </c>
      <c r="BM133" s="18">
        <f>IF(U133="","",--(U133='Codebook'!$F$14))</f>
        <v>1</v>
      </c>
      <c r="BN133" s="18">
        <f>IF(V133="","",--(V133='Codebook'!$F$15))</f>
        <v>1</v>
      </c>
      <c r="BO133" s="18">
        <f>IF(W133="","",--(W133='Codebook'!$F$16))</f>
        <v>1</v>
      </c>
      <c r="BP133" s="18">
        <f>IF(X133="","",--(X133='Codebook'!$F$17))</f>
        <v>1</v>
      </c>
      <c r="BQ133" s="18">
        <f>IF(Y133="","",--(Y133='Codebook'!$F$18))</f>
        <v>1</v>
      </c>
      <c r="BR133" s="18">
        <f>IF(Z133="","",--(Z133='Codebook'!$F$19))</f>
        <v>1</v>
      </c>
      <c r="BS133" s="18">
        <f>IF(AA133="","",--(AA133='Codebook'!$F$20))</f>
        <v>1</v>
      </c>
      <c r="BT133" s="18">
        <f>IF(AB133="","",--(AB133='Codebook'!$F$21))</f>
        <v>1</v>
      </c>
      <c r="BU133" s="18">
        <f>IF(AC133="","",--(AC133='Codebook'!$F$22))</f>
        <v>1</v>
      </c>
      <c r="BV133" s="18">
        <f>IF(AD133="","",--(AD133='Codebook'!$F$23))</f>
        <v>1</v>
      </c>
      <c r="BW133" s="18">
        <f>IF(AE133="","",--(AE133='Codebook'!$F$24))</f>
        <v>1</v>
      </c>
      <c r="BX133" s="18">
        <f>IF(AF133="","",--(AF133='Codebook'!$F$25))</f>
        <v>1</v>
      </c>
      <c r="BY133" s="18">
        <f>IF(AG133="","",--(AG133='Codebook'!$F$26))</f>
        <v>0</v>
      </c>
      <c r="BZ133" s="18">
        <f>IF(AH133="","",--(AH133='Codebook'!$F$27))</f>
        <v>1</v>
      </c>
      <c r="CA133" s="18">
        <f>IF(AI133="","",--(AI133='Codebook'!$F$28))</f>
        <v>1</v>
      </c>
      <c r="CB133" s="18">
        <f>IF(AJ133="","",--(AJ133='Codebook'!$F$29))</f>
        <v>1</v>
      </c>
      <c r="CC133" s="18">
        <f>IF(AK133="","",--(AK133='Codebook'!$F$30))</f>
        <v>1</v>
      </c>
      <c r="CD133" s="18">
        <f>IF(AL133="","",--(AL133='Codebook'!$F$31))</f>
        <v>1</v>
      </c>
      <c r="CE133" s="18">
        <f>IF(AM133="","",--(AM133='Codebook'!$F$32))</f>
        <v>0</v>
      </c>
      <c r="CF133" s="18">
        <f>IF(AN133="","",--(AN133='Codebook'!$F$33))</f>
        <v>1</v>
      </c>
      <c r="CG133" s="18">
        <f>IF(AO133="","",--(AO133='Codebook'!$F$34))</f>
        <v>1</v>
      </c>
      <c r="CH133" s="18">
        <f>IF(AP133="","",--(AP133='Codebook'!$F$35))</f>
        <v>1</v>
      </c>
      <c r="CI133" s="18">
        <f>IF(AQ133="","",--(AQ133='Codebook'!$F$36))</f>
        <v>1</v>
      </c>
      <c r="CJ133" s="18">
        <f>IF(AR133="","",--(AR133='Codebook'!$F$37))</f>
        <v>1</v>
      </c>
      <c r="CK133" s="18">
        <f>IF(AS133="","",--(AS133='Codebook'!$F$38))</f>
        <v>1</v>
      </c>
      <c r="CL133" s="18">
        <f>IF(AT133="","",--(AT133='Codebook'!$F$39))</f>
        <v>1</v>
      </c>
      <c r="CM133" s="18">
        <f>IF(AU133="","",--(AU133='Codebook'!$F$40))</f>
        <v>1</v>
      </c>
      <c r="CN133" s="18">
        <f>IF(AV133="","",--(AV133='Codebook'!$F$41))</f>
        <v>1</v>
      </c>
      <c r="CO133" s="18">
        <f>IF(AW133="","",--(AW133='Codebook'!$F$42))</f>
        <v>1</v>
      </c>
      <c r="CP133" s="18">
        <f>IF(AX133="","",--(AX133='Codebook'!$F$43))</f>
        <v>1</v>
      </c>
      <c r="CQ133" s="18">
        <f>IF(AY133="","",--(AY133='Codebook'!$F$44))</f>
        <v>1</v>
      </c>
      <c r="CR133" s="18">
        <f>IF(AZ133="","",--(AZ133='Codebook'!$F$45))</f>
        <v>1</v>
      </c>
    </row>
    <row r="134" spans="2:96" ht="24" customHeight="1">
      <c r="B134" s="18">
        <v>129</v>
      </c>
      <c r="C134" s="23">
        <v>46284.90377403935</v>
      </c>
      <c r="D134" s="21" t="s">
        <v>270</v>
      </c>
      <c r="E134" s="21" t="s">
        <v>206</v>
      </c>
      <c r="F134" s="21" t="s">
        <v>212</v>
      </c>
      <c r="G134" s="17" t="s">
        <v>196</v>
      </c>
      <c r="H134" s="21" t="s">
        <v>207</v>
      </c>
      <c r="I134" s="18">
        <f>SUM(BL134:BU134)</f>
        <v>9</v>
      </c>
      <c r="J134" s="18">
        <f>IF(COUNT(BV134:CD134)=9,SUM(BV134:CD134),"")</f>
        <v>4</v>
      </c>
      <c r="K134" s="18">
        <f>SUM(BL134:CD134)</f>
        <v>13</v>
      </c>
      <c r="L134" s="18">
        <f>--(K134&gt;='Codebook'!$C$8)</f>
        <v>1</v>
      </c>
      <c r="M134" s="18">
        <f>--(COUNT(BL134:CD134)=19)</f>
        <v>1</v>
      </c>
      <c r="N134" s="18">
        <f>SUM(CE134:CL134)</f>
        <v>8</v>
      </c>
      <c r="O134" s="18">
        <f>SUM(CM134:CR134)</f>
        <v>3</v>
      </c>
      <c r="P134" s="18">
        <f>N134+O134</f>
        <v>11</v>
      </c>
      <c r="Q134" s="21" t="s">
        <v>207</v>
      </c>
      <c r="R134" s="17" t="s">
        <v>152</v>
      </c>
      <c r="S134" s="18">
        <f>--OR(Overview!$B$6="All",E134=Overview!$B$6)*--OR(Overview!$F$6="All",F134=Overview!$F$6)*--OR(Overview!$J$6="All",G134=Overview!$J$6)*--OR(Overview!$N$6="All",H134=Overview!$N$6)</f>
        <v>1</v>
      </c>
      <c r="T134" s="21" t="s">
        <v>22</v>
      </c>
      <c r="U134" s="21" t="s">
        <v>26</v>
      </c>
      <c r="V134" s="21" t="s">
        <v>26</v>
      </c>
      <c r="W134" s="21" t="s">
        <v>22</v>
      </c>
      <c r="X134" s="21" t="s">
        <v>22</v>
      </c>
      <c r="Y134" s="21" t="s">
        <v>26</v>
      </c>
      <c r="Z134" s="21" t="s">
        <v>22</v>
      </c>
      <c r="AA134" s="21" t="s">
        <v>198</v>
      </c>
      <c r="AB134" s="21" t="s">
        <v>26</v>
      </c>
      <c r="AC134" s="21" t="s">
        <v>22</v>
      </c>
      <c r="AD134" s="21" t="s">
        <v>22</v>
      </c>
      <c r="AE134" s="21" t="s">
        <v>198</v>
      </c>
      <c r="AF134" s="21" t="s">
        <v>26</v>
      </c>
      <c r="AG134" s="21" t="s">
        <v>198</v>
      </c>
      <c r="AH134" s="21" t="s">
        <v>198</v>
      </c>
      <c r="AI134" s="21" t="s">
        <v>26</v>
      </c>
      <c r="AJ134" s="21" t="s">
        <v>198</v>
      </c>
      <c r="AK134" s="21" t="s">
        <v>198</v>
      </c>
      <c r="AL134" s="21" t="s">
        <v>26</v>
      </c>
      <c r="AM134" s="21" t="s">
        <v>83</v>
      </c>
      <c r="AN134" s="21" t="s">
        <v>83</v>
      </c>
      <c r="AO134" s="21" t="s">
        <v>83</v>
      </c>
      <c r="AP134" s="21" t="s">
        <v>83</v>
      </c>
      <c r="AQ134" s="21" t="s">
        <v>83</v>
      </c>
      <c r="AR134" s="21" t="s">
        <v>83</v>
      </c>
      <c r="AS134" s="21" t="s">
        <v>83</v>
      </c>
      <c r="AT134" s="21" t="s">
        <v>83</v>
      </c>
      <c r="AU134" s="21" t="s">
        <v>83</v>
      </c>
      <c r="AV134" s="21" t="s">
        <v>83</v>
      </c>
      <c r="AW134" s="21" t="s">
        <v>83</v>
      </c>
      <c r="AX134" s="21" t="s">
        <v>109</v>
      </c>
      <c r="AY134" s="21" t="s">
        <v>109</v>
      </c>
      <c r="AZ134" s="21" t="s">
        <v>109</v>
      </c>
      <c r="BA134" s="17" t="s">
        <v>223</v>
      </c>
      <c r="BB134" s="17" t="s">
        <v>223</v>
      </c>
      <c r="BC134" s="18">
        <f>--ISNUMBER(SEARCH("Radio or television",BA134))</f>
        <v>1</v>
      </c>
      <c r="BD134" s="18">
        <f>--ISNUMBER(SEARCH("Newspapers or print media",BA134))</f>
        <v>0</v>
      </c>
      <c r="BE134" s="18">
        <f>--ISNUMBER(SEARCH("Social media (e.g. Facebook, WhatsApp, YouTube, X/Twitter)",BA134))</f>
        <v>0</v>
      </c>
      <c r="BF134" s="18">
        <f>--ISNUMBER(SEARCH("Family members",BA134))</f>
        <v>0</v>
      </c>
      <c r="BG134" s="18">
        <f>--ISNUMBER(SEARCH("Friends or fellow students",BA134))</f>
        <v>0</v>
      </c>
      <c r="BH134" s="18">
        <f>--ISNUMBER(SEARCH("School coursework or lectures",BA134))</f>
        <v>0</v>
      </c>
      <c r="BI134" s="18">
        <f>--ISNUMBER(SEARCH("NHIMA outreach activities or NHIMA offices",BA134))</f>
        <v>0</v>
      </c>
      <c r="BJ134" s="18">
        <f>--ISNUMBER(SEARCH("Health facility staff",BA134))</f>
        <v>0</v>
      </c>
      <c r="BK134" s="18">
        <f>--ISNUMBER(SEARCH("not received information",BA134))</f>
        <v>0</v>
      </c>
      <c r="BL134" s="18">
        <f>IF(T134="","",--(T134='Codebook'!$F$13))</f>
        <v>1</v>
      </c>
      <c r="BM134" s="18">
        <f>IF(U134="","",--(U134='Codebook'!$F$14))</f>
        <v>1</v>
      </c>
      <c r="BN134" s="18">
        <f>IF(V134="","",--(V134='Codebook'!$F$15))</f>
        <v>1</v>
      </c>
      <c r="BO134" s="18">
        <f>IF(W134="","",--(W134='Codebook'!$F$16))</f>
        <v>1</v>
      </c>
      <c r="BP134" s="18">
        <f>IF(X134="","",--(X134='Codebook'!$F$17))</f>
        <v>1</v>
      </c>
      <c r="BQ134" s="18">
        <f>IF(Y134="","",--(Y134='Codebook'!$F$18))</f>
        <v>1</v>
      </c>
      <c r="BR134" s="18">
        <f>IF(Z134="","",--(Z134='Codebook'!$F$19))</f>
        <v>1</v>
      </c>
      <c r="BS134" s="18">
        <f>IF(AA134="","",--(AA134='Codebook'!$F$20))</f>
        <v>0</v>
      </c>
      <c r="BT134" s="18">
        <f>IF(AB134="","",--(AB134='Codebook'!$F$21))</f>
        <v>1</v>
      </c>
      <c r="BU134" s="18">
        <f>IF(AC134="","",--(AC134='Codebook'!$F$22))</f>
        <v>1</v>
      </c>
      <c r="BV134" s="18">
        <f>IF(AD134="","",--(AD134='Codebook'!$F$23))</f>
        <v>1</v>
      </c>
      <c r="BW134" s="18">
        <f>IF(AE134="","",--(AE134='Codebook'!$F$24))</f>
        <v>0</v>
      </c>
      <c r="BX134" s="18">
        <f>IF(AF134="","",--(AF134='Codebook'!$F$25))</f>
        <v>1</v>
      </c>
      <c r="BY134" s="18">
        <f>IF(AG134="","",--(AG134='Codebook'!$F$26))</f>
        <v>0</v>
      </c>
      <c r="BZ134" s="18">
        <f>IF(AH134="","",--(AH134='Codebook'!$F$27))</f>
        <v>0</v>
      </c>
      <c r="CA134" s="18">
        <f>IF(AI134="","",--(AI134='Codebook'!$F$28))</f>
        <v>1</v>
      </c>
      <c r="CB134" s="18">
        <f>IF(AJ134="","",--(AJ134='Codebook'!$F$29))</f>
        <v>0</v>
      </c>
      <c r="CC134" s="18">
        <f>IF(AK134="","",--(AK134='Codebook'!$F$30))</f>
        <v>0</v>
      </c>
      <c r="CD134" s="18">
        <f>IF(AL134="","",--(AL134='Codebook'!$F$31))</f>
        <v>1</v>
      </c>
      <c r="CE134" s="18">
        <f>IF(AM134="","",--(AM134='Codebook'!$F$32))</f>
        <v>1</v>
      </c>
      <c r="CF134" s="18">
        <f>IF(AN134="","",--(AN134='Codebook'!$F$33))</f>
        <v>1</v>
      </c>
      <c r="CG134" s="18">
        <f>IF(AO134="","",--(AO134='Codebook'!$F$34))</f>
        <v>1</v>
      </c>
      <c r="CH134" s="18">
        <f>IF(AP134="","",--(AP134='Codebook'!$F$35))</f>
        <v>1</v>
      </c>
      <c r="CI134" s="18">
        <f>IF(AQ134="","",--(AQ134='Codebook'!$F$36))</f>
        <v>1</v>
      </c>
      <c r="CJ134" s="18">
        <f>IF(AR134="","",--(AR134='Codebook'!$F$37))</f>
        <v>1</v>
      </c>
      <c r="CK134" s="18">
        <f>IF(AS134="","",--(AS134='Codebook'!$F$38))</f>
        <v>1</v>
      </c>
      <c r="CL134" s="18">
        <f>IF(AT134="","",--(AT134='Codebook'!$F$39))</f>
        <v>1</v>
      </c>
      <c r="CM134" s="18">
        <f>IF(AU134="","",--(AU134='Codebook'!$F$40))</f>
        <v>0</v>
      </c>
      <c r="CN134" s="18">
        <f>IF(AV134="","",--(AV134='Codebook'!$F$41))</f>
        <v>0</v>
      </c>
      <c r="CO134" s="18">
        <f>IF(AW134="","",--(AW134='Codebook'!$F$42))</f>
        <v>0</v>
      </c>
      <c r="CP134" s="18">
        <f>IF(AX134="","",--(AX134='Codebook'!$F$43))</f>
        <v>1</v>
      </c>
      <c r="CQ134" s="18">
        <f>IF(AY134="","",--(AY134='Codebook'!$F$44))</f>
        <v>1</v>
      </c>
      <c r="CR134" s="18">
        <f>IF(AZ134="","",--(AZ134='Codebook'!$F$45))</f>
        <v>1</v>
      </c>
    </row>
    <row r="135" spans="2:96" ht="24" customHeight="1">
      <c r="B135" s="18">
        <v>130</v>
      </c>
      <c r="C135" s="23">
        <v>46284.90573940973</v>
      </c>
      <c r="D135" s="21" t="s">
        <v>268</v>
      </c>
      <c r="E135" s="21" t="s">
        <v>206</v>
      </c>
      <c r="F135" s="21" t="s">
        <v>195</v>
      </c>
      <c r="G135" s="17" t="s">
        <v>196</v>
      </c>
      <c r="H135" s="21" t="s">
        <v>207</v>
      </c>
      <c r="I135" s="18">
        <f>SUM(BL135:BU135)</f>
        <v>2</v>
      </c>
      <c r="J135" s="18">
        <f>IF(COUNT(BV135:CD135)=9,SUM(BV135:CD135),"")</f>
        <v>1</v>
      </c>
      <c r="K135" s="18">
        <f>SUM(BL135:CD135)</f>
        <v>3</v>
      </c>
      <c r="L135" s="18">
        <f>--(K135&gt;='Codebook'!$C$8)</f>
        <v>0</v>
      </c>
      <c r="M135" s="18">
        <f>--(COUNT(BL135:CD135)=19)</f>
        <v>1</v>
      </c>
      <c r="N135" s="18">
        <f>SUM(CE135:CL135)</f>
        <v>5</v>
      </c>
      <c r="O135" s="18">
        <f>SUM(CM135:CR135)</f>
        <v>2</v>
      </c>
      <c r="P135" s="18">
        <f>N135+O135</f>
        <v>7</v>
      </c>
      <c r="Q135" s="21" t="s">
        <v>197</v>
      </c>
      <c r="R135" s="17" t="s">
        <v>152</v>
      </c>
      <c r="S135" s="18">
        <f>--OR(Overview!$B$6="All",E135=Overview!$B$6)*--OR(Overview!$F$6="All",F135=Overview!$F$6)*--OR(Overview!$J$6="All",G135=Overview!$J$6)*--OR(Overview!$N$6="All",H135=Overview!$N$6)</f>
        <v>1</v>
      </c>
      <c r="T135" s="21" t="s">
        <v>22</v>
      </c>
      <c r="U135" s="21" t="s">
        <v>22</v>
      </c>
      <c r="V135" s="21" t="s">
        <v>26</v>
      </c>
      <c r="W135" s="21" t="s">
        <v>26</v>
      </c>
      <c r="X135" s="21" t="s">
        <v>26</v>
      </c>
      <c r="Y135" s="21" t="s">
        <v>198</v>
      </c>
      <c r="Z135" s="21" t="s">
        <v>198</v>
      </c>
      <c r="AA135" s="21" t="s">
        <v>198</v>
      </c>
      <c r="AB135" s="21" t="s">
        <v>198</v>
      </c>
      <c r="AC135" s="21" t="s">
        <v>26</v>
      </c>
      <c r="AD135" s="21" t="s">
        <v>26</v>
      </c>
      <c r="AE135" s="21" t="s">
        <v>22</v>
      </c>
      <c r="AF135" s="21" t="s">
        <v>22</v>
      </c>
      <c r="AG135" s="21" t="s">
        <v>26</v>
      </c>
      <c r="AH135" s="21" t="s">
        <v>26</v>
      </c>
      <c r="AI135" s="21" t="s">
        <v>198</v>
      </c>
      <c r="AJ135" s="21" t="s">
        <v>198</v>
      </c>
      <c r="AK135" s="21" t="s">
        <v>198</v>
      </c>
      <c r="AL135" s="21" t="s">
        <v>198</v>
      </c>
      <c r="AM135" s="21" t="s">
        <v>198</v>
      </c>
      <c r="AN135" s="21" t="s">
        <v>83</v>
      </c>
      <c r="AO135" s="21" t="s">
        <v>83</v>
      </c>
      <c r="AP135" s="21" t="s">
        <v>109</v>
      </c>
      <c r="AQ135" s="21" t="s">
        <v>109</v>
      </c>
      <c r="AR135" s="21" t="s">
        <v>83</v>
      </c>
      <c r="AS135" s="21" t="s">
        <v>83</v>
      </c>
      <c r="AT135" s="21" t="s">
        <v>83</v>
      </c>
      <c r="AU135" s="21" t="s">
        <v>83</v>
      </c>
      <c r="AV135" s="21" t="s">
        <v>83</v>
      </c>
      <c r="AW135" s="21" t="s">
        <v>83</v>
      </c>
      <c r="AX135" s="21" t="s">
        <v>83</v>
      </c>
      <c r="AY135" s="21" t="s">
        <v>109</v>
      </c>
      <c r="AZ135" s="21" t="s">
        <v>109</v>
      </c>
      <c r="BA135" s="17" t="s">
        <v>223</v>
      </c>
      <c r="BB135" s="17" t="s">
        <v>223</v>
      </c>
      <c r="BC135" s="18">
        <f>--ISNUMBER(SEARCH("Radio or television",BA135))</f>
        <v>1</v>
      </c>
      <c r="BD135" s="18">
        <f>--ISNUMBER(SEARCH("Newspapers or print media",BA135))</f>
        <v>0</v>
      </c>
      <c r="BE135" s="18">
        <f>--ISNUMBER(SEARCH("Social media (e.g. Facebook, WhatsApp, YouTube, X/Twitter)",BA135))</f>
        <v>0</v>
      </c>
      <c r="BF135" s="18">
        <f>--ISNUMBER(SEARCH("Family members",BA135))</f>
        <v>0</v>
      </c>
      <c r="BG135" s="18">
        <f>--ISNUMBER(SEARCH("Friends or fellow students",BA135))</f>
        <v>0</v>
      </c>
      <c r="BH135" s="18">
        <f>--ISNUMBER(SEARCH("School coursework or lectures",BA135))</f>
        <v>0</v>
      </c>
      <c r="BI135" s="18">
        <f>--ISNUMBER(SEARCH("NHIMA outreach activities or NHIMA offices",BA135))</f>
        <v>0</v>
      </c>
      <c r="BJ135" s="18">
        <f>--ISNUMBER(SEARCH("Health facility staff",BA135))</f>
        <v>0</v>
      </c>
      <c r="BK135" s="18">
        <f>--ISNUMBER(SEARCH("not received information",BA135))</f>
        <v>0</v>
      </c>
      <c r="BL135" s="18">
        <f>IF(T135="","",--(T135='Codebook'!$F$13))</f>
        <v>1</v>
      </c>
      <c r="BM135" s="18">
        <f>IF(U135="","",--(U135='Codebook'!$F$14))</f>
        <v>0</v>
      </c>
      <c r="BN135" s="18">
        <f>IF(V135="","",--(V135='Codebook'!$F$15))</f>
        <v>1</v>
      </c>
      <c r="BO135" s="18">
        <f>IF(W135="","",--(W135='Codebook'!$F$16))</f>
        <v>0</v>
      </c>
      <c r="BP135" s="18">
        <f>IF(X135="","",--(X135='Codebook'!$F$17))</f>
        <v>0</v>
      </c>
      <c r="BQ135" s="18">
        <f>IF(Y135="","",--(Y135='Codebook'!$F$18))</f>
        <v>0</v>
      </c>
      <c r="BR135" s="18">
        <f>IF(Z135="","",--(Z135='Codebook'!$F$19))</f>
        <v>0</v>
      </c>
      <c r="BS135" s="18">
        <f>IF(AA135="","",--(AA135='Codebook'!$F$20))</f>
        <v>0</v>
      </c>
      <c r="BT135" s="18">
        <f>IF(AB135="","",--(AB135='Codebook'!$F$21))</f>
        <v>0</v>
      </c>
      <c r="BU135" s="18">
        <f>IF(AC135="","",--(AC135='Codebook'!$F$22))</f>
        <v>0</v>
      </c>
      <c r="BV135" s="18">
        <f>IF(AD135="","",--(AD135='Codebook'!$F$23))</f>
        <v>0</v>
      </c>
      <c r="BW135" s="18">
        <f>IF(AE135="","",--(AE135='Codebook'!$F$24))</f>
        <v>1</v>
      </c>
      <c r="BX135" s="18">
        <f>IF(AF135="","",--(AF135='Codebook'!$F$25))</f>
        <v>0</v>
      </c>
      <c r="BY135" s="18">
        <f>IF(AG135="","",--(AG135='Codebook'!$F$26))</f>
        <v>0</v>
      </c>
      <c r="BZ135" s="18">
        <f>IF(AH135="","",--(AH135='Codebook'!$F$27))</f>
        <v>0</v>
      </c>
      <c r="CA135" s="18">
        <f>IF(AI135="","",--(AI135='Codebook'!$F$28))</f>
        <v>0</v>
      </c>
      <c r="CB135" s="18">
        <f>IF(AJ135="","",--(AJ135='Codebook'!$F$29))</f>
        <v>0</v>
      </c>
      <c r="CC135" s="18">
        <f>IF(AK135="","",--(AK135='Codebook'!$F$30))</f>
        <v>0</v>
      </c>
      <c r="CD135" s="18">
        <f>IF(AL135="","",--(AL135='Codebook'!$F$31))</f>
        <v>0</v>
      </c>
      <c r="CE135" s="18">
        <f>IF(AM135="","",--(AM135='Codebook'!$F$32))</f>
        <v>0</v>
      </c>
      <c r="CF135" s="18">
        <f>IF(AN135="","",--(AN135='Codebook'!$F$33))</f>
        <v>1</v>
      </c>
      <c r="CG135" s="18">
        <f>IF(AO135="","",--(AO135='Codebook'!$F$34))</f>
        <v>1</v>
      </c>
      <c r="CH135" s="18">
        <f>IF(AP135="","",--(AP135='Codebook'!$F$35))</f>
        <v>0</v>
      </c>
      <c r="CI135" s="18">
        <f>IF(AQ135="","",--(AQ135='Codebook'!$F$36))</f>
        <v>0</v>
      </c>
      <c r="CJ135" s="18">
        <f>IF(AR135="","",--(AR135='Codebook'!$F$37))</f>
        <v>1</v>
      </c>
      <c r="CK135" s="18">
        <f>IF(AS135="","",--(AS135='Codebook'!$F$38))</f>
        <v>1</v>
      </c>
      <c r="CL135" s="18">
        <f>IF(AT135="","",--(AT135='Codebook'!$F$39))</f>
        <v>1</v>
      </c>
      <c r="CM135" s="18">
        <f>IF(AU135="","",--(AU135='Codebook'!$F$40))</f>
        <v>0</v>
      </c>
      <c r="CN135" s="18">
        <f>IF(AV135="","",--(AV135='Codebook'!$F$41))</f>
        <v>0</v>
      </c>
      <c r="CO135" s="18">
        <f>IF(AW135="","",--(AW135='Codebook'!$F$42))</f>
        <v>0</v>
      </c>
      <c r="CP135" s="18">
        <f>IF(AX135="","",--(AX135='Codebook'!$F$43))</f>
        <v>0</v>
      </c>
      <c r="CQ135" s="18">
        <f>IF(AY135="","",--(AY135='Codebook'!$F$44))</f>
        <v>1</v>
      </c>
      <c r="CR135" s="18">
        <f>IF(AZ135="","",--(AZ135='Codebook'!$F$45))</f>
        <v>1</v>
      </c>
    </row>
    <row r="136" spans="2:96" ht="24" customHeight="1">
      <c r="B136" s="18">
        <v>131</v>
      </c>
      <c r="C136" s="23">
        <v>46284.90761099537</v>
      </c>
      <c r="D136" s="21" t="s">
        <v>275</v>
      </c>
      <c r="E136" s="21" t="s">
        <v>194</v>
      </c>
      <c r="F136" s="21" t="s">
        <v>212</v>
      </c>
      <c r="G136" s="17" t="s">
        <v>247</v>
      </c>
      <c r="H136" s="21" t="s">
        <v>197</v>
      </c>
      <c r="I136" s="18">
        <f>SUM(BL136:BU136)</f>
        <v>3</v>
      </c>
      <c r="J136" s="18">
        <f>IF(COUNT(BV136:CD136)=9,SUM(BV136:CD136),"")</f>
        <v>2</v>
      </c>
      <c r="K136" s="18">
        <f>SUM(BL136:CD136)</f>
        <v>5</v>
      </c>
      <c r="L136" s="18">
        <f>--(K136&gt;='Codebook'!$C$8)</f>
        <v>0</v>
      </c>
      <c r="M136" s="18">
        <f>--(COUNT(BL136:CD136)=19)</f>
        <v>1</v>
      </c>
      <c r="N136" s="18">
        <f>SUM(CE136:CL136)</f>
        <v>6</v>
      </c>
      <c r="O136" s="18">
        <f>SUM(CM136:CR136)</f>
        <v>0</v>
      </c>
      <c r="P136" s="18">
        <f>N136+O136</f>
        <v>6</v>
      </c>
      <c r="Q136" s="21" t="s">
        <v>207</v>
      </c>
      <c r="R136" s="17" t="s">
        <v>152</v>
      </c>
      <c r="S136" s="18">
        <f>--OR(Overview!$B$6="All",E136=Overview!$B$6)*--OR(Overview!$F$6="All",F136=Overview!$F$6)*--OR(Overview!$J$6="All",G136=Overview!$J$6)*--OR(Overview!$N$6="All",H136=Overview!$N$6)</f>
        <v>1</v>
      </c>
      <c r="T136" s="21" t="s">
        <v>22</v>
      </c>
      <c r="U136" s="21" t="s">
        <v>22</v>
      </c>
      <c r="V136" s="21" t="s">
        <v>22</v>
      </c>
      <c r="W136" s="21" t="s">
        <v>22</v>
      </c>
      <c r="X136" s="21" t="s">
        <v>26</v>
      </c>
      <c r="Y136" s="21" t="s">
        <v>22</v>
      </c>
      <c r="Z136" s="21" t="s">
        <v>22</v>
      </c>
      <c r="AA136" s="21" t="s">
        <v>26</v>
      </c>
      <c r="AB136" s="21" t="s">
        <v>198</v>
      </c>
      <c r="AC136" s="21" t="s">
        <v>198</v>
      </c>
      <c r="AD136" s="21" t="s">
        <v>198</v>
      </c>
      <c r="AE136" s="21" t="s">
        <v>22</v>
      </c>
      <c r="AF136" s="21" t="s">
        <v>22</v>
      </c>
      <c r="AG136" s="21" t="s">
        <v>26</v>
      </c>
      <c r="AH136" s="21" t="s">
        <v>26</v>
      </c>
      <c r="AI136" s="21" t="s">
        <v>22</v>
      </c>
      <c r="AJ136" s="21" t="s">
        <v>26</v>
      </c>
      <c r="AK136" s="21" t="s">
        <v>198</v>
      </c>
      <c r="AL136" s="21" t="s">
        <v>198</v>
      </c>
      <c r="AM136" s="21" t="s">
        <v>83</v>
      </c>
      <c r="AN136" s="21" t="s">
        <v>83</v>
      </c>
      <c r="AO136" s="21" t="s">
        <v>198</v>
      </c>
      <c r="AP136" s="21" t="s">
        <v>198</v>
      </c>
      <c r="AQ136" s="21" t="s">
        <v>83</v>
      </c>
      <c r="AR136" s="21" t="s">
        <v>83</v>
      </c>
      <c r="AS136" s="21" t="s">
        <v>83</v>
      </c>
      <c r="AT136" s="21" t="s">
        <v>83</v>
      </c>
      <c r="AU136" s="21" t="s">
        <v>83</v>
      </c>
      <c r="AV136" s="21" t="s">
        <v>83</v>
      </c>
      <c r="AW136" s="21" t="s">
        <v>83</v>
      </c>
      <c r="AX136" s="21" t="s">
        <v>83</v>
      </c>
      <c r="AY136" s="21" t="s">
        <v>83</v>
      </c>
      <c r="AZ136" s="21" t="s">
        <v>83</v>
      </c>
      <c r="BA136" s="17" t="s">
        <v>223</v>
      </c>
      <c r="BB136" s="17" t="s">
        <v>223</v>
      </c>
      <c r="BC136" s="18">
        <f>--ISNUMBER(SEARCH("Radio or television",BA136))</f>
        <v>1</v>
      </c>
      <c r="BD136" s="18">
        <f>--ISNUMBER(SEARCH("Newspapers or print media",BA136))</f>
        <v>0</v>
      </c>
      <c r="BE136" s="18">
        <f>--ISNUMBER(SEARCH("Social media (e.g. Facebook, WhatsApp, YouTube, X/Twitter)",BA136))</f>
        <v>0</v>
      </c>
      <c r="BF136" s="18">
        <f>--ISNUMBER(SEARCH("Family members",BA136))</f>
        <v>0</v>
      </c>
      <c r="BG136" s="18">
        <f>--ISNUMBER(SEARCH("Friends or fellow students",BA136))</f>
        <v>0</v>
      </c>
      <c r="BH136" s="18">
        <f>--ISNUMBER(SEARCH("School coursework or lectures",BA136))</f>
        <v>0</v>
      </c>
      <c r="BI136" s="18">
        <f>--ISNUMBER(SEARCH("NHIMA outreach activities or NHIMA offices",BA136))</f>
        <v>0</v>
      </c>
      <c r="BJ136" s="18">
        <f>--ISNUMBER(SEARCH("Health facility staff",BA136))</f>
        <v>0</v>
      </c>
      <c r="BK136" s="18">
        <f>--ISNUMBER(SEARCH("not received information",BA136))</f>
        <v>0</v>
      </c>
      <c r="BL136" s="18">
        <f>IF(T136="","",--(T136='Codebook'!$F$13))</f>
        <v>1</v>
      </c>
      <c r="BM136" s="18">
        <f>IF(U136="","",--(U136='Codebook'!$F$14))</f>
        <v>0</v>
      </c>
      <c r="BN136" s="18">
        <f>IF(V136="","",--(V136='Codebook'!$F$15))</f>
        <v>0</v>
      </c>
      <c r="BO136" s="18">
        <f>IF(W136="","",--(W136='Codebook'!$F$16))</f>
        <v>1</v>
      </c>
      <c r="BP136" s="18">
        <f>IF(X136="","",--(X136='Codebook'!$F$17))</f>
        <v>0</v>
      </c>
      <c r="BQ136" s="18">
        <f>IF(Y136="","",--(Y136='Codebook'!$F$18))</f>
        <v>0</v>
      </c>
      <c r="BR136" s="18">
        <f>IF(Z136="","",--(Z136='Codebook'!$F$19))</f>
        <v>1</v>
      </c>
      <c r="BS136" s="18">
        <f>IF(AA136="","",--(AA136='Codebook'!$F$20))</f>
        <v>0</v>
      </c>
      <c r="BT136" s="18">
        <f>IF(AB136="","",--(AB136='Codebook'!$F$21))</f>
        <v>0</v>
      </c>
      <c r="BU136" s="18">
        <f>IF(AC136="","",--(AC136='Codebook'!$F$22))</f>
        <v>0</v>
      </c>
      <c r="BV136" s="18">
        <f>IF(AD136="","",--(AD136='Codebook'!$F$23))</f>
        <v>0</v>
      </c>
      <c r="BW136" s="18">
        <f>IF(AE136="","",--(AE136='Codebook'!$F$24))</f>
        <v>1</v>
      </c>
      <c r="BX136" s="18">
        <f>IF(AF136="","",--(AF136='Codebook'!$F$25))</f>
        <v>0</v>
      </c>
      <c r="BY136" s="18">
        <f>IF(AG136="","",--(AG136='Codebook'!$F$26))</f>
        <v>0</v>
      </c>
      <c r="BZ136" s="18">
        <f>IF(AH136="","",--(AH136='Codebook'!$F$27))</f>
        <v>0</v>
      </c>
      <c r="CA136" s="18">
        <f>IF(AI136="","",--(AI136='Codebook'!$F$28))</f>
        <v>0</v>
      </c>
      <c r="CB136" s="18">
        <f>IF(AJ136="","",--(AJ136='Codebook'!$F$29))</f>
        <v>1</v>
      </c>
      <c r="CC136" s="18">
        <f>IF(AK136="","",--(AK136='Codebook'!$F$30))</f>
        <v>0</v>
      </c>
      <c r="CD136" s="18">
        <f>IF(AL136="","",--(AL136='Codebook'!$F$31))</f>
        <v>0</v>
      </c>
      <c r="CE136" s="18">
        <f>IF(AM136="","",--(AM136='Codebook'!$F$32))</f>
        <v>1</v>
      </c>
      <c r="CF136" s="18">
        <f>IF(AN136="","",--(AN136='Codebook'!$F$33))</f>
        <v>1</v>
      </c>
      <c r="CG136" s="18">
        <f>IF(AO136="","",--(AO136='Codebook'!$F$34))</f>
        <v>0</v>
      </c>
      <c r="CH136" s="18">
        <f>IF(AP136="","",--(AP136='Codebook'!$F$35))</f>
        <v>0</v>
      </c>
      <c r="CI136" s="18">
        <f>IF(AQ136="","",--(AQ136='Codebook'!$F$36))</f>
        <v>1</v>
      </c>
      <c r="CJ136" s="18">
        <f>IF(AR136="","",--(AR136='Codebook'!$F$37))</f>
        <v>1</v>
      </c>
      <c r="CK136" s="18">
        <f>IF(AS136="","",--(AS136='Codebook'!$F$38))</f>
        <v>1</v>
      </c>
      <c r="CL136" s="18">
        <f>IF(AT136="","",--(AT136='Codebook'!$F$39))</f>
        <v>1</v>
      </c>
      <c r="CM136" s="18">
        <f>IF(AU136="","",--(AU136='Codebook'!$F$40))</f>
        <v>0</v>
      </c>
      <c r="CN136" s="18">
        <f>IF(AV136="","",--(AV136='Codebook'!$F$41))</f>
        <v>0</v>
      </c>
      <c r="CO136" s="18">
        <f>IF(AW136="","",--(AW136='Codebook'!$F$42))</f>
        <v>0</v>
      </c>
      <c r="CP136" s="18">
        <f>IF(AX136="","",--(AX136='Codebook'!$F$43))</f>
        <v>0</v>
      </c>
      <c r="CQ136" s="18">
        <f>IF(AY136="","",--(AY136='Codebook'!$F$44))</f>
        <v>0</v>
      </c>
      <c r="CR136" s="18">
        <f>IF(AZ136="","",--(AZ136='Codebook'!$F$45))</f>
        <v>0</v>
      </c>
    </row>
    <row r="137" spans="2:96" ht="24" customHeight="1">
      <c r="B137" s="18">
        <v>132</v>
      </c>
      <c r="C137" s="23">
        <v>46284.90851074074</v>
      </c>
      <c r="D137" s="21" t="s">
        <v>275</v>
      </c>
      <c r="E137" s="21" t="s">
        <v>194</v>
      </c>
      <c r="F137" s="21" t="s">
        <v>195</v>
      </c>
      <c r="G137" s="17" t="s">
        <v>202</v>
      </c>
      <c r="H137" s="21" t="s">
        <v>197</v>
      </c>
      <c r="I137" s="18">
        <f>SUM(BL137:BU137)</f>
        <v>6</v>
      </c>
      <c r="J137" s="18">
        <f>IF(COUNT(BV137:CD137)=9,SUM(BV137:CD137),"")</f>
        <v>4</v>
      </c>
      <c r="K137" s="18">
        <f>SUM(BL137:CD137)</f>
        <v>10</v>
      </c>
      <c r="L137" s="18">
        <f>--(K137&gt;='Codebook'!$C$8)</f>
        <v>0</v>
      </c>
      <c r="M137" s="18">
        <f>--(COUNT(BL137:CD137)=19)</f>
        <v>1</v>
      </c>
      <c r="N137" s="18">
        <f>SUM(CE137:CL137)</f>
        <v>6</v>
      </c>
      <c r="O137" s="18">
        <f>SUM(CM137:CR137)</f>
        <v>0</v>
      </c>
      <c r="P137" s="18">
        <f>N137+O137</f>
        <v>6</v>
      </c>
      <c r="Q137" s="21" t="s">
        <v>197</v>
      </c>
      <c r="R137" s="17" t="s">
        <v>152</v>
      </c>
      <c r="S137" s="18">
        <f>--OR(Overview!$B$6="All",E137=Overview!$B$6)*--OR(Overview!$F$6="All",F137=Overview!$F$6)*--OR(Overview!$J$6="All",G137=Overview!$J$6)*--OR(Overview!$N$6="All",H137=Overview!$N$6)</f>
        <v>1</v>
      </c>
      <c r="T137" s="21" t="s">
        <v>22</v>
      </c>
      <c r="U137" s="21" t="s">
        <v>22</v>
      </c>
      <c r="V137" s="21" t="s">
        <v>22</v>
      </c>
      <c r="W137" s="21" t="s">
        <v>22</v>
      </c>
      <c r="X137" s="21" t="s">
        <v>22</v>
      </c>
      <c r="Y137" s="21" t="s">
        <v>22</v>
      </c>
      <c r="Z137" s="21" t="s">
        <v>22</v>
      </c>
      <c r="AA137" s="21" t="s">
        <v>22</v>
      </c>
      <c r="AB137" s="21" t="s">
        <v>22</v>
      </c>
      <c r="AC137" s="21" t="s">
        <v>22</v>
      </c>
      <c r="AD137" s="21" t="s">
        <v>22</v>
      </c>
      <c r="AE137" s="21" t="s">
        <v>22</v>
      </c>
      <c r="AF137" s="21" t="s">
        <v>198</v>
      </c>
      <c r="AG137" s="21" t="s">
        <v>198</v>
      </c>
      <c r="AH137" s="21" t="s">
        <v>198</v>
      </c>
      <c r="AI137" s="21" t="s">
        <v>198</v>
      </c>
      <c r="AJ137" s="21" t="s">
        <v>22</v>
      </c>
      <c r="AK137" s="21" t="s">
        <v>22</v>
      </c>
      <c r="AL137" s="21" t="s">
        <v>26</v>
      </c>
      <c r="AM137" s="21" t="s">
        <v>109</v>
      </c>
      <c r="AN137" s="21" t="s">
        <v>109</v>
      </c>
      <c r="AO137" s="21" t="s">
        <v>83</v>
      </c>
      <c r="AP137" s="21" t="s">
        <v>83</v>
      </c>
      <c r="AQ137" s="21" t="s">
        <v>83</v>
      </c>
      <c r="AR137" s="21" t="s">
        <v>83</v>
      </c>
      <c r="AS137" s="21" t="s">
        <v>83</v>
      </c>
      <c r="AT137" s="21" t="s">
        <v>83</v>
      </c>
      <c r="AU137" s="21" t="s">
        <v>83</v>
      </c>
      <c r="AV137" s="21" t="s">
        <v>83</v>
      </c>
      <c r="AW137" s="21" t="s">
        <v>83</v>
      </c>
      <c r="AX137" s="21" t="s">
        <v>83</v>
      </c>
      <c r="AY137" s="21" t="s">
        <v>83</v>
      </c>
      <c r="AZ137" s="21" t="s">
        <v>83</v>
      </c>
      <c r="BA137" s="17" t="s">
        <v>223</v>
      </c>
      <c r="BB137" s="17" t="s">
        <v>223</v>
      </c>
      <c r="BC137" s="18">
        <f>--ISNUMBER(SEARCH("Radio or television",BA137))</f>
        <v>1</v>
      </c>
      <c r="BD137" s="18">
        <f>--ISNUMBER(SEARCH("Newspapers or print media",BA137))</f>
        <v>0</v>
      </c>
      <c r="BE137" s="18">
        <f>--ISNUMBER(SEARCH("Social media (e.g. Facebook, WhatsApp, YouTube, X/Twitter)",BA137))</f>
        <v>0</v>
      </c>
      <c r="BF137" s="18">
        <f>--ISNUMBER(SEARCH("Family members",BA137))</f>
        <v>0</v>
      </c>
      <c r="BG137" s="18">
        <f>--ISNUMBER(SEARCH("Friends or fellow students",BA137))</f>
        <v>0</v>
      </c>
      <c r="BH137" s="18">
        <f>--ISNUMBER(SEARCH("School coursework or lectures",BA137))</f>
        <v>0</v>
      </c>
      <c r="BI137" s="18">
        <f>--ISNUMBER(SEARCH("NHIMA outreach activities or NHIMA offices",BA137))</f>
        <v>0</v>
      </c>
      <c r="BJ137" s="18">
        <f>--ISNUMBER(SEARCH("Health facility staff",BA137))</f>
        <v>0</v>
      </c>
      <c r="BK137" s="18">
        <f>--ISNUMBER(SEARCH("not received information",BA137))</f>
        <v>0</v>
      </c>
      <c r="BL137" s="18">
        <f>IF(T137="","",--(T137='Codebook'!$F$13))</f>
        <v>1</v>
      </c>
      <c r="BM137" s="18">
        <f>IF(U137="","",--(U137='Codebook'!$F$14))</f>
        <v>0</v>
      </c>
      <c r="BN137" s="18">
        <f>IF(V137="","",--(V137='Codebook'!$F$15))</f>
        <v>0</v>
      </c>
      <c r="BO137" s="18">
        <f>IF(W137="","",--(W137='Codebook'!$F$16))</f>
        <v>1</v>
      </c>
      <c r="BP137" s="18">
        <f>IF(X137="","",--(X137='Codebook'!$F$17))</f>
        <v>1</v>
      </c>
      <c r="BQ137" s="18">
        <f>IF(Y137="","",--(Y137='Codebook'!$F$18))</f>
        <v>0</v>
      </c>
      <c r="BR137" s="18">
        <f>IF(Z137="","",--(Z137='Codebook'!$F$19))</f>
        <v>1</v>
      </c>
      <c r="BS137" s="18">
        <f>IF(AA137="","",--(AA137='Codebook'!$F$20))</f>
        <v>1</v>
      </c>
      <c r="BT137" s="18">
        <f>IF(AB137="","",--(AB137='Codebook'!$F$21))</f>
        <v>0</v>
      </c>
      <c r="BU137" s="18">
        <f>IF(AC137="","",--(AC137='Codebook'!$F$22))</f>
        <v>1</v>
      </c>
      <c r="BV137" s="18">
        <f>IF(AD137="","",--(AD137='Codebook'!$F$23))</f>
        <v>1</v>
      </c>
      <c r="BW137" s="18">
        <f>IF(AE137="","",--(AE137='Codebook'!$F$24))</f>
        <v>1</v>
      </c>
      <c r="BX137" s="18">
        <f>IF(AF137="","",--(AF137='Codebook'!$F$25))</f>
        <v>0</v>
      </c>
      <c r="BY137" s="18">
        <f>IF(AG137="","",--(AG137='Codebook'!$F$26))</f>
        <v>0</v>
      </c>
      <c r="BZ137" s="18">
        <f>IF(AH137="","",--(AH137='Codebook'!$F$27))</f>
        <v>0</v>
      </c>
      <c r="CA137" s="18">
        <f>IF(AI137="","",--(AI137='Codebook'!$F$28))</f>
        <v>0</v>
      </c>
      <c r="CB137" s="18">
        <f>IF(AJ137="","",--(AJ137='Codebook'!$F$29))</f>
        <v>0</v>
      </c>
      <c r="CC137" s="18">
        <f>IF(AK137="","",--(AK137='Codebook'!$F$30))</f>
        <v>1</v>
      </c>
      <c r="CD137" s="18">
        <f>IF(AL137="","",--(AL137='Codebook'!$F$31))</f>
        <v>1</v>
      </c>
      <c r="CE137" s="18">
        <f>IF(AM137="","",--(AM137='Codebook'!$F$32))</f>
        <v>0</v>
      </c>
      <c r="CF137" s="18">
        <f>IF(AN137="","",--(AN137='Codebook'!$F$33))</f>
        <v>0</v>
      </c>
      <c r="CG137" s="18">
        <f>IF(AO137="","",--(AO137='Codebook'!$F$34))</f>
        <v>1</v>
      </c>
      <c r="CH137" s="18">
        <f>IF(AP137="","",--(AP137='Codebook'!$F$35))</f>
        <v>1</v>
      </c>
      <c r="CI137" s="18">
        <f>IF(AQ137="","",--(AQ137='Codebook'!$F$36))</f>
        <v>1</v>
      </c>
      <c r="CJ137" s="18">
        <f>IF(AR137="","",--(AR137='Codebook'!$F$37))</f>
        <v>1</v>
      </c>
      <c r="CK137" s="18">
        <f>IF(AS137="","",--(AS137='Codebook'!$F$38))</f>
        <v>1</v>
      </c>
      <c r="CL137" s="18">
        <f>IF(AT137="","",--(AT137='Codebook'!$F$39))</f>
        <v>1</v>
      </c>
      <c r="CM137" s="18">
        <f>IF(AU137="","",--(AU137='Codebook'!$F$40))</f>
        <v>0</v>
      </c>
      <c r="CN137" s="18">
        <f>IF(AV137="","",--(AV137='Codebook'!$F$41))</f>
        <v>0</v>
      </c>
      <c r="CO137" s="18">
        <f>IF(AW137="","",--(AW137='Codebook'!$F$42))</f>
        <v>0</v>
      </c>
      <c r="CP137" s="18">
        <f>IF(AX137="","",--(AX137='Codebook'!$F$43))</f>
        <v>0</v>
      </c>
      <c r="CQ137" s="18">
        <f>IF(AY137="","",--(AY137='Codebook'!$F$44))</f>
        <v>0</v>
      </c>
      <c r="CR137" s="18">
        <f>IF(AZ137="","",--(AZ137='Codebook'!$F$45))</f>
        <v>0</v>
      </c>
    </row>
    <row r="138" spans="2:96" ht="24" customHeight="1">
      <c r="B138" s="18">
        <v>133</v>
      </c>
      <c r="C138" s="23">
        <v>46284.90931065972</v>
      </c>
      <c r="D138" s="21" t="s">
        <v>270</v>
      </c>
      <c r="E138" s="21" t="s">
        <v>206</v>
      </c>
      <c r="F138" s="21" t="s">
        <v>195</v>
      </c>
      <c r="G138" s="17" t="s">
        <v>224</v>
      </c>
      <c r="H138" s="21" t="s">
        <v>207</v>
      </c>
      <c r="I138" s="18">
        <f>SUM(BL138:BU138)</f>
        <v>2</v>
      </c>
      <c r="J138" s="18">
        <f>IF(COUNT(BV138:CD138)=9,SUM(BV138:CD138),"")</f>
        <v>3</v>
      </c>
      <c r="K138" s="18">
        <f>SUM(BL138:CD138)</f>
        <v>5</v>
      </c>
      <c r="L138" s="18">
        <f>--(K138&gt;='Codebook'!$C$8)</f>
        <v>0</v>
      </c>
      <c r="M138" s="18">
        <f>--(COUNT(BL138:CD138)=19)</f>
        <v>1</v>
      </c>
      <c r="N138" s="18">
        <f>SUM(CE138:CL138)</f>
        <v>6</v>
      </c>
      <c r="O138" s="18">
        <f>SUM(CM138:CR138)</f>
        <v>4</v>
      </c>
      <c r="P138" s="18">
        <f>N138+O138</f>
        <v>10</v>
      </c>
      <c r="Q138" s="21" t="s">
        <v>207</v>
      </c>
      <c r="R138" s="17" t="s">
        <v>152</v>
      </c>
      <c r="S138" s="18">
        <f>--OR(Overview!$B$6="All",E138=Overview!$B$6)*--OR(Overview!$F$6="All",F138=Overview!$F$6)*--OR(Overview!$J$6="All",G138=Overview!$J$6)*--OR(Overview!$N$6="All",H138=Overview!$N$6)</f>
        <v>1</v>
      </c>
      <c r="T138" s="21" t="s">
        <v>22</v>
      </c>
      <c r="U138" s="21" t="s">
        <v>22</v>
      </c>
      <c r="V138" s="21" t="s">
        <v>22</v>
      </c>
      <c r="W138" s="21" t="s">
        <v>198</v>
      </c>
      <c r="X138" s="21" t="s">
        <v>198</v>
      </c>
      <c r="Y138" s="21" t="s">
        <v>198</v>
      </c>
      <c r="Z138" s="21" t="s">
        <v>198</v>
      </c>
      <c r="AA138" s="21" t="s">
        <v>198</v>
      </c>
      <c r="AB138" s="21" t="s">
        <v>198</v>
      </c>
      <c r="AC138" s="21" t="s">
        <v>22</v>
      </c>
      <c r="AD138" s="21" t="s">
        <v>22</v>
      </c>
      <c r="AE138" s="21" t="s">
        <v>26</v>
      </c>
      <c r="AF138" s="21" t="s">
        <v>26</v>
      </c>
      <c r="AG138" s="21" t="s">
        <v>26</v>
      </c>
      <c r="AH138" s="21" t="s">
        <v>198</v>
      </c>
      <c r="AI138" s="21" t="s">
        <v>198</v>
      </c>
      <c r="AJ138" s="21" t="s">
        <v>22</v>
      </c>
      <c r="AK138" s="21" t="s">
        <v>22</v>
      </c>
      <c r="AL138" s="21" t="s">
        <v>22</v>
      </c>
      <c r="AM138" s="21" t="s">
        <v>83</v>
      </c>
      <c r="AN138" s="21" t="s">
        <v>83</v>
      </c>
      <c r="AO138" s="21" t="s">
        <v>83</v>
      </c>
      <c r="AP138" s="21" t="s">
        <v>83</v>
      </c>
      <c r="AQ138" s="21" t="s">
        <v>83</v>
      </c>
      <c r="AR138" s="21" t="s">
        <v>198</v>
      </c>
      <c r="AS138" s="21" t="s">
        <v>198</v>
      </c>
      <c r="AT138" s="21" t="s">
        <v>83</v>
      </c>
      <c r="AU138" s="21" t="s">
        <v>83</v>
      </c>
      <c r="AV138" s="21" t="s">
        <v>109</v>
      </c>
      <c r="AW138" s="21" t="s">
        <v>109</v>
      </c>
      <c r="AX138" s="21" t="s">
        <v>109</v>
      </c>
      <c r="AY138" s="21" t="s">
        <v>109</v>
      </c>
      <c r="AZ138" s="21" t="s">
        <v>83</v>
      </c>
      <c r="BA138" s="17" t="s">
        <v>223</v>
      </c>
      <c r="BB138" s="17" t="s">
        <v>223</v>
      </c>
      <c r="BC138" s="18">
        <f>--ISNUMBER(SEARCH("Radio or television",BA138))</f>
        <v>1</v>
      </c>
      <c r="BD138" s="18">
        <f>--ISNUMBER(SEARCH("Newspapers or print media",BA138))</f>
        <v>0</v>
      </c>
      <c r="BE138" s="18">
        <f>--ISNUMBER(SEARCH("Social media (e.g. Facebook, WhatsApp, YouTube, X/Twitter)",BA138))</f>
        <v>0</v>
      </c>
      <c r="BF138" s="18">
        <f>--ISNUMBER(SEARCH("Family members",BA138))</f>
        <v>0</v>
      </c>
      <c r="BG138" s="18">
        <f>--ISNUMBER(SEARCH("Friends or fellow students",BA138))</f>
        <v>0</v>
      </c>
      <c r="BH138" s="18">
        <f>--ISNUMBER(SEARCH("School coursework or lectures",BA138))</f>
        <v>0</v>
      </c>
      <c r="BI138" s="18">
        <f>--ISNUMBER(SEARCH("NHIMA outreach activities or NHIMA offices",BA138))</f>
        <v>0</v>
      </c>
      <c r="BJ138" s="18">
        <f>--ISNUMBER(SEARCH("Health facility staff",BA138))</f>
        <v>0</v>
      </c>
      <c r="BK138" s="18">
        <f>--ISNUMBER(SEARCH("not received information",BA138))</f>
        <v>0</v>
      </c>
      <c r="BL138" s="18">
        <f>IF(T138="","",--(T138='Codebook'!$F$13))</f>
        <v>1</v>
      </c>
      <c r="BM138" s="18">
        <f>IF(U138="","",--(U138='Codebook'!$F$14))</f>
        <v>0</v>
      </c>
      <c r="BN138" s="18">
        <f>IF(V138="","",--(V138='Codebook'!$F$15))</f>
        <v>0</v>
      </c>
      <c r="BO138" s="18">
        <f>IF(W138="","",--(W138='Codebook'!$F$16))</f>
        <v>0</v>
      </c>
      <c r="BP138" s="18">
        <f>IF(X138="","",--(X138='Codebook'!$F$17))</f>
        <v>0</v>
      </c>
      <c r="BQ138" s="18">
        <f>IF(Y138="","",--(Y138='Codebook'!$F$18))</f>
        <v>0</v>
      </c>
      <c r="BR138" s="18">
        <f>IF(Z138="","",--(Z138='Codebook'!$F$19))</f>
        <v>0</v>
      </c>
      <c r="BS138" s="18">
        <f>IF(AA138="","",--(AA138='Codebook'!$F$20))</f>
        <v>0</v>
      </c>
      <c r="BT138" s="18">
        <f>IF(AB138="","",--(AB138='Codebook'!$F$21))</f>
        <v>0</v>
      </c>
      <c r="BU138" s="18">
        <f>IF(AC138="","",--(AC138='Codebook'!$F$22))</f>
        <v>1</v>
      </c>
      <c r="BV138" s="18">
        <f>IF(AD138="","",--(AD138='Codebook'!$F$23))</f>
        <v>1</v>
      </c>
      <c r="BW138" s="18">
        <f>IF(AE138="","",--(AE138='Codebook'!$F$24))</f>
        <v>0</v>
      </c>
      <c r="BX138" s="18">
        <f>IF(AF138="","",--(AF138='Codebook'!$F$25))</f>
        <v>1</v>
      </c>
      <c r="BY138" s="18">
        <f>IF(AG138="","",--(AG138='Codebook'!$F$26))</f>
        <v>0</v>
      </c>
      <c r="BZ138" s="18">
        <f>IF(AH138="","",--(AH138='Codebook'!$F$27))</f>
        <v>0</v>
      </c>
      <c r="CA138" s="18">
        <f>IF(AI138="","",--(AI138='Codebook'!$F$28))</f>
        <v>0</v>
      </c>
      <c r="CB138" s="18">
        <f>IF(AJ138="","",--(AJ138='Codebook'!$F$29))</f>
        <v>0</v>
      </c>
      <c r="CC138" s="18">
        <f>IF(AK138="","",--(AK138='Codebook'!$F$30))</f>
        <v>1</v>
      </c>
      <c r="CD138" s="18">
        <f>IF(AL138="","",--(AL138='Codebook'!$F$31))</f>
        <v>0</v>
      </c>
      <c r="CE138" s="18">
        <f>IF(AM138="","",--(AM138='Codebook'!$F$32))</f>
        <v>1</v>
      </c>
      <c r="CF138" s="18">
        <f>IF(AN138="","",--(AN138='Codebook'!$F$33))</f>
        <v>1</v>
      </c>
      <c r="CG138" s="18">
        <f>IF(AO138="","",--(AO138='Codebook'!$F$34))</f>
        <v>1</v>
      </c>
      <c r="CH138" s="18">
        <f>IF(AP138="","",--(AP138='Codebook'!$F$35))</f>
        <v>1</v>
      </c>
      <c r="CI138" s="18">
        <f>IF(AQ138="","",--(AQ138='Codebook'!$F$36))</f>
        <v>1</v>
      </c>
      <c r="CJ138" s="18">
        <f>IF(AR138="","",--(AR138='Codebook'!$F$37))</f>
        <v>0</v>
      </c>
      <c r="CK138" s="18">
        <f>IF(AS138="","",--(AS138='Codebook'!$F$38))</f>
        <v>0</v>
      </c>
      <c r="CL138" s="18">
        <f>IF(AT138="","",--(AT138='Codebook'!$F$39))</f>
        <v>1</v>
      </c>
      <c r="CM138" s="18">
        <f>IF(AU138="","",--(AU138='Codebook'!$F$40))</f>
        <v>0</v>
      </c>
      <c r="CN138" s="18">
        <f>IF(AV138="","",--(AV138='Codebook'!$F$41))</f>
        <v>1</v>
      </c>
      <c r="CO138" s="18">
        <f>IF(AW138="","",--(AW138='Codebook'!$F$42))</f>
        <v>1</v>
      </c>
      <c r="CP138" s="18">
        <f>IF(AX138="","",--(AX138='Codebook'!$F$43))</f>
        <v>1</v>
      </c>
      <c r="CQ138" s="18">
        <f>IF(AY138="","",--(AY138='Codebook'!$F$44))</f>
        <v>1</v>
      </c>
      <c r="CR138" s="18">
        <f>IF(AZ138="","",--(AZ138='Codebook'!$F$45))</f>
        <v>0</v>
      </c>
    </row>
    <row r="139" spans="2:96" ht="24" customHeight="1">
      <c r="B139" s="18">
        <v>134</v>
      </c>
      <c r="C139" s="23">
        <v>46284.91473018518</v>
      </c>
      <c r="D139" s="21" t="s">
        <v>268</v>
      </c>
      <c r="E139" s="21" t="s">
        <v>206</v>
      </c>
      <c r="F139" s="21" t="s">
        <v>201</v>
      </c>
      <c r="G139" s="17" t="s">
        <v>247</v>
      </c>
      <c r="H139" s="21" t="s">
        <v>198</v>
      </c>
      <c r="I139" s="18">
        <f>SUM(BL139:BU139)</f>
        <v>0</v>
      </c>
      <c r="J139" s="18">
        <f>IF(COUNT(BV139:CD139)=9,SUM(BV139:CD139),"")</f>
        <v>0</v>
      </c>
      <c r="K139" s="18">
        <f>SUM(BL139:CD139)</f>
        <v>0</v>
      </c>
      <c r="L139" s="18">
        <f>--(K139&gt;='Codebook'!$C$8)</f>
        <v>0</v>
      </c>
      <c r="M139" s="18">
        <f>--(COUNT(BL139:CD139)=19)</f>
        <v>1</v>
      </c>
      <c r="N139" s="18">
        <f>SUM(CE139:CL139)</f>
        <v>0</v>
      </c>
      <c r="O139" s="18">
        <f>SUM(CM139:CR139)</f>
        <v>0</v>
      </c>
      <c r="P139" s="18">
        <f>N139+O139</f>
        <v>0</v>
      </c>
      <c r="Q139" s="21" t="s">
        <v>197</v>
      </c>
      <c r="R139" s="17" t="s">
        <v>216</v>
      </c>
      <c r="S139" s="18">
        <f>--OR(Overview!$B$6="All",E139=Overview!$B$6)*--OR(Overview!$F$6="All",F139=Overview!$F$6)*--OR(Overview!$J$6="All",G139=Overview!$J$6)*--OR(Overview!$N$6="All",H139=Overview!$N$6)</f>
        <v>1</v>
      </c>
      <c r="T139" s="21" t="s">
        <v>198</v>
      </c>
      <c r="U139" s="21" t="s">
        <v>198</v>
      </c>
      <c r="V139" s="21" t="s">
        <v>198</v>
      </c>
      <c r="W139" s="21" t="s">
        <v>198</v>
      </c>
      <c r="X139" s="21" t="s">
        <v>198</v>
      </c>
      <c r="Y139" s="21" t="s">
        <v>198</v>
      </c>
      <c r="Z139" s="21" t="s">
        <v>198</v>
      </c>
      <c r="AA139" s="21" t="s">
        <v>198</v>
      </c>
      <c r="AB139" s="21" t="s">
        <v>198</v>
      </c>
      <c r="AC139" s="21" t="s">
        <v>198</v>
      </c>
      <c r="AD139" s="21" t="s">
        <v>198</v>
      </c>
      <c r="AE139" s="21" t="s">
        <v>198</v>
      </c>
      <c r="AF139" s="21" t="s">
        <v>198</v>
      </c>
      <c r="AG139" s="21" t="s">
        <v>198</v>
      </c>
      <c r="AH139" s="21" t="s">
        <v>198</v>
      </c>
      <c r="AI139" s="21" t="s">
        <v>198</v>
      </c>
      <c r="AJ139" s="21" t="s">
        <v>198</v>
      </c>
      <c r="AK139" s="21" t="s">
        <v>198</v>
      </c>
      <c r="AL139" s="21" t="s">
        <v>198</v>
      </c>
      <c r="AM139" s="21" t="s">
        <v>198</v>
      </c>
      <c r="AN139" s="21" t="s">
        <v>198</v>
      </c>
      <c r="AO139" s="21" t="s">
        <v>198</v>
      </c>
      <c r="AP139" s="21" t="s">
        <v>198</v>
      </c>
      <c r="AQ139" s="21" t="s">
        <v>198</v>
      </c>
      <c r="AR139" s="21" t="s">
        <v>198</v>
      </c>
      <c r="AS139" s="21" t="s">
        <v>109</v>
      </c>
      <c r="AT139" s="21" t="s">
        <v>198</v>
      </c>
      <c r="AU139" s="21" t="s">
        <v>198</v>
      </c>
      <c r="AV139" s="21" t="s">
        <v>198</v>
      </c>
      <c r="AW139" s="21" t="s">
        <v>198</v>
      </c>
      <c r="AX139" s="21" t="s">
        <v>198</v>
      </c>
      <c r="AY139" s="21" t="s">
        <v>198</v>
      </c>
      <c r="AZ139" s="21" t="s">
        <v>198</v>
      </c>
      <c r="BA139" s="17" t="s">
        <v>303</v>
      </c>
      <c r="BB139" s="17" t="s">
        <v>304</v>
      </c>
      <c r="BC139" s="18">
        <f>--ISNUMBER(SEARCH("Radio or television",BA139))</f>
        <v>1</v>
      </c>
      <c r="BD139" s="18">
        <f>--ISNUMBER(SEARCH("Newspapers or print media",BA139))</f>
        <v>1</v>
      </c>
      <c r="BE139" s="18">
        <f>--ISNUMBER(SEARCH("Social media (e.g. Facebook, WhatsApp, YouTube, X/Twitter)",BA139))</f>
        <v>0</v>
      </c>
      <c r="BF139" s="18">
        <f>--ISNUMBER(SEARCH("Family members",BA139))</f>
        <v>0</v>
      </c>
      <c r="BG139" s="18">
        <f>--ISNUMBER(SEARCH("Friends or fellow students",BA139))</f>
        <v>1</v>
      </c>
      <c r="BH139" s="18">
        <f>--ISNUMBER(SEARCH("School coursework or lectures",BA139))</f>
        <v>0</v>
      </c>
      <c r="BI139" s="18">
        <f>--ISNUMBER(SEARCH("NHIMA outreach activities or NHIMA offices",BA139))</f>
        <v>1</v>
      </c>
      <c r="BJ139" s="18">
        <f>--ISNUMBER(SEARCH("Health facility staff",BA139))</f>
        <v>0</v>
      </c>
      <c r="BK139" s="18">
        <f>--ISNUMBER(SEARCH("not received information",BA139))</f>
        <v>0</v>
      </c>
      <c r="BL139" s="18">
        <f>IF(T139="","",--(T139='Codebook'!$F$13))</f>
        <v>0</v>
      </c>
      <c r="BM139" s="18">
        <f>IF(U139="","",--(U139='Codebook'!$F$14))</f>
        <v>0</v>
      </c>
      <c r="BN139" s="18">
        <f>IF(V139="","",--(V139='Codebook'!$F$15))</f>
        <v>0</v>
      </c>
      <c r="BO139" s="18">
        <f>IF(W139="","",--(W139='Codebook'!$F$16))</f>
        <v>0</v>
      </c>
      <c r="BP139" s="18">
        <f>IF(X139="","",--(X139='Codebook'!$F$17))</f>
        <v>0</v>
      </c>
      <c r="BQ139" s="18">
        <f>IF(Y139="","",--(Y139='Codebook'!$F$18))</f>
        <v>0</v>
      </c>
      <c r="BR139" s="18">
        <f>IF(Z139="","",--(Z139='Codebook'!$F$19))</f>
        <v>0</v>
      </c>
      <c r="BS139" s="18">
        <f>IF(AA139="","",--(AA139='Codebook'!$F$20))</f>
        <v>0</v>
      </c>
      <c r="BT139" s="18">
        <f>IF(AB139="","",--(AB139='Codebook'!$F$21))</f>
        <v>0</v>
      </c>
      <c r="BU139" s="18">
        <f>IF(AC139="","",--(AC139='Codebook'!$F$22))</f>
        <v>0</v>
      </c>
      <c r="BV139" s="18">
        <f>IF(AD139="","",--(AD139='Codebook'!$F$23))</f>
        <v>0</v>
      </c>
      <c r="BW139" s="18">
        <f>IF(AE139="","",--(AE139='Codebook'!$F$24))</f>
        <v>0</v>
      </c>
      <c r="BX139" s="18">
        <f>IF(AF139="","",--(AF139='Codebook'!$F$25))</f>
        <v>0</v>
      </c>
      <c r="BY139" s="18">
        <f>IF(AG139="","",--(AG139='Codebook'!$F$26))</f>
        <v>0</v>
      </c>
      <c r="BZ139" s="18">
        <f>IF(AH139="","",--(AH139='Codebook'!$F$27))</f>
        <v>0</v>
      </c>
      <c r="CA139" s="18">
        <f>IF(AI139="","",--(AI139='Codebook'!$F$28))</f>
        <v>0</v>
      </c>
      <c r="CB139" s="18">
        <f>IF(AJ139="","",--(AJ139='Codebook'!$F$29))</f>
        <v>0</v>
      </c>
      <c r="CC139" s="18">
        <f>IF(AK139="","",--(AK139='Codebook'!$F$30))</f>
        <v>0</v>
      </c>
      <c r="CD139" s="18">
        <f>IF(AL139="","",--(AL139='Codebook'!$F$31))</f>
        <v>0</v>
      </c>
      <c r="CE139" s="18">
        <f>IF(AM139="","",--(AM139='Codebook'!$F$32))</f>
        <v>0</v>
      </c>
      <c r="CF139" s="18">
        <f>IF(AN139="","",--(AN139='Codebook'!$F$33))</f>
        <v>0</v>
      </c>
      <c r="CG139" s="18">
        <f>IF(AO139="","",--(AO139='Codebook'!$F$34))</f>
        <v>0</v>
      </c>
      <c r="CH139" s="18">
        <f>IF(AP139="","",--(AP139='Codebook'!$F$35))</f>
        <v>0</v>
      </c>
      <c r="CI139" s="18">
        <f>IF(AQ139="","",--(AQ139='Codebook'!$F$36))</f>
        <v>0</v>
      </c>
      <c r="CJ139" s="18">
        <f>IF(AR139="","",--(AR139='Codebook'!$F$37))</f>
        <v>0</v>
      </c>
      <c r="CK139" s="18">
        <f>IF(AS139="","",--(AS139='Codebook'!$F$38))</f>
        <v>0</v>
      </c>
      <c r="CL139" s="18">
        <f>IF(AT139="","",--(AT139='Codebook'!$F$39))</f>
        <v>0</v>
      </c>
      <c r="CM139" s="18">
        <f>IF(AU139="","",--(AU139='Codebook'!$F$40))</f>
        <v>0</v>
      </c>
      <c r="CN139" s="18">
        <f>IF(AV139="","",--(AV139='Codebook'!$F$41))</f>
        <v>0</v>
      </c>
      <c r="CO139" s="18">
        <f>IF(AW139="","",--(AW139='Codebook'!$F$42))</f>
        <v>0</v>
      </c>
      <c r="CP139" s="18">
        <f>IF(AX139="","",--(AX139='Codebook'!$F$43))</f>
        <v>0</v>
      </c>
      <c r="CQ139" s="18">
        <f>IF(AY139="","",--(AY139='Codebook'!$F$44))</f>
        <v>0</v>
      </c>
      <c r="CR139" s="18">
        <f>IF(AZ139="","",--(AZ139='Codebook'!$F$45))</f>
        <v>0</v>
      </c>
    </row>
    <row r="140" spans="2:96" ht="24" customHeight="1">
      <c r="B140" s="18">
        <v>135</v>
      </c>
      <c r="C140" s="23">
        <v>46284.91544603009</v>
      </c>
      <c r="D140" s="21" t="s">
        <v>275</v>
      </c>
      <c r="E140" s="21" t="s">
        <v>206</v>
      </c>
      <c r="F140" s="21" t="s">
        <v>201</v>
      </c>
      <c r="G140" s="17" t="s">
        <v>247</v>
      </c>
      <c r="H140" s="21" t="s">
        <v>198</v>
      </c>
      <c r="I140" s="18">
        <f>SUM(BL140:BU140)</f>
        <v>0</v>
      </c>
      <c r="J140" s="18">
        <f>IF(COUNT(BV140:CD140)=9,SUM(BV140:CD140),"")</f>
        <v>0</v>
      </c>
      <c r="K140" s="18">
        <f>SUM(BL140:CD140)</f>
        <v>0</v>
      </c>
      <c r="L140" s="18">
        <f>--(K140&gt;='Codebook'!$C$8)</f>
        <v>0</v>
      </c>
      <c r="M140" s="18">
        <f>--(COUNT(BL140:CD140)=19)</f>
        <v>1</v>
      </c>
      <c r="N140" s="18">
        <f>SUM(CE140:CL140)</f>
        <v>0</v>
      </c>
      <c r="O140" s="18">
        <f>SUM(CM140:CR140)</f>
        <v>0</v>
      </c>
      <c r="P140" s="18">
        <f>N140+O140</f>
        <v>0</v>
      </c>
      <c r="Q140" s="21" t="s">
        <v>197</v>
      </c>
      <c r="R140" s="17" t="s">
        <v>216</v>
      </c>
      <c r="S140" s="18">
        <f>--OR(Overview!$B$6="All",E140=Overview!$B$6)*--OR(Overview!$F$6="All",F140=Overview!$F$6)*--OR(Overview!$J$6="All",G140=Overview!$J$6)*--OR(Overview!$N$6="All",H140=Overview!$N$6)</f>
        <v>1</v>
      </c>
      <c r="T140" s="21" t="s">
        <v>198</v>
      </c>
      <c r="U140" s="21" t="s">
        <v>198</v>
      </c>
      <c r="V140" s="21" t="s">
        <v>198</v>
      </c>
      <c r="W140" s="21" t="s">
        <v>198</v>
      </c>
      <c r="X140" s="21" t="s">
        <v>198</v>
      </c>
      <c r="Y140" s="21" t="s">
        <v>198</v>
      </c>
      <c r="Z140" s="21" t="s">
        <v>198</v>
      </c>
      <c r="AA140" s="21" t="s">
        <v>198</v>
      </c>
      <c r="AB140" s="21" t="s">
        <v>198</v>
      </c>
      <c r="AC140" s="21" t="s">
        <v>198</v>
      </c>
      <c r="AD140" s="21" t="s">
        <v>198</v>
      </c>
      <c r="AE140" s="21" t="s">
        <v>198</v>
      </c>
      <c r="AF140" s="21" t="s">
        <v>198</v>
      </c>
      <c r="AG140" s="21" t="s">
        <v>198</v>
      </c>
      <c r="AH140" s="21" t="s">
        <v>198</v>
      </c>
      <c r="AI140" s="21" t="s">
        <v>198</v>
      </c>
      <c r="AJ140" s="21" t="s">
        <v>198</v>
      </c>
      <c r="AK140" s="21" t="s">
        <v>198</v>
      </c>
      <c r="AL140" s="21" t="s">
        <v>198</v>
      </c>
      <c r="AM140" s="21" t="s">
        <v>198</v>
      </c>
      <c r="AN140" s="21" t="s">
        <v>198</v>
      </c>
      <c r="AO140" s="21" t="s">
        <v>198</v>
      </c>
      <c r="AP140" s="21" t="s">
        <v>198</v>
      </c>
      <c r="AQ140" s="21" t="s">
        <v>198</v>
      </c>
      <c r="AR140" s="21" t="s">
        <v>198</v>
      </c>
      <c r="AS140" s="21" t="s">
        <v>198</v>
      </c>
      <c r="AT140" s="21" t="s">
        <v>198</v>
      </c>
      <c r="AU140" s="21" t="s">
        <v>198</v>
      </c>
      <c r="AV140" s="21" t="s">
        <v>198</v>
      </c>
      <c r="AW140" s="21" t="s">
        <v>198</v>
      </c>
      <c r="AX140" s="21" t="s">
        <v>198</v>
      </c>
      <c r="AY140" s="21" t="s">
        <v>198</v>
      </c>
      <c r="AZ140" s="21" t="s">
        <v>198</v>
      </c>
      <c r="BA140" s="17" t="s">
        <v>293</v>
      </c>
      <c r="BB140" s="17" t="s">
        <v>305</v>
      </c>
      <c r="BC140" s="18">
        <f>--ISNUMBER(SEARCH("Radio or television",BA140))</f>
        <v>1</v>
      </c>
      <c r="BD140" s="18">
        <f>--ISNUMBER(SEARCH("Newspapers or print media",BA140))</f>
        <v>1</v>
      </c>
      <c r="BE140" s="18">
        <f>--ISNUMBER(SEARCH("Social media (e.g. Facebook, WhatsApp, YouTube, X/Twitter)",BA140))</f>
        <v>0</v>
      </c>
      <c r="BF140" s="18">
        <f>--ISNUMBER(SEARCH("Family members",BA140))</f>
        <v>0</v>
      </c>
      <c r="BG140" s="18">
        <f>--ISNUMBER(SEARCH("Friends or fellow students",BA140))</f>
        <v>0</v>
      </c>
      <c r="BH140" s="18">
        <f>--ISNUMBER(SEARCH("School coursework or lectures",BA140))</f>
        <v>0</v>
      </c>
      <c r="BI140" s="18">
        <f>--ISNUMBER(SEARCH("NHIMA outreach activities or NHIMA offices",BA140))</f>
        <v>1</v>
      </c>
      <c r="BJ140" s="18">
        <f>--ISNUMBER(SEARCH("Health facility staff",BA140))</f>
        <v>1</v>
      </c>
      <c r="BK140" s="18">
        <f>--ISNUMBER(SEARCH("not received information",BA140))</f>
        <v>0</v>
      </c>
      <c r="BL140" s="18">
        <f>IF(T140="","",--(T140='Codebook'!$F$13))</f>
        <v>0</v>
      </c>
      <c r="BM140" s="18">
        <f>IF(U140="","",--(U140='Codebook'!$F$14))</f>
        <v>0</v>
      </c>
      <c r="BN140" s="18">
        <f>IF(V140="","",--(V140='Codebook'!$F$15))</f>
        <v>0</v>
      </c>
      <c r="BO140" s="18">
        <f>IF(W140="","",--(W140='Codebook'!$F$16))</f>
        <v>0</v>
      </c>
      <c r="BP140" s="18">
        <f>IF(X140="","",--(X140='Codebook'!$F$17))</f>
        <v>0</v>
      </c>
      <c r="BQ140" s="18">
        <f>IF(Y140="","",--(Y140='Codebook'!$F$18))</f>
        <v>0</v>
      </c>
      <c r="BR140" s="18">
        <f>IF(Z140="","",--(Z140='Codebook'!$F$19))</f>
        <v>0</v>
      </c>
      <c r="BS140" s="18">
        <f>IF(AA140="","",--(AA140='Codebook'!$F$20))</f>
        <v>0</v>
      </c>
      <c r="BT140" s="18">
        <f>IF(AB140="","",--(AB140='Codebook'!$F$21))</f>
        <v>0</v>
      </c>
      <c r="BU140" s="18">
        <f>IF(AC140="","",--(AC140='Codebook'!$F$22))</f>
        <v>0</v>
      </c>
      <c r="BV140" s="18">
        <f>IF(AD140="","",--(AD140='Codebook'!$F$23))</f>
        <v>0</v>
      </c>
      <c r="BW140" s="18">
        <f>IF(AE140="","",--(AE140='Codebook'!$F$24))</f>
        <v>0</v>
      </c>
      <c r="BX140" s="18">
        <f>IF(AF140="","",--(AF140='Codebook'!$F$25))</f>
        <v>0</v>
      </c>
      <c r="BY140" s="18">
        <f>IF(AG140="","",--(AG140='Codebook'!$F$26))</f>
        <v>0</v>
      </c>
      <c r="BZ140" s="18">
        <f>IF(AH140="","",--(AH140='Codebook'!$F$27))</f>
        <v>0</v>
      </c>
      <c r="CA140" s="18">
        <f>IF(AI140="","",--(AI140='Codebook'!$F$28))</f>
        <v>0</v>
      </c>
      <c r="CB140" s="18">
        <f>IF(AJ140="","",--(AJ140='Codebook'!$F$29))</f>
        <v>0</v>
      </c>
      <c r="CC140" s="18">
        <f>IF(AK140="","",--(AK140='Codebook'!$F$30))</f>
        <v>0</v>
      </c>
      <c r="CD140" s="18">
        <f>IF(AL140="","",--(AL140='Codebook'!$F$31))</f>
        <v>0</v>
      </c>
      <c r="CE140" s="18">
        <f>IF(AM140="","",--(AM140='Codebook'!$F$32))</f>
        <v>0</v>
      </c>
      <c r="CF140" s="18">
        <f>IF(AN140="","",--(AN140='Codebook'!$F$33))</f>
        <v>0</v>
      </c>
      <c r="CG140" s="18">
        <f>IF(AO140="","",--(AO140='Codebook'!$F$34))</f>
        <v>0</v>
      </c>
      <c r="CH140" s="18">
        <f>IF(AP140="","",--(AP140='Codebook'!$F$35))</f>
        <v>0</v>
      </c>
      <c r="CI140" s="18">
        <f>IF(AQ140="","",--(AQ140='Codebook'!$F$36))</f>
        <v>0</v>
      </c>
      <c r="CJ140" s="18">
        <f>IF(AR140="","",--(AR140='Codebook'!$F$37))</f>
        <v>0</v>
      </c>
      <c r="CK140" s="18">
        <f>IF(AS140="","",--(AS140='Codebook'!$F$38))</f>
        <v>0</v>
      </c>
      <c r="CL140" s="18">
        <f>IF(AT140="","",--(AT140='Codebook'!$F$39))</f>
        <v>0</v>
      </c>
      <c r="CM140" s="18">
        <f>IF(AU140="","",--(AU140='Codebook'!$F$40))</f>
        <v>0</v>
      </c>
      <c r="CN140" s="18">
        <f>IF(AV140="","",--(AV140='Codebook'!$F$41))</f>
        <v>0</v>
      </c>
      <c r="CO140" s="18">
        <f>IF(AW140="","",--(AW140='Codebook'!$F$42))</f>
        <v>0</v>
      </c>
      <c r="CP140" s="18">
        <f>IF(AX140="","",--(AX140='Codebook'!$F$43))</f>
        <v>0</v>
      </c>
      <c r="CQ140" s="18">
        <f>IF(AY140="","",--(AY140='Codebook'!$F$44))</f>
        <v>0</v>
      </c>
      <c r="CR140" s="18">
        <f>IF(AZ140="","",--(AZ140='Codebook'!$F$45))</f>
        <v>0</v>
      </c>
    </row>
    <row r="141" spans="2:96" ht="24" customHeight="1">
      <c r="B141" s="18">
        <v>136</v>
      </c>
      <c r="C141" s="23">
        <v>46284.91636219907</v>
      </c>
      <c r="D141" s="21" t="s">
        <v>275</v>
      </c>
      <c r="E141" s="21" t="s">
        <v>194</v>
      </c>
      <c r="F141" s="21" t="s">
        <v>201</v>
      </c>
      <c r="G141" s="17" t="s">
        <v>202</v>
      </c>
      <c r="H141" s="21" t="s">
        <v>197</v>
      </c>
      <c r="I141" s="18">
        <f>SUM(BL141:BU141)</f>
        <v>3</v>
      </c>
      <c r="J141" s="18">
        <f>IF(COUNT(BV141:CD141)=9,SUM(BV141:CD141),"")</f>
        <v>0</v>
      </c>
      <c r="K141" s="18">
        <f>SUM(BL141:CD141)</f>
        <v>3</v>
      </c>
      <c r="L141" s="18">
        <f>--(K141&gt;='Codebook'!$C$8)</f>
        <v>0</v>
      </c>
      <c r="M141" s="18">
        <f>--(COUNT(BL141:CD141)=19)</f>
        <v>1</v>
      </c>
      <c r="N141" s="18">
        <f>SUM(CE141:CL141)</f>
        <v>0</v>
      </c>
      <c r="O141" s="18">
        <f>SUM(CM141:CR141)</f>
        <v>0</v>
      </c>
      <c r="P141" s="18">
        <f>N141+O141</f>
        <v>0</v>
      </c>
      <c r="Q141" s="21" t="s">
        <v>197</v>
      </c>
      <c r="R141" s="17" t="s">
        <v>158</v>
      </c>
      <c r="S141" s="18">
        <f>--OR(Overview!$B$6="All",E141=Overview!$B$6)*--OR(Overview!$F$6="All",F141=Overview!$F$6)*--OR(Overview!$J$6="All",G141=Overview!$J$6)*--OR(Overview!$N$6="All",H141=Overview!$N$6)</f>
        <v>1</v>
      </c>
      <c r="T141" s="21" t="s">
        <v>22</v>
      </c>
      <c r="U141" s="21" t="s">
        <v>22</v>
      </c>
      <c r="V141" s="21" t="s">
        <v>198</v>
      </c>
      <c r="W141" s="21" t="s">
        <v>22</v>
      </c>
      <c r="X141" s="21" t="s">
        <v>22</v>
      </c>
      <c r="Y141" s="21" t="s">
        <v>198</v>
      </c>
      <c r="Z141" s="21" t="s">
        <v>198</v>
      </c>
      <c r="AA141" s="21" t="s">
        <v>198</v>
      </c>
      <c r="AB141" s="21" t="s">
        <v>198</v>
      </c>
      <c r="AC141" s="21" t="s">
        <v>198</v>
      </c>
      <c r="AD141" s="21" t="s">
        <v>198</v>
      </c>
      <c r="AE141" s="21" t="s">
        <v>198</v>
      </c>
      <c r="AF141" s="21" t="s">
        <v>198</v>
      </c>
      <c r="AG141" s="21" t="s">
        <v>198</v>
      </c>
      <c r="AH141" s="21" t="s">
        <v>198</v>
      </c>
      <c r="AI141" s="21" t="s">
        <v>198</v>
      </c>
      <c r="AJ141" s="21" t="s">
        <v>198</v>
      </c>
      <c r="AK141" s="21" t="s">
        <v>198</v>
      </c>
      <c r="AL141" s="21" t="s">
        <v>198</v>
      </c>
      <c r="AM141" s="21" t="s">
        <v>198</v>
      </c>
      <c r="AN141" s="21" t="s">
        <v>198</v>
      </c>
      <c r="AO141" s="21" t="s">
        <v>198</v>
      </c>
      <c r="AP141" s="21" t="s">
        <v>198</v>
      </c>
      <c r="AQ141" s="21" t="s">
        <v>198</v>
      </c>
      <c r="AR141" s="21" t="s">
        <v>198</v>
      </c>
      <c r="AS141" s="21" t="s">
        <v>198</v>
      </c>
      <c r="AT141" s="21" t="s">
        <v>198</v>
      </c>
      <c r="AU141" s="21" t="s">
        <v>198</v>
      </c>
      <c r="AV141" s="21" t="s">
        <v>198</v>
      </c>
      <c r="AW141" s="21" t="s">
        <v>198</v>
      </c>
      <c r="AX141" s="21" t="s">
        <v>198</v>
      </c>
      <c r="AY141" s="21" t="s">
        <v>198</v>
      </c>
      <c r="AZ141" s="21" t="s">
        <v>198</v>
      </c>
      <c r="BA141" s="17" t="s">
        <v>306</v>
      </c>
      <c r="BB141" s="17" t="s">
        <v>225</v>
      </c>
      <c r="BC141" s="18">
        <f>--ISNUMBER(SEARCH("Radio or television",BA141))</f>
        <v>1</v>
      </c>
      <c r="BD141" s="18">
        <f>--ISNUMBER(SEARCH("Newspapers or print media",BA141))</f>
        <v>1</v>
      </c>
      <c r="BE141" s="18">
        <f>--ISNUMBER(SEARCH("Social media (e.g. Facebook, WhatsApp, YouTube, X/Twitter)",BA141))</f>
        <v>0</v>
      </c>
      <c r="BF141" s="18">
        <f>--ISNUMBER(SEARCH("Family members",BA141))</f>
        <v>0</v>
      </c>
      <c r="BG141" s="18">
        <f>--ISNUMBER(SEARCH("Friends or fellow students",BA141))</f>
        <v>1</v>
      </c>
      <c r="BH141" s="18">
        <f>--ISNUMBER(SEARCH("School coursework or lectures",BA141))</f>
        <v>0</v>
      </c>
      <c r="BI141" s="18">
        <f>--ISNUMBER(SEARCH("NHIMA outreach activities or NHIMA offices",BA141))</f>
        <v>0</v>
      </c>
      <c r="BJ141" s="18">
        <f>--ISNUMBER(SEARCH("Health facility staff",BA141))</f>
        <v>0</v>
      </c>
      <c r="BK141" s="18">
        <f>--ISNUMBER(SEARCH("not received information",BA141))</f>
        <v>0</v>
      </c>
      <c r="BL141" s="18">
        <f>IF(T141="","",--(T141='Codebook'!$F$13))</f>
        <v>1</v>
      </c>
      <c r="BM141" s="18">
        <f>IF(U141="","",--(U141='Codebook'!$F$14))</f>
        <v>0</v>
      </c>
      <c r="BN141" s="18">
        <f>IF(V141="","",--(V141='Codebook'!$F$15))</f>
        <v>0</v>
      </c>
      <c r="BO141" s="18">
        <f>IF(W141="","",--(W141='Codebook'!$F$16))</f>
        <v>1</v>
      </c>
      <c r="BP141" s="18">
        <f>IF(X141="","",--(X141='Codebook'!$F$17))</f>
        <v>1</v>
      </c>
      <c r="BQ141" s="18">
        <f>IF(Y141="","",--(Y141='Codebook'!$F$18))</f>
        <v>0</v>
      </c>
      <c r="BR141" s="18">
        <f>IF(Z141="","",--(Z141='Codebook'!$F$19))</f>
        <v>0</v>
      </c>
      <c r="BS141" s="18">
        <f>IF(AA141="","",--(AA141='Codebook'!$F$20))</f>
        <v>0</v>
      </c>
      <c r="BT141" s="18">
        <f>IF(AB141="","",--(AB141='Codebook'!$F$21))</f>
        <v>0</v>
      </c>
      <c r="BU141" s="18">
        <f>IF(AC141="","",--(AC141='Codebook'!$F$22))</f>
        <v>0</v>
      </c>
      <c r="BV141" s="18">
        <f>IF(AD141="","",--(AD141='Codebook'!$F$23))</f>
        <v>0</v>
      </c>
      <c r="BW141" s="18">
        <f>IF(AE141="","",--(AE141='Codebook'!$F$24))</f>
        <v>0</v>
      </c>
      <c r="BX141" s="18">
        <f>IF(AF141="","",--(AF141='Codebook'!$F$25))</f>
        <v>0</v>
      </c>
      <c r="BY141" s="18">
        <f>IF(AG141="","",--(AG141='Codebook'!$F$26))</f>
        <v>0</v>
      </c>
      <c r="BZ141" s="18">
        <f>IF(AH141="","",--(AH141='Codebook'!$F$27))</f>
        <v>0</v>
      </c>
      <c r="CA141" s="18">
        <f>IF(AI141="","",--(AI141='Codebook'!$F$28))</f>
        <v>0</v>
      </c>
      <c r="CB141" s="18">
        <f>IF(AJ141="","",--(AJ141='Codebook'!$F$29))</f>
        <v>0</v>
      </c>
      <c r="CC141" s="18">
        <f>IF(AK141="","",--(AK141='Codebook'!$F$30))</f>
        <v>0</v>
      </c>
      <c r="CD141" s="18">
        <f>IF(AL141="","",--(AL141='Codebook'!$F$31))</f>
        <v>0</v>
      </c>
      <c r="CE141" s="18">
        <f>IF(AM141="","",--(AM141='Codebook'!$F$32))</f>
        <v>0</v>
      </c>
      <c r="CF141" s="18">
        <f>IF(AN141="","",--(AN141='Codebook'!$F$33))</f>
        <v>0</v>
      </c>
      <c r="CG141" s="18">
        <f>IF(AO141="","",--(AO141='Codebook'!$F$34))</f>
        <v>0</v>
      </c>
      <c r="CH141" s="18">
        <f>IF(AP141="","",--(AP141='Codebook'!$F$35))</f>
        <v>0</v>
      </c>
      <c r="CI141" s="18">
        <f>IF(AQ141="","",--(AQ141='Codebook'!$F$36))</f>
        <v>0</v>
      </c>
      <c r="CJ141" s="18">
        <f>IF(AR141="","",--(AR141='Codebook'!$F$37))</f>
        <v>0</v>
      </c>
      <c r="CK141" s="18">
        <f>IF(AS141="","",--(AS141='Codebook'!$F$38))</f>
        <v>0</v>
      </c>
      <c r="CL141" s="18">
        <f>IF(AT141="","",--(AT141='Codebook'!$F$39))</f>
        <v>0</v>
      </c>
      <c r="CM141" s="18">
        <f>IF(AU141="","",--(AU141='Codebook'!$F$40))</f>
        <v>0</v>
      </c>
      <c r="CN141" s="18">
        <f>IF(AV141="","",--(AV141='Codebook'!$F$41))</f>
        <v>0</v>
      </c>
      <c r="CO141" s="18">
        <f>IF(AW141="","",--(AW141='Codebook'!$F$42))</f>
        <v>0</v>
      </c>
      <c r="CP141" s="18">
        <f>IF(AX141="","",--(AX141='Codebook'!$F$43))</f>
        <v>0</v>
      </c>
      <c r="CQ141" s="18">
        <f>IF(AY141="","",--(AY141='Codebook'!$F$44))</f>
        <v>0</v>
      </c>
      <c r="CR141" s="18">
        <f>IF(AZ141="","",--(AZ141='Codebook'!$F$45))</f>
        <v>0</v>
      </c>
    </row>
    <row r="142" spans="2:96" ht="24" customHeight="1">
      <c r="B142" s="18">
        <v>137</v>
      </c>
      <c r="C142" s="23">
        <v>46284.91701162037</v>
      </c>
      <c r="D142" s="21" t="s">
        <v>268</v>
      </c>
      <c r="E142" s="21" t="s">
        <v>206</v>
      </c>
      <c r="F142" s="21" t="s">
        <v>195</v>
      </c>
      <c r="G142" s="17" t="s">
        <v>247</v>
      </c>
      <c r="H142" s="21" t="s">
        <v>198</v>
      </c>
      <c r="I142" s="18">
        <f>SUM(BL142:BU142)</f>
        <v>0</v>
      </c>
      <c r="J142" s="18">
        <f>IF(COUNT(BV142:CD142)=9,SUM(BV142:CD142),"")</f>
        <v>0</v>
      </c>
      <c r="K142" s="18">
        <f>SUM(BL142:CD142)</f>
        <v>0</v>
      </c>
      <c r="L142" s="18">
        <f>--(K142&gt;='Codebook'!$C$8)</f>
        <v>0</v>
      </c>
      <c r="M142" s="18">
        <f>--(COUNT(BL142:CD142)=19)</f>
        <v>1</v>
      </c>
      <c r="N142" s="18">
        <f>SUM(CE142:CL142)</f>
        <v>0</v>
      </c>
      <c r="O142" s="18">
        <f>SUM(CM142:CR142)</f>
        <v>0</v>
      </c>
      <c r="P142" s="18">
        <f>N142+O142</f>
        <v>0</v>
      </c>
      <c r="Q142" s="21" t="s">
        <v>197</v>
      </c>
      <c r="R142" s="17" t="s">
        <v>158</v>
      </c>
      <c r="S142" s="18">
        <f>--OR(Overview!$B$6="All",E142=Overview!$B$6)*--OR(Overview!$F$6="All",F142=Overview!$F$6)*--OR(Overview!$J$6="All",G142=Overview!$J$6)*--OR(Overview!$N$6="All",H142=Overview!$N$6)</f>
        <v>1</v>
      </c>
      <c r="T142" s="21" t="s">
        <v>198</v>
      </c>
      <c r="U142" s="21" t="s">
        <v>198</v>
      </c>
      <c r="V142" s="21" t="s">
        <v>198</v>
      </c>
      <c r="W142" s="21" t="s">
        <v>198</v>
      </c>
      <c r="X142" s="21" t="s">
        <v>198</v>
      </c>
      <c r="Y142" s="21" t="s">
        <v>198</v>
      </c>
      <c r="Z142" s="21" t="s">
        <v>198</v>
      </c>
      <c r="AA142" s="21" t="s">
        <v>198</v>
      </c>
      <c r="AB142" s="21" t="s">
        <v>198</v>
      </c>
      <c r="AC142" s="21" t="s">
        <v>198</v>
      </c>
      <c r="AD142" s="21" t="s">
        <v>198</v>
      </c>
      <c r="AE142" s="21" t="s">
        <v>198</v>
      </c>
      <c r="AF142" s="21" t="s">
        <v>198</v>
      </c>
      <c r="AG142" s="21" t="s">
        <v>198</v>
      </c>
      <c r="AH142" s="21" t="s">
        <v>198</v>
      </c>
      <c r="AI142" s="21" t="s">
        <v>198</v>
      </c>
      <c r="AJ142" s="21" t="s">
        <v>198</v>
      </c>
      <c r="AK142" s="21" t="s">
        <v>198</v>
      </c>
      <c r="AL142" s="21" t="s">
        <v>198</v>
      </c>
      <c r="AM142" s="21" t="s">
        <v>198</v>
      </c>
      <c r="AN142" s="21" t="s">
        <v>198</v>
      </c>
      <c r="AO142" s="21" t="s">
        <v>198</v>
      </c>
      <c r="AP142" s="21" t="s">
        <v>198</v>
      </c>
      <c r="AQ142" s="21" t="s">
        <v>198</v>
      </c>
      <c r="AR142" s="21" t="s">
        <v>198</v>
      </c>
      <c r="AS142" s="21" t="s">
        <v>198</v>
      </c>
      <c r="AT142" s="21" t="s">
        <v>198</v>
      </c>
      <c r="AU142" s="21" t="s">
        <v>198</v>
      </c>
      <c r="AV142" s="21" t="s">
        <v>198</v>
      </c>
      <c r="AW142" s="21" t="s">
        <v>198</v>
      </c>
      <c r="AX142" s="21" t="s">
        <v>198</v>
      </c>
      <c r="AY142" s="21" t="s">
        <v>198</v>
      </c>
      <c r="AZ142" s="21" t="s">
        <v>198</v>
      </c>
      <c r="BA142" s="17" t="s">
        <v>307</v>
      </c>
      <c r="BB142" s="17" t="s">
        <v>225</v>
      </c>
      <c r="BC142" s="18">
        <f>--ISNUMBER(SEARCH("Radio or television",BA142))</f>
        <v>1</v>
      </c>
      <c r="BD142" s="18">
        <f>--ISNUMBER(SEARCH("Newspapers or print media",BA142))</f>
        <v>0</v>
      </c>
      <c r="BE142" s="18">
        <f>--ISNUMBER(SEARCH("Social media (e.g. Facebook, WhatsApp, YouTube, X/Twitter)",BA142))</f>
        <v>1</v>
      </c>
      <c r="BF142" s="18">
        <f>--ISNUMBER(SEARCH("Family members",BA142))</f>
        <v>0</v>
      </c>
      <c r="BG142" s="18">
        <f>--ISNUMBER(SEARCH("Friends or fellow students",BA142))</f>
        <v>0</v>
      </c>
      <c r="BH142" s="18">
        <f>--ISNUMBER(SEARCH("School coursework or lectures",BA142))</f>
        <v>0</v>
      </c>
      <c r="BI142" s="18">
        <f>--ISNUMBER(SEARCH("NHIMA outreach activities or NHIMA offices",BA142))</f>
        <v>1</v>
      </c>
      <c r="BJ142" s="18">
        <f>--ISNUMBER(SEARCH("Health facility staff",BA142))</f>
        <v>0</v>
      </c>
      <c r="BK142" s="18">
        <f>--ISNUMBER(SEARCH("not received information",BA142))</f>
        <v>0</v>
      </c>
      <c r="BL142" s="18">
        <f>IF(T142="","",--(T142='Codebook'!$F$13))</f>
        <v>0</v>
      </c>
      <c r="BM142" s="18">
        <f>IF(U142="","",--(U142='Codebook'!$F$14))</f>
        <v>0</v>
      </c>
      <c r="BN142" s="18">
        <f>IF(V142="","",--(V142='Codebook'!$F$15))</f>
        <v>0</v>
      </c>
      <c r="BO142" s="18">
        <f>IF(W142="","",--(W142='Codebook'!$F$16))</f>
        <v>0</v>
      </c>
      <c r="BP142" s="18">
        <f>IF(X142="","",--(X142='Codebook'!$F$17))</f>
        <v>0</v>
      </c>
      <c r="BQ142" s="18">
        <f>IF(Y142="","",--(Y142='Codebook'!$F$18))</f>
        <v>0</v>
      </c>
      <c r="BR142" s="18">
        <f>IF(Z142="","",--(Z142='Codebook'!$F$19))</f>
        <v>0</v>
      </c>
      <c r="BS142" s="18">
        <f>IF(AA142="","",--(AA142='Codebook'!$F$20))</f>
        <v>0</v>
      </c>
      <c r="BT142" s="18">
        <f>IF(AB142="","",--(AB142='Codebook'!$F$21))</f>
        <v>0</v>
      </c>
      <c r="BU142" s="18">
        <f>IF(AC142="","",--(AC142='Codebook'!$F$22))</f>
        <v>0</v>
      </c>
      <c r="BV142" s="18">
        <f>IF(AD142="","",--(AD142='Codebook'!$F$23))</f>
        <v>0</v>
      </c>
      <c r="BW142" s="18">
        <f>IF(AE142="","",--(AE142='Codebook'!$F$24))</f>
        <v>0</v>
      </c>
      <c r="BX142" s="18">
        <f>IF(AF142="","",--(AF142='Codebook'!$F$25))</f>
        <v>0</v>
      </c>
      <c r="BY142" s="18">
        <f>IF(AG142="","",--(AG142='Codebook'!$F$26))</f>
        <v>0</v>
      </c>
      <c r="BZ142" s="18">
        <f>IF(AH142="","",--(AH142='Codebook'!$F$27))</f>
        <v>0</v>
      </c>
      <c r="CA142" s="18">
        <f>IF(AI142="","",--(AI142='Codebook'!$F$28))</f>
        <v>0</v>
      </c>
      <c r="CB142" s="18">
        <f>IF(AJ142="","",--(AJ142='Codebook'!$F$29))</f>
        <v>0</v>
      </c>
      <c r="CC142" s="18">
        <f>IF(AK142="","",--(AK142='Codebook'!$F$30))</f>
        <v>0</v>
      </c>
      <c r="CD142" s="18">
        <f>IF(AL142="","",--(AL142='Codebook'!$F$31))</f>
        <v>0</v>
      </c>
      <c r="CE142" s="18">
        <f>IF(AM142="","",--(AM142='Codebook'!$F$32))</f>
        <v>0</v>
      </c>
      <c r="CF142" s="18">
        <f>IF(AN142="","",--(AN142='Codebook'!$F$33))</f>
        <v>0</v>
      </c>
      <c r="CG142" s="18">
        <f>IF(AO142="","",--(AO142='Codebook'!$F$34))</f>
        <v>0</v>
      </c>
      <c r="CH142" s="18">
        <f>IF(AP142="","",--(AP142='Codebook'!$F$35))</f>
        <v>0</v>
      </c>
      <c r="CI142" s="18">
        <f>IF(AQ142="","",--(AQ142='Codebook'!$F$36))</f>
        <v>0</v>
      </c>
      <c r="CJ142" s="18">
        <f>IF(AR142="","",--(AR142='Codebook'!$F$37))</f>
        <v>0</v>
      </c>
      <c r="CK142" s="18">
        <f>IF(AS142="","",--(AS142='Codebook'!$F$38))</f>
        <v>0</v>
      </c>
      <c r="CL142" s="18">
        <f>IF(AT142="","",--(AT142='Codebook'!$F$39))</f>
        <v>0</v>
      </c>
      <c r="CM142" s="18">
        <f>IF(AU142="","",--(AU142='Codebook'!$F$40))</f>
        <v>0</v>
      </c>
      <c r="CN142" s="18">
        <f>IF(AV142="","",--(AV142='Codebook'!$F$41))</f>
        <v>0</v>
      </c>
      <c r="CO142" s="18">
        <f>IF(AW142="","",--(AW142='Codebook'!$F$42))</f>
        <v>0</v>
      </c>
      <c r="CP142" s="18">
        <f>IF(AX142="","",--(AX142='Codebook'!$F$43))</f>
        <v>0</v>
      </c>
      <c r="CQ142" s="18">
        <f>IF(AY142="","",--(AY142='Codebook'!$F$44))</f>
        <v>0</v>
      </c>
      <c r="CR142" s="18">
        <f>IF(AZ142="","",--(AZ142='Codebook'!$F$45))</f>
        <v>0</v>
      </c>
    </row>
    <row r="143" spans="2:96" ht="24" customHeight="1">
      <c r="B143" s="18">
        <v>138</v>
      </c>
      <c r="C143" s="23">
        <v>46284.92537988426</v>
      </c>
      <c r="D143" s="21" t="s">
        <v>268</v>
      </c>
      <c r="E143" s="21" t="s">
        <v>194</v>
      </c>
      <c r="F143" s="21" t="s">
        <v>201</v>
      </c>
      <c r="G143" s="17" t="s">
        <v>196</v>
      </c>
      <c r="H143" s="21" t="s">
        <v>207</v>
      </c>
      <c r="I143" s="18">
        <f>SUM(BL143:BU143)</f>
        <v>9</v>
      </c>
      <c r="J143" s="18">
        <f>IF(COUNT(BV143:CD143)=9,SUM(BV143:CD143),"")</f>
        <v>7</v>
      </c>
      <c r="K143" s="18">
        <f>SUM(BL143:CD143)</f>
        <v>16</v>
      </c>
      <c r="L143" s="18">
        <f>--(K143&gt;='Codebook'!$C$8)</f>
        <v>1</v>
      </c>
      <c r="M143" s="18">
        <f>--(COUNT(BL143:CD143)=19)</f>
        <v>1</v>
      </c>
      <c r="N143" s="18">
        <f>SUM(CE143:CL143)</f>
        <v>2</v>
      </c>
      <c r="O143" s="18">
        <f>SUM(CM143:CR143)</f>
        <v>6</v>
      </c>
      <c r="P143" s="18">
        <f>N143+O143</f>
        <v>8</v>
      </c>
      <c r="Q143" s="21" t="s">
        <v>207</v>
      </c>
      <c r="R143" s="17" t="s">
        <v>154</v>
      </c>
      <c r="S143" s="18">
        <f>--OR(Overview!$B$6="All",E143=Overview!$B$6)*--OR(Overview!$F$6="All",F143=Overview!$F$6)*--OR(Overview!$J$6="All",G143=Overview!$J$6)*--OR(Overview!$N$6="All",H143=Overview!$N$6)</f>
        <v>1</v>
      </c>
      <c r="T143" s="21" t="s">
        <v>22</v>
      </c>
      <c r="U143" s="21" t="s">
        <v>26</v>
      </c>
      <c r="V143" s="21" t="s">
        <v>26</v>
      </c>
      <c r="W143" s="21" t="s">
        <v>22</v>
      </c>
      <c r="X143" s="21" t="s">
        <v>198</v>
      </c>
      <c r="Y143" s="21" t="s">
        <v>26</v>
      </c>
      <c r="Z143" s="21" t="s">
        <v>22</v>
      </c>
      <c r="AA143" s="21" t="s">
        <v>22</v>
      </c>
      <c r="AB143" s="21" t="s">
        <v>26</v>
      </c>
      <c r="AC143" s="21" t="s">
        <v>22</v>
      </c>
      <c r="AD143" s="21" t="s">
        <v>22</v>
      </c>
      <c r="AE143" s="21" t="s">
        <v>22</v>
      </c>
      <c r="AF143" s="21" t="s">
        <v>26</v>
      </c>
      <c r="AG143" s="21" t="s">
        <v>26</v>
      </c>
      <c r="AH143" s="21" t="s">
        <v>22</v>
      </c>
      <c r="AI143" s="21" t="s">
        <v>26</v>
      </c>
      <c r="AJ143" s="21" t="s">
        <v>22</v>
      </c>
      <c r="AK143" s="21" t="s">
        <v>22</v>
      </c>
      <c r="AL143" s="21" t="s">
        <v>26</v>
      </c>
      <c r="AM143" s="21" t="s">
        <v>109</v>
      </c>
      <c r="AN143" s="21" t="s">
        <v>83</v>
      </c>
      <c r="AO143" s="21" t="s">
        <v>109</v>
      </c>
      <c r="AP143" s="21" t="s">
        <v>83</v>
      </c>
      <c r="AQ143" s="21" t="s">
        <v>198</v>
      </c>
      <c r="AR143" s="21" t="s">
        <v>198</v>
      </c>
      <c r="AS143" s="21" t="s">
        <v>109</v>
      </c>
      <c r="AT143" s="21" t="s">
        <v>198</v>
      </c>
      <c r="AU143" s="21" t="s">
        <v>109</v>
      </c>
      <c r="AV143" s="21" t="s">
        <v>109</v>
      </c>
      <c r="AW143" s="21" t="s">
        <v>109</v>
      </c>
      <c r="AX143" s="21" t="s">
        <v>109</v>
      </c>
      <c r="AY143" s="21" t="s">
        <v>109</v>
      </c>
      <c r="AZ143" s="21" t="s">
        <v>109</v>
      </c>
      <c r="BA143" s="17" t="s">
        <v>308</v>
      </c>
      <c r="BB143" s="17" t="s">
        <v>250</v>
      </c>
      <c r="BC143" s="18">
        <f>--ISNUMBER(SEARCH("Radio or television",BA143))</f>
        <v>0</v>
      </c>
      <c r="BD143" s="18">
        <f>--ISNUMBER(SEARCH("Newspapers or print media",BA143))</f>
        <v>1</v>
      </c>
      <c r="BE143" s="18">
        <f>--ISNUMBER(SEARCH("Social media (e.g. Facebook, WhatsApp, YouTube, X/Twitter)",BA143))</f>
        <v>1</v>
      </c>
      <c r="BF143" s="18">
        <f>--ISNUMBER(SEARCH("Family members",BA143))</f>
        <v>0</v>
      </c>
      <c r="BG143" s="18">
        <f>--ISNUMBER(SEARCH("Friends or fellow students",BA143))</f>
        <v>0</v>
      </c>
      <c r="BH143" s="18">
        <f>--ISNUMBER(SEARCH("School coursework or lectures",BA143))</f>
        <v>0</v>
      </c>
      <c r="BI143" s="18">
        <f>--ISNUMBER(SEARCH("NHIMA outreach activities or NHIMA offices",BA143))</f>
        <v>1</v>
      </c>
      <c r="BJ143" s="18">
        <f>--ISNUMBER(SEARCH("Health facility staff",BA143))</f>
        <v>0</v>
      </c>
      <c r="BK143" s="18">
        <f>--ISNUMBER(SEARCH("not received information",BA143))</f>
        <v>0</v>
      </c>
      <c r="BL143" s="18">
        <f>IF(T143="","",--(T143='Codebook'!$F$13))</f>
        <v>1</v>
      </c>
      <c r="BM143" s="18">
        <f>IF(U143="","",--(U143='Codebook'!$F$14))</f>
        <v>1</v>
      </c>
      <c r="BN143" s="18">
        <f>IF(V143="","",--(V143='Codebook'!$F$15))</f>
        <v>1</v>
      </c>
      <c r="BO143" s="18">
        <f>IF(W143="","",--(W143='Codebook'!$F$16))</f>
        <v>1</v>
      </c>
      <c r="BP143" s="18">
        <f>IF(X143="","",--(X143='Codebook'!$F$17))</f>
        <v>0</v>
      </c>
      <c r="BQ143" s="18">
        <f>IF(Y143="","",--(Y143='Codebook'!$F$18))</f>
        <v>1</v>
      </c>
      <c r="BR143" s="18">
        <f>IF(Z143="","",--(Z143='Codebook'!$F$19))</f>
        <v>1</v>
      </c>
      <c r="BS143" s="18">
        <f>IF(AA143="","",--(AA143='Codebook'!$F$20))</f>
        <v>1</v>
      </c>
      <c r="BT143" s="18">
        <f>IF(AB143="","",--(AB143='Codebook'!$F$21))</f>
        <v>1</v>
      </c>
      <c r="BU143" s="18">
        <f>IF(AC143="","",--(AC143='Codebook'!$F$22))</f>
        <v>1</v>
      </c>
      <c r="BV143" s="18">
        <f>IF(AD143="","",--(AD143='Codebook'!$F$23))</f>
        <v>1</v>
      </c>
      <c r="BW143" s="18">
        <f>IF(AE143="","",--(AE143='Codebook'!$F$24))</f>
        <v>1</v>
      </c>
      <c r="BX143" s="18">
        <f>IF(AF143="","",--(AF143='Codebook'!$F$25))</f>
        <v>1</v>
      </c>
      <c r="BY143" s="18">
        <f>IF(AG143="","",--(AG143='Codebook'!$F$26))</f>
        <v>0</v>
      </c>
      <c r="BZ143" s="18">
        <f>IF(AH143="","",--(AH143='Codebook'!$F$27))</f>
        <v>1</v>
      </c>
      <c r="CA143" s="18">
        <f>IF(AI143="","",--(AI143='Codebook'!$F$28))</f>
        <v>1</v>
      </c>
      <c r="CB143" s="18">
        <f>IF(AJ143="","",--(AJ143='Codebook'!$F$29))</f>
        <v>0</v>
      </c>
      <c r="CC143" s="18">
        <f>IF(AK143="","",--(AK143='Codebook'!$F$30))</f>
        <v>1</v>
      </c>
      <c r="CD143" s="18">
        <f>IF(AL143="","",--(AL143='Codebook'!$F$31))</f>
        <v>1</v>
      </c>
      <c r="CE143" s="18">
        <f>IF(AM143="","",--(AM143='Codebook'!$F$32))</f>
        <v>0</v>
      </c>
      <c r="CF143" s="18">
        <f>IF(AN143="","",--(AN143='Codebook'!$F$33))</f>
        <v>1</v>
      </c>
      <c r="CG143" s="18">
        <f>IF(AO143="","",--(AO143='Codebook'!$F$34))</f>
        <v>0</v>
      </c>
      <c r="CH143" s="18">
        <f>IF(AP143="","",--(AP143='Codebook'!$F$35))</f>
        <v>1</v>
      </c>
      <c r="CI143" s="18">
        <f>IF(AQ143="","",--(AQ143='Codebook'!$F$36))</f>
        <v>0</v>
      </c>
      <c r="CJ143" s="18">
        <f>IF(AR143="","",--(AR143='Codebook'!$F$37))</f>
        <v>0</v>
      </c>
      <c r="CK143" s="18">
        <f>IF(AS143="","",--(AS143='Codebook'!$F$38))</f>
        <v>0</v>
      </c>
      <c r="CL143" s="18">
        <f>IF(AT143="","",--(AT143='Codebook'!$F$39))</f>
        <v>0</v>
      </c>
      <c r="CM143" s="18">
        <f>IF(AU143="","",--(AU143='Codebook'!$F$40))</f>
        <v>1</v>
      </c>
      <c r="CN143" s="18">
        <f>IF(AV143="","",--(AV143='Codebook'!$F$41))</f>
        <v>1</v>
      </c>
      <c r="CO143" s="18">
        <f>IF(AW143="","",--(AW143='Codebook'!$F$42))</f>
        <v>1</v>
      </c>
      <c r="CP143" s="18">
        <f>IF(AX143="","",--(AX143='Codebook'!$F$43))</f>
        <v>1</v>
      </c>
      <c r="CQ143" s="18">
        <f>IF(AY143="","",--(AY143='Codebook'!$F$44))</f>
        <v>1</v>
      </c>
      <c r="CR143" s="18">
        <f>IF(AZ143="","",--(AZ143='Codebook'!$F$45))</f>
        <v>1</v>
      </c>
    </row>
    <row r="144" spans="2:96" ht="24" customHeight="1">
      <c r="B144" s="18">
        <v>139</v>
      </c>
      <c r="C144" s="23">
        <v>46284.92752491898</v>
      </c>
      <c r="D144" s="21" t="s">
        <v>275</v>
      </c>
      <c r="E144" s="21" t="s">
        <v>194</v>
      </c>
      <c r="F144" s="21" t="s">
        <v>201</v>
      </c>
      <c r="G144" s="17" t="s">
        <v>215</v>
      </c>
      <c r="H144" s="21" t="s">
        <v>207</v>
      </c>
      <c r="I144" s="18">
        <f>SUM(BL144:BU144)</f>
        <v>8</v>
      </c>
      <c r="J144" s="18">
        <f>IF(COUNT(BV144:CD144)=9,SUM(BV144:CD144),"")</f>
        <v>5</v>
      </c>
      <c r="K144" s="18">
        <f>SUM(BL144:CD144)</f>
        <v>13</v>
      </c>
      <c r="L144" s="18">
        <f>--(K144&gt;='Codebook'!$C$8)</f>
        <v>1</v>
      </c>
      <c r="M144" s="18">
        <f>--(COUNT(BL144:CD144)=19)</f>
        <v>1</v>
      </c>
      <c r="N144" s="18">
        <f>SUM(CE144:CL144)</f>
        <v>1</v>
      </c>
      <c r="O144" s="18">
        <f>SUM(CM144:CR144)</f>
        <v>6</v>
      </c>
      <c r="P144" s="18">
        <f>N144+O144</f>
        <v>7</v>
      </c>
      <c r="Q144" s="21" t="s">
        <v>197</v>
      </c>
      <c r="R144" s="17" t="s">
        <v>154</v>
      </c>
      <c r="S144" s="18">
        <f>--OR(Overview!$B$6="All",E144=Overview!$B$6)*--OR(Overview!$F$6="All",F144=Overview!$F$6)*--OR(Overview!$J$6="All",G144=Overview!$J$6)*--OR(Overview!$N$6="All",H144=Overview!$N$6)</f>
        <v>1</v>
      </c>
      <c r="T144" s="21" t="s">
        <v>22</v>
      </c>
      <c r="U144" s="21" t="s">
        <v>26</v>
      </c>
      <c r="V144" s="21" t="s">
        <v>26</v>
      </c>
      <c r="W144" s="21" t="s">
        <v>22</v>
      </c>
      <c r="X144" s="21" t="s">
        <v>198</v>
      </c>
      <c r="Y144" s="21" t="s">
        <v>26</v>
      </c>
      <c r="Z144" s="21" t="s">
        <v>22</v>
      </c>
      <c r="AA144" s="21" t="s">
        <v>198</v>
      </c>
      <c r="AB144" s="21" t="s">
        <v>26</v>
      </c>
      <c r="AC144" s="21" t="s">
        <v>22</v>
      </c>
      <c r="AD144" s="21" t="s">
        <v>198</v>
      </c>
      <c r="AE144" s="21" t="s">
        <v>22</v>
      </c>
      <c r="AF144" s="21" t="s">
        <v>26</v>
      </c>
      <c r="AG144" s="21" t="s">
        <v>198</v>
      </c>
      <c r="AH144" s="21" t="s">
        <v>22</v>
      </c>
      <c r="AI144" s="21" t="s">
        <v>26</v>
      </c>
      <c r="AJ144" s="21" t="s">
        <v>22</v>
      </c>
      <c r="AK144" s="21" t="s">
        <v>198</v>
      </c>
      <c r="AL144" s="21" t="s">
        <v>26</v>
      </c>
      <c r="AM144" s="21" t="s">
        <v>198</v>
      </c>
      <c r="AN144" s="21" t="s">
        <v>198</v>
      </c>
      <c r="AO144" s="21" t="s">
        <v>109</v>
      </c>
      <c r="AP144" s="21" t="s">
        <v>83</v>
      </c>
      <c r="AQ144" s="21" t="s">
        <v>109</v>
      </c>
      <c r="AR144" s="21" t="s">
        <v>198</v>
      </c>
      <c r="AS144" s="21" t="s">
        <v>109</v>
      </c>
      <c r="AT144" s="21" t="s">
        <v>109</v>
      </c>
      <c r="AU144" s="21" t="s">
        <v>109</v>
      </c>
      <c r="AV144" s="21" t="s">
        <v>109</v>
      </c>
      <c r="AW144" s="21" t="s">
        <v>109</v>
      </c>
      <c r="AX144" s="21" t="s">
        <v>109</v>
      </c>
      <c r="AY144" s="21" t="s">
        <v>109</v>
      </c>
      <c r="AZ144" s="21" t="s">
        <v>109</v>
      </c>
      <c r="BA144" s="17" t="s">
        <v>309</v>
      </c>
      <c r="BB144" s="17" t="s">
        <v>250</v>
      </c>
      <c r="BC144" s="18">
        <f>--ISNUMBER(SEARCH("Radio or television",BA144))</f>
        <v>1</v>
      </c>
      <c r="BD144" s="18">
        <f>--ISNUMBER(SEARCH("Newspapers or print media",BA144))</f>
        <v>1</v>
      </c>
      <c r="BE144" s="18">
        <f>--ISNUMBER(SEARCH("Social media (e.g. Facebook, WhatsApp, YouTube, X/Twitter)",BA144))</f>
        <v>1</v>
      </c>
      <c r="BF144" s="18">
        <f>--ISNUMBER(SEARCH("Family members",BA144))</f>
        <v>1</v>
      </c>
      <c r="BG144" s="18">
        <f>--ISNUMBER(SEARCH("Friends or fellow students",BA144))</f>
        <v>0</v>
      </c>
      <c r="BH144" s="18">
        <f>--ISNUMBER(SEARCH("School coursework or lectures",BA144))</f>
        <v>0</v>
      </c>
      <c r="BI144" s="18">
        <f>--ISNUMBER(SEARCH("NHIMA outreach activities or NHIMA offices",BA144))</f>
        <v>1</v>
      </c>
      <c r="BJ144" s="18">
        <f>--ISNUMBER(SEARCH("Health facility staff",BA144))</f>
        <v>1</v>
      </c>
      <c r="BK144" s="18">
        <f>--ISNUMBER(SEARCH("not received information",BA144))</f>
        <v>0</v>
      </c>
      <c r="BL144" s="18">
        <f>IF(T144="","",--(T144='Codebook'!$F$13))</f>
        <v>1</v>
      </c>
      <c r="BM144" s="18">
        <f>IF(U144="","",--(U144='Codebook'!$F$14))</f>
        <v>1</v>
      </c>
      <c r="BN144" s="18">
        <f>IF(V144="","",--(V144='Codebook'!$F$15))</f>
        <v>1</v>
      </c>
      <c r="BO144" s="18">
        <f>IF(W144="","",--(W144='Codebook'!$F$16))</f>
        <v>1</v>
      </c>
      <c r="BP144" s="18">
        <f>IF(X144="","",--(X144='Codebook'!$F$17))</f>
        <v>0</v>
      </c>
      <c r="BQ144" s="18">
        <f>IF(Y144="","",--(Y144='Codebook'!$F$18))</f>
        <v>1</v>
      </c>
      <c r="BR144" s="18">
        <f>IF(Z144="","",--(Z144='Codebook'!$F$19))</f>
        <v>1</v>
      </c>
      <c r="BS144" s="18">
        <f>IF(AA144="","",--(AA144='Codebook'!$F$20))</f>
        <v>0</v>
      </c>
      <c r="BT144" s="18">
        <f>IF(AB144="","",--(AB144='Codebook'!$F$21))</f>
        <v>1</v>
      </c>
      <c r="BU144" s="18">
        <f>IF(AC144="","",--(AC144='Codebook'!$F$22))</f>
        <v>1</v>
      </c>
      <c r="BV144" s="18">
        <f>IF(AD144="","",--(AD144='Codebook'!$F$23))</f>
        <v>0</v>
      </c>
      <c r="BW144" s="18">
        <f>IF(AE144="","",--(AE144='Codebook'!$F$24))</f>
        <v>1</v>
      </c>
      <c r="BX144" s="18">
        <f>IF(AF144="","",--(AF144='Codebook'!$F$25))</f>
        <v>1</v>
      </c>
      <c r="BY144" s="18">
        <f>IF(AG144="","",--(AG144='Codebook'!$F$26))</f>
        <v>0</v>
      </c>
      <c r="BZ144" s="18">
        <f>IF(AH144="","",--(AH144='Codebook'!$F$27))</f>
        <v>1</v>
      </c>
      <c r="CA144" s="18">
        <f>IF(AI144="","",--(AI144='Codebook'!$F$28))</f>
        <v>1</v>
      </c>
      <c r="CB144" s="18">
        <f>IF(AJ144="","",--(AJ144='Codebook'!$F$29))</f>
        <v>0</v>
      </c>
      <c r="CC144" s="18">
        <f>IF(AK144="","",--(AK144='Codebook'!$F$30))</f>
        <v>0</v>
      </c>
      <c r="CD144" s="18">
        <f>IF(AL144="","",--(AL144='Codebook'!$F$31))</f>
        <v>1</v>
      </c>
      <c r="CE144" s="18">
        <f>IF(AM144="","",--(AM144='Codebook'!$F$32))</f>
        <v>0</v>
      </c>
      <c r="CF144" s="18">
        <f>IF(AN144="","",--(AN144='Codebook'!$F$33))</f>
        <v>0</v>
      </c>
      <c r="CG144" s="18">
        <f>IF(AO144="","",--(AO144='Codebook'!$F$34))</f>
        <v>0</v>
      </c>
      <c r="CH144" s="18">
        <f>IF(AP144="","",--(AP144='Codebook'!$F$35))</f>
        <v>1</v>
      </c>
      <c r="CI144" s="18">
        <f>IF(AQ144="","",--(AQ144='Codebook'!$F$36))</f>
        <v>0</v>
      </c>
      <c r="CJ144" s="18">
        <f>IF(AR144="","",--(AR144='Codebook'!$F$37))</f>
        <v>0</v>
      </c>
      <c r="CK144" s="18">
        <f>IF(AS144="","",--(AS144='Codebook'!$F$38))</f>
        <v>0</v>
      </c>
      <c r="CL144" s="18">
        <f>IF(AT144="","",--(AT144='Codebook'!$F$39))</f>
        <v>0</v>
      </c>
      <c r="CM144" s="18">
        <f>IF(AU144="","",--(AU144='Codebook'!$F$40))</f>
        <v>1</v>
      </c>
      <c r="CN144" s="18">
        <f>IF(AV144="","",--(AV144='Codebook'!$F$41))</f>
        <v>1</v>
      </c>
      <c r="CO144" s="18">
        <f>IF(AW144="","",--(AW144='Codebook'!$F$42))</f>
        <v>1</v>
      </c>
      <c r="CP144" s="18">
        <f>IF(AX144="","",--(AX144='Codebook'!$F$43))</f>
        <v>1</v>
      </c>
      <c r="CQ144" s="18">
        <f>IF(AY144="","",--(AY144='Codebook'!$F$44))</f>
        <v>1</v>
      </c>
      <c r="CR144" s="18">
        <f>IF(AZ144="","",--(AZ144='Codebook'!$F$45))</f>
        <v>1</v>
      </c>
    </row>
    <row r="145" spans="2:96" ht="24" customHeight="1">
      <c r="B145" s="18">
        <v>140</v>
      </c>
      <c r="C145" s="23">
        <v>46284.93042564815</v>
      </c>
      <c r="D145" s="21" t="s">
        <v>270</v>
      </c>
      <c r="E145" s="21" t="s">
        <v>194</v>
      </c>
      <c r="F145" s="21" t="s">
        <v>195</v>
      </c>
      <c r="G145" s="17" t="s">
        <v>202</v>
      </c>
      <c r="H145" s="21" t="s">
        <v>207</v>
      </c>
      <c r="I145" s="18">
        <f>SUM(BL145:BU145)</f>
        <v>9</v>
      </c>
      <c r="J145" s="18">
        <f>IF(COUNT(BV145:CD145)=9,SUM(BV145:CD145),"")</f>
        <v>6</v>
      </c>
      <c r="K145" s="18">
        <f>SUM(BL145:CD145)</f>
        <v>15</v>
      </c>
      <c r="L145" s="18">
        <f>--(K145&gt;='Codebook'!$C$8)</f>
        <v>1</v>
      </c>
      <c r="M145" s="18">
        <f>--(COUNT(BL145:CD145)=19)</f>
        <v>1</v>
      </c>
      <c r="N145" s="18">
        <f>SUM(CE145:CL145)</f>
        <v>3</v>
      </c>
      <c r="O145" s="18">
        <f>SUM(CM145:CR145)</f>
        <v>6</v>
      </c>
      <c r="P145" s="18">
        <f>N145+O145</f>
        <v>9</v>
      </c>
      <c r="Q145" s="21" t="s">
        <v>207</v>
      </c>
      <c r="R145" s="17" t="s">
        <v>152</v>
      </c>
      <c r="S145" s="18">
        <f>--OR(Overview!$B$6="All",E145=Overview!$B$6)*--OR(Overview!$F$6="All",F145=Overview!$F$6)*--OR(Overview!$J$6="All",G145=Overview!$J$6)*--OR(Overview!$N$6="All",H145=Overview!$N$6)</f>
        <v>1</v>
      </c>
      <c r="T145" s="21" t="s">
        <v>22</v>
      </c>
      <c r="U145" s="21" t="s">
        <v>22</v>
      </c>
      <c r="V145" s="21" t="s">
        <v>26</v>
      </c>
      <c r="W145" s="21" t="s">
        <v>22</v>
      </c>
      <c r="X145" s="21" t="s">
        <v>22</v>
      </c>
      <c r="Y145" s="21" t="s">
        <v>26</v>
      </c>
      <c r="Z145" s="21" t="s">
        <v>22</v>
      </c>
      <c r="AA145" s="21" t="s">
        <v>22</v>
      </c>
      <c r="AB145" s="21" t="s">
        <v>26</v>
      </c>
      <c r="AC145" s="21" t="s">
        <v>22</v>
      </c>
      <c r="AD145" s="21" t="s">
        <v>22</v>
      </c>
      <c r="AE145" s="21" t="s">
        <v>22</v>
      </c>
      <c r="AF145" s="21" t="s">
        <v>26</v>
      </c>
      <c r="AG145" s="21" t="s">
        <v>198</v>
      </c>
      <c r="AH145" s="21" t="s">
        <v>198</v>
      </c>
      <c r="AI145" s="21" t="s">
        <v>26</v>
      </c>
      <c r="AJ145" s="21" t="s">
        <v>198</v>
      </c>
      <c r="AK145" s="21" t="s">
        <v>22</v>
      </c>
      <c r="AL145" s="21" t="s">
        <v>26</v>
      </c>
      <c r="AM145" s="21" t="s">
        <v>83</v>
      </c>
      <c r="AN145" s="21" t="s">
        <v>83</v>
      </c>
      <c r="AO145" s="21" t="s">
        <v>109</v>
      </c>
      <c r="AP145" s="21" t="s">
        <v>83</v>
      </c>
      <c r="AQ145" s="21" t="s">
        <v>198</v>
      </c>
      <c r="AR145" s="21" t="s">
        <v>198</v>
      </c>
      <c r="AS145" s="21" t="s">
        <v>109</v>
      </c>
      <c r="AT145" s="21" t="s">
        <v>109</v>
      </c>
      <c r="AU145" s="21" t="s">
        <v>109</v>
      </c>
      <c r="AV145" s="21" t="s">
        <v>109</v>
      </c>
      <c r="AW145" s="21" t="s">
        <v>109</v>
      </c>
      <c r="AX145" s="21" t="s">
        <v>109</v>
      </c>
      <c r="AY145" s="21" t="s">
        <v>109</v>
      </c>
      <c r="AZ145" s="21" t="s">
        <v>109</v>
      </c>
      <c r="BA145" s="17" t="s">
        <v>289</v>
      </c>
      <c r="BB145" s="17" t="s">
        <v>223</v>
      </c>
      <c r="BC145" s="18">
        <f>--ISNUMBER(SEARCH("Radio or television",BA145))</f>
        <v>1</v>
      </c>
      <c r="BD145" s="18">
        <f>--ISNUMBER(SEARCH("Newspapers or print media",BA145))</f>
        <v>1</v>
      </c>
      <c r="BE145" s="18">
        <f>--ISNUMBER(SEARCH("Social media (e.g. Facebook, WhatsApp, YouTube, X/Twitter)",BA145))</f>
        <v>1</v>
      </c>
      <c r="BF145" s="18">
        <f>--ISNUMBER(SEARCH("Family members",BA145))</f>
        <v>0</v>
      </c>
      <c r="BG145" s="18">
        <f>--ISNUMBER(SEARCH("Friends or fellow students",BA145))</f>
        <v>0</v>
      </c>
      <c r="BH145" s="18">
        <f>--ISNUMBER(SEARCH("School coursework or lectures",BA145))</f>
        <v>1</v>
      </c>
      <c r="BI145" s="18">
        <f>--ISNUMBER(SEARCH("NHIMA outreach activities or NHIMA offices",BA145))</f>
        <v>1</v>
      </c>
      <c r="BJ145" s="18">
        <f>--ISNUMBER(SEARCH("Health facility staff",BA145))</f>
        <v>1</v>
      </c>
      <c r="BK145" s="18">
        <f>--ISNUMBER(SEARCH("not received information",BA145))</f>
        <v>0</v>
      </c>
      <c r="BL145" s="18">
        <f>IF(T145="","",--(T145='Codebook'!$F$13))</f>
        <v>1</v>
      </c>
      <c r="BM145" s="18">
        <f>IF(U145="","",--(U145='Codebook'!$F$14))</f>
        <v>0</v>
      </c>
      <c r="BN145" s="18">
        <f>IF(V145="","",--(V145='Codebook'!$F$15))</f>
        <v>1</v>
      </c>
      <c r="BO145" s="18">
        <f>IF(W145="","",--(W145='Codebook'!$F$16))</f>
        <v>1</v>
      </c>
      <c r="BP145" s="18">
        <f>IF(X145="","",--(X145='Codebook'!$F$17))</f>
        <v>1</v>
      </c>
      <c r="BQ145" s="18">
        <f>IF(Y145="","",--(Y145='Codebook'!$F$18))</f>
        <v>1</v>
      </c>
      <c r="BR145" s="18">
        <f>IF(Z145="","",--(Z145='Codebook'!$F$19))</f>
        <v>1</v>
      </c>
      <c r="BS145" s="18">
        <f>IF(AA145="","",--(AA145='Codebook'!$F$20))</f>
        <v>1</v>
      </c>
      <c r="BT145" s="18">
        <f>IF(AB145="","",--(AB145='Codebook'!$F$21))</f>
        <v>1</v>
      </c>
      <c r="BU145" s="18">
        <f>IF(AC145="","",--(AC145='Codebook'!$F$22))</f>
        <v>1</v>
      </c>
      <c r="BV145" s="18">
        <f>IF(AD145="","",--(AD145='Codebook'!$F$23))</f>
        <v>1</v>
      </c>
      <c r="BW145" s="18">
        <f>IF(AE145="","",--(AE145='Codebook'!$F$24))</f>
        <v>1</v>
      </c>
      <c r="BX145" s="18">
        <f>IF(AF145="","",--(AF145='Codebook'!$F$25))</f>
        <v>1</v>
      </c>
      <c r="BY145" s="18">
        <f>IF(AG145="","",--(AG145='Codebook'!$F$26))</f>
        <v>0</v>
      </c>
      <c r="BZ145" s="18">
        <f>IF(AH145="","",--(AH145='Codebook'!$F$27))</f>
        <v>0</v>
      </c>
      <c r="CA145" s="18">
        <f>IF(AI145="","",--(AI145='Codebook'!$F$28))</f>
        <v>1</v>
      </c>
      <c r="CB145" s="18">
        <f>IF(AJ145="","",--(AJ145='Codebook'!$F$29))</f>
        <v>0</v>
      </c>
      <c r="CC145" s="18">
        <f>IF(AK145="","",--(AK145='Codebook'!$F$30))</f>
        <v>1</v>
      </c>
      <c r="CD145" s="18">
        <f>IF(AL145="","",--(AL145='Codebook'!$F$31))</f>
        <v>1</v>
      </c>
      <c r="CE145" s="18">
        <f>IF(AM145="","",--(AM145='Codebook'!$F$32))</f>
        <v>1</v>
      </c>
      <c r="CF145" s="18">
        <f>IF(AN145="","",--(AN145='Codebook'!$F$33))</f>
        <v>1</v>
      </c>
      <c r="CG145" s="18">
        <f>IF(AO145="","",--(AO145='Codebook'!$F$34))</f>
        <v>0</v>
      </c>
      <c r="CH145" s="18">
        <f>IF(AP145="","",--(AP145='Codebook'!$F$35))</f>
        <v>1</v>
      </c>
      <c r="CI145" s="18">
        <f>IF(AQ145="","",--(AQ145='Codebook'!$F$36))</f>
        <v>0</v>
      </c>
      <c r="CJ145" s="18">
        <f>IF(AR145="","",--(AR145='Codebook'!$F$37))</f>
        <v>0</v>
      </c>
      <c r="CK145" s="18">
        <f>IF(AS145="","",--(AS145='Codebook'!$F$38))</f>
        <v>0</v>
      </c>
      <c r="CL145" s="18">
        <f>IF(AT145="","",--(AT145='Codebook'!$F$39))</f>
        <v>0</v>
      </c>
      <c r="CM145" s="18">
        <f>IF(AU145="","",--(AU145='Codebook'!$F$40))</f>
        <v>1</v>
      </c>
      <c r="CN145" s="18">
        <f>IF(AV145="","",--(AV145='Codebook'!$F$41))</f>
        <v>1</v>
      </c>
      <c r="CO145" s="18">
        <f>IF(AW145="","",--(AW145='Codebook'!$F$42))</f>
        <v>1</v>
      </c>
      <c r="CP145" s="18">
        <f>IF(AX145="","",--(AX145='Codebook'!$F$43))</f>
        <v>1</v>
      </c>
      <c r="CQ145" s="18">
        <f>IF(AY145="","",--(AY145='Codebook'!$F$44))</f>
        <v>1</v>
      </c>
      <c r="CR145" s="18">
        <f>IF(AZ145="","",--(AZ145='Codebook'!$F$45))</f>
        <v>1</v>
      </c>
    </row>
    <row r="146" spans="2:96" ht="24" customHeight="1">
      <c r="B146" s="18">
        <v>141</v>
      </c>
      <c r="C146" s="23">
        <v>46284.93171251158</v>
      </c>
      <c r="D146" s="21" t="s">
        <v>268</v>
      </c>
      <c r="E146" s="21" t="s">
        <v>206</v>
      </c>
      <c r="F146" s="21" t="s">
        <v>201</v>
      </c>
      <c r="G146" s="17" t="s">
        <v>215</v>
      </c>
      <c r="H146" s="21" t="s">
        <v>207</v>
      </c>
      <c r="I146" s="18">
        <f>SUM(BL146:BU146)</f>
        <v>10</v>
      </c>
      <c r="J146" s="18">
        <f>IF(COUNT(BV146:CD146)=9,SUM(BV146:CD146),"")</f>
        <v>7</v>
      </c>
      <c r="K146" s="18">
        <f>SUM(BL146:CD146)</f>
        <v>17</v>
      </c>
      <c r="L146" s="18">
        <f>--(K146&gt;='Codebook'!$C$8)</f>
        <v>1</v>
      </c>
      <c r="M146" s="18">
        <f>--(COUNT(BL146:CD146)=19)</f>
        <v>1</v>
      </c>
      <c r="N146" s="18">
        <f>SUM(CE146:CL146)</f>
        <v>3</v>
      </c>
      <c r="O146" s="18">
        <f>SUM(CM146:CR146)</f>
        <v>5</v>
      </c>
      <c r="P146" s="18">
        <f>N146+O146</f>
        <v>8</v>
      </c>
      <c r="Q146" s="21" t="s">
        <v>207</v>
      </c>
      <c r="R146" s="17" t="s">
        <v>153</v>
      </c>
      <c r="S146" s="18">
        <f>--OR(Overview!$B$6="All",E146=Overview!$B$6)*--OR(Overview!$F$6="All",F146=Overview!$F$6)*--OR(Overview!$J$6="All",G146=Overview!$J$6)*--OR(Overview!$N$6="All",H146=Overview!$N$6)</f>
        <v>1</v>
      </c>
      <c r="T146" s="21" t="s">
        <v>22</v>
      </c>
      <c r="U146" s="21" t="s">
        <v>26</v>
      </c>
      <c r="V146" s="21" t="s">
        <v>26</v>
      </c>
      <c r="W146" s="21" t="s">
        <v>22</v>
      </c>
      <c r="X146" s="21" t="s">
        <v>22</v>
      </c>
      <c r="Y146" s="21" t="s">
        <v>26</v>
      </c>
      <c r="Z146" s="21" t="s">
        <v>22</v>
      </c>
      <c r="AA146" s="21" t="s">
        <v>22</v>
      </c>
      <c r="AB146" s="21" t="s">
        <v>26</v>
      </c>
      <c r="AC146" s="21" t="s">
        <v>22</v>
      </c>
      <c r="AD146" s="21" t="s">
        <v>22</v>
      </c>
      <c r="AE146" s="21" t="s">
        <v>22</v>
      </c>
      <c r="AF146" s="21" t="s">
        <v>26</v>
      </c>
      <c r="AG146" s="21" t="s">
        <v>26</v>
      </c>
      <c r="AH146" s="21" t="s">
        <v>22</v>
      </c>
      <c r="AI146" s="21" t="s">
        <v>26</v>
      </c>
      <c r="AJ146" s="21" t="s">
        <v>22</v>
      </c>
      <c r="AK146" s="21" t="s">
        <v>22</v>
      </c>
      <c r="AL146" s="21" t="s">
        <v>26</v>
      </c>
      <c r="AM146" s="21" t="s">
        <v>83</v>
      </c>
      <c r="AN146" s="21" t="s">
        <v>83</v>
      </c>
      <c r="AO146" s="21" t="s">
        <v>109</v>
      </c>
      <c r="AP146" s="21" t="s">
        <v>198</v>
      </c>
      <c r="AQ146" s="21" t="s">
        <v>198</v>
      </c>
      <c r="AR146" s="21" t="s">
        <v>83</v>
      </c>
      <c r="AS146" s="21" t="s">
        <v>109</v>
      </c>
      <c r="AT146" s="21" t="s">
        <v>109</v>
      </c>
      <c r="AU146" s="21" t="s">
        <v>109</v>
      </c>
      <c r="AV146" s="21" t="s">
        <v>109</v>
      </c>
      <c r="AW146" s="21" t="s">
        <v>109</v>
      </c>
      <c r="AX146" s="21" t="s">
        <v>109</v>
      </c>
      <c r="AY146" s="21" t="s">
        <v>198</v>
      </c>
      <c r="AZ146" s="21" t="s">
        <v>109</v>
      </c>
      <c r="BA146" s="17" t="s">
        <v>283</v>
      </c>
      <c r="BB146" s="17" t="s">
        <v>277</v>
      </c>
      <c r="BC146" s="18">
        <f>--ISNUMBER(SEARCH("Radio or television",BA146))</f>
        <v>0</v>
      </c>
      <c r="BD146" s="18">
        <f>--ISNUMBER(SEARCH("Newspapers or print media",BA146))</f>
        <v>1</v>
      </c>
      <c r="BE146" s="18">
        <f>--ISNUMBER(SEARCH("Social media (e.g. Facebook, WhatsApp, YouTube, X/Twitter)",BA146))</f>
        <v>1</v>
      </c>
      <c r="BF146" s="18">
        <f>--ISNUMBER(SEARCH("Family members",BA146))</f>
        <v>0</v>
      </c>
      <c r="BG146" s="18">
        <f>--ISNUMBER(SEARCH("Friends or fellow students",BA146))</f>
        <v>0</v>
      </c>
      <c r="BH146" s="18">
        <f>--ISNUMBER(SEARCH("School coursework or lectures",BA146))</f>
        <v>0</v>
      </c>
      <c r="BI146" s="18">
        <f>--ISNUMBER(SEARCH("NHIMA outreach activities or NHIMA offices",BA146))</f>
        <v>0</v>
      </c>
      <c r="BJ146" s="18">
        <f>--ISNUMBER(SEARCH("Health facility staff",BA146))</f>
        <v>0</v>
      </c>
      <c r="BK146" s="18">
        <f>--ISNUMBER(SEARCH("not received information",BA146))</f>
        <v>0</v>
      </c>
      <c r="BL146" s="18">
        <f>IF(T146="","",--(T146='Codebook'!$F$13))</f>
        <v>1</v>
      </c>
      <c r="BM146" s="18">
        <f>IF(U146="","",--(U146='Codebook'!$F$14))</f>
        <v>1</v>
      </c>
      <c r="BN146" s="18">
        <f>IF(V146="","",--(V146='Codebook'!$F$15))</f>
        <v>1</v>
      </c>
      <c r="BO146" s="18">
        <f>IF(W146="","",--(W146='Codebook'!$F$16))</f>
        <v>1</v>
      </c>
      <c r="BP146" s="18">
        <f>IF(X146="","",--(X146='Codebook'!$F$17))</f>
        <v>1</v>
      </c>
      <c r="BQ146" s="18">
        <f>IF(Y146="","",--(Y146='Codebook'!$F$18))</f>
        <v>1</v>
      </c>
      <c r="BR146" s="18">
        <f>IF(Z146="","",--(Z146='Codebook'!$F$19))</f>
        <v>1</v>
      </c>
      <c r="BS146" s="18">
        <f>IF(AA146="","",--(AA146='Codebook'!$F$20))</f>
        <v>1</v>
      </c>
      <c r="BT146" s="18">
        <f>IF(AB146="","",--(AB146='Codebook'!$F$21))</f>
        <v>1</v>
      </c>
      <c r="BU146" s="18">
        <f>IF(AC146="","",--(AC146='Codebook'!$F$22))</f>
        <v>1</v>
      </c>
      <c r="BV146" s="18">
        <f>IF(AD146="","",--(AD146='Codebook'!$F$23))</f>
        <v>1</v>
      </c>
      <c r="BW146" s="18">
        <f>IF(AE146="","",--(AE146='Codebook'!$F$24))</f>
        <v>1</v>
      </c>
      <c r="BX146" s="18">
        <f>IF(AF146="","",--(AF146='Codebook'!$F$25))</f>
        <v>1</v>
      </c>
      <c r="BY146" s="18">
        <f>IF(AG146="","",--(AG146='Codebook'!$F$26))</f>
        <v>0</v>
      </c>
      <c r="BZ146" s="18">
        <f>IF(AH146="","",--(AH146='Codebook'!$F$27))</f>
        <v>1</v>
      </c>
      <c r="CA146" s="18">
        <f>IF(AI146="","",--(AI146='Codebook'!$F$28))</f>
        <v>1</v>
      </c>
      <c r="CB146" s="18">
        <f>IF(AJ146="","",--(AJ146='Codebook'!$F$29))</f>
        <v>0</v>
      </c>
      <c r="CC146" s="18">
        <f>IF(AK146="","",--(AK146='Codebook'!$F$30))</f>
        <v>1</v>
      </c>
      <c r="CD146" s="18">
        <f>IF(AL146="","",--(AL146='Codebook'!$F$31))</f>
        <v>1</v>
      </c>
      <c r="CE146" s="18">
        <f>IF(AM146="","",--(AM146='Codebook'!$F$32))</f>
        <v>1</v>
      </c>
      <c r="CF146" s="18">
        <f>IF(AN146="","",--(AN146='Codebook'!$F$33))</f>
        <v>1</v>
      </c>
      <c r="CG146" s="18">
        <f>IF(AO146="","",--(AO146='Codebook'!$F$34))</f>
        <v>0</v>
      </c>
      <c r="CH146" s="18">
        <f>IF(AP146="","",--(AP146='Codebook'!$F$35))</f>
        <v>0</v>
      </c>
      <c r="CI146" s="18">
        <f>IF(AQ146="","",--(AQ146='Codebook'!$F$36))</f>
        <v>0</v>
      </c>
      <c r="CJ146" s="18">
        <f>IF(AR146="","",--(AR146='Codebook'!$F$37))</f>
        <v>1</v>
      </c>
      <c r="CK146" s="18">
        <f>IF(AS146="","",--(AS146='Codebook'!$F$38))</f>
        <v>0</v>
      </c>
      <c r="CL146" s="18">
        <f>IF(AT146="","",--(AT146='Codebook'!$F$39))</f>
        <v>0</v>
      </c>
      <c r="CM146" s="18">
        <f>IF(AU146="","",--(AU146='Codebook'!$F$40))</f>
        <v>1</v>
      </c>
      <c r="CN146" s="18">
        <f>IF(AV146="","",--(AV146='Codebook'!$F$41))</f>
        <v>1</v>
      </c>
      <c r="CO146" s="18">
        <f>IF(AW146="","",--(AW146='Codebook'!$F$42))</f>
        <v>1</v>
      </c>
      <c r="CP146" s="18">
        <f>IF(AX146="","",--(AX146='Codebook'!$F$43))</f>
        <v>1</v>
      </c>
      <c r="CQ146" s="18">
        <f>IF(AY146="","",--(AY146='Codebook'!$F$44))</f>
        <v>0</v>
      </c>
      <c r="CR146" s="18">
        <f>IF(AZ146="","",--(AZ146='Codebook'!$F$45))</f>
        <v>1</v>
      </c>
    </row>
    <row r="147" spans="2:96" ht="24" customHeight="1">
      <c r="B147" s="18">
        <v>142</v>
      </c>
      <c r="C147" s="23">
        <v>46284.93302212963</v>
      </c>
      <c r="D147" s="21" t="s">
        <v>270</v>
      </c>
      <c r="E147" s="21" t="s">
        <v>206</v>
      </c>
      <c r="F147" s="21" t="s">
        <v>195</v>
      </c>
      <c r="G147" s="17" t="s">
        <v>196</v>
      </c>
      <c r="H147" s="21" t="s">
        <v>207</v>
      </c>
      <c r="I147" s="18">
        <f>SUM(BL147:BU147)</f>
        <v>10</v>
      </c>
      <c r="J147" s="18">
        <f>IF(COUNT(BV147:CD147)=9,SUM(BV147:CD147),"")</f>
        <v>5</v>
      </c>
      <c r="K147" s="18">
        <f>SUM(BL147:CD147)</f>
        <v>15</v>
      </c>
      <c r="L147" s="18">
        <f>--(K147&gt;='Codebook'!$C$8)</f>
        <v>1</v>
      </c>
      <c r="M147" s="18">
        <f>--(COUNT(BL147:CD147)=19)</f>
        <v>1</v>
      </c>
      <c r="N147" s="18">
        <f>SUM(CE147:CL147)</f>
        <v>2</v>
      </c>
      <c r="O147" s="18">
        <f>SUM(CM147:CR147)</f>
        <v>6</v>
      </c>
      <c r="P147" s="18">
        <f>N147+O147</f>
        <v>8</v>
      </c>
      <c r="Q147" s="21" t="s">
        <v>197</v>
      </c>
      <c r="R147" s="17" t="s">
        <v>154</v>
      </c>
      <c r="S147" s="18">
        <f>--OR(Overview!$B$6="All",E147=Overview!$B$6)*--OR(Overview!$F$6="All",F147=Overview!$F$6)*--OR(Overview!$J$6="All",G147=Overview!$J$6)*--OR(Overview!$N$6="All",H147=Overview!$N$6)</f>
        <v>1</v>
      </c>
      <c r="T147" s="21" t="s">
        <v>22</v>
      </c>
      <c r="U147" s="21" t="s">
        <v>26</v>
      </c>
      <c r="V147" s="21" t="s">
        <v>26</v>
      </c>
      <c r="W147" s="21" t="s">
        <v>22</v>
      </c>
      <c r="X147" s="21" t="s">
        <v>22</v>
      </c>
      <c r="Y147" s="21" t="s">
        <v>26</v>
      </c>
      <c r="Z147" s="21" t="s">
        <v>22</v>
      </c>
      <c r="AA147" s="21" t="s">
        <v>22</v>
      </c>
      <c r="AB147" s="21" t="s">
        <v>26</v>
      </c>
      <c r="AC147" s="21" t="s">
        <v>22</v>
      </c>
      <c r="AD147" s="21" t="s">
        <v>22</v>
      </c>
      <c r="AE147" s="21" t="s">
        <v>22</v>
      </c>
      <c r="AF147" s="21" t="s">
        <v>26</v>
      </c>
      <c r="AG147" s="21" t="s">
        <v>198</v>
      </c>
      <c r="AH147" s="21" t="s">
        <v>198</v>
      </c>
      <c r="AI147" s="21" t="s">
        <v>26</v>
      </c>
      <c r="AJ147" s="21" t="s">
        <v>198</v>
      </c>
      <c r="AK147" s="21" t="s">
        <v>198</v>
      </c>
      <c r="AL147" s="21" t="s">
        <v>26</v>
      </c>
      <c r="AM147" s="21" t="s">
        <v>198</v>
      </c>
      <c r="AN147" s="21" t="s">
        <v>83</v>
      </c>
      <c r="AO147" s="21" t="s">
        <v>109</v>
      </c>
      <c r="AP147" s="21" t="s">
        <v>109</v>
      </c>
      <c r="AQ147" s="21" t="s">
        <v>109</v>
      </c>
      <c r="AR147" s="21" t="s">
        <v>83</v>
      </c>
      <c r="AS147" s="21" t="s">
        <v>109</v>
      </c>
      <c r="AT147" s="21" t="s">
        <v>109</v>
      </c>
      <c r="AU147" s="21" t="s">
        <v>109</v>
      </c>
      <c r="AV147" s="21" t="s">
        <v>109</v>
      </c>
      <c r="AW147" s="21" t="s">
        <v>109</v>
      </c>
      <c r="AX147" s="21" t="s">
        <v>109</v>
      </c>
      <c r="AY147" s="21" t="s">
        <v>109</v>
      </c>
      <c r="AZ147" s="21" t="s">
        <v>109</v>
      </c>
      <c r="BA147" s="17" t="s">
        <v>310</v>
      </c>
      <c r="BB147" s="17" t="s">
        <v>250</v>
      </c>
      <c r="BC147" s="18">
        <f>--ISNUMBER(SEARCH("Radio or television",BA147))</f>
        <v>0</v>
      </c>
      <c r="BD147" s="18">
        <f>--ISNUMBER(SEARCH("Newspapers or print media",BA147))</f>
        <v>0</v>
      </c>
      <c r="BE147" s="18">
        <f>--ISNUMBER(SEARCH("Social media (e.g. Facebook, WhatsApp, YouTube, X/Twitter)",BA147))</f>
        <v>1</v>
      </c>
      <c r="BF147" s="18">
        <f>--ISNUMBER(SEARCH("Family members",BA147))</f>
        <v>0</v>
      </c>
      <c r="BG147" s="18">
        <f>--ISNUMBER(SEARCH("Friends or fellow students",BA147))</f>
        <v>0</v>
      </c>
      <c r="BH147" s="18">
        <f>--ISNUMBER(SEARCH("School coursework or lectures",BA147))</f>
        <v>1</v>
      </c>
      <c r="BI147" s="18">
        <f>--ISNUMBER(SEARCH("NHIMA outreach activities or NHIMA offices",BA147))</f>
        <v>1</v>
      </c>
      <c r="BJ147" s="18">
        <f>--ISNUMBER(SEARCH("Health facility staff",BA147))</f>
        <v>1</v>
      </c>
      <c r="BK147" s="18">
        <f>--ISNUMBER(SEARCH("not received information",BA147))</f>
        <v>0</v>
      </c>
      <c r="BL147" s="18">
        <f>IF(T147="","",--(T147='Codebook'!$F$13))</f>
        <v>1</v>
      </c>
      <c r="BM147" s="18">
        <f>IF(U147="","",--(U147='Codebook'!$F$14))</f>
        <v>1</v>
      </c>
      <c r="BN147" s="18">
        <f>IF(V147="","",--(V147='Codebook'!$F$15))</f>
        <v>1</v>
      </c>
      <c r="BO147" s="18">
        <f>IF(W147="","",--(W147='Codebook'!$F$16))</f>
        <v>1</v>
      </c>
      <c r="BP147" s="18">
        <f>IF(X147="","",--(X147='Codebook'!$F$17))</f>
        <v>1</v>
      </c>
      <c r="BQ147" s="18">
        <f>IF(Y147="","",--(Y147='Codebook'!$F$18))</f>
        <v>1</v>
      </c>
      <c r="BR147" s="18">
        <f>IF(Z147="","",--(Z147='Codebook'!$F$19))</f>
        <v>1</v>
      </c>
      <c r="BS147" s="18">
        <f>IF(AA147="","",--(AA147='Codebook'!$F$20))</f>
        <v>1</v>
      </c>
      <c r="BT147" s="18">
        <f>IF(AB147="","",--(AB147='Codebook'!$F$21))</f>
        <v>1</v>
      </c>
      <c r="BU147" s="18">
        <f>IF(AC147="","",--(AC147='Codebook'!$F$22))</f>
        <v>1</v>
      </c>
      <c r="BV147" s="18">
        <f>IF(AD147="","",--(AD147='Codebook'!$F$23))</f>
        <v>1</v>
      </c>
      <c r="BW147" s="18">
        <f>IF(AE147="","",--(AE147='Codebook'!$F$24))</f>
        <v>1</v>
      </c>
      <c r="BX147" s="18">
        <f>IF(AF147="","",--(AF147='Codebook'!$F$25))</f>
        <v>1</v>
      </c>
      <c r="BY147" s="18">
        <f>IF(AG147="","",--(AG147='Codebook'!$F$26))</f>
        <v>0</v>
      </c>
      <c r="BZ147" s="18">
        <f>IF(AH147="","",--(AH147='Codebook'!$F$27))</f>
        <v>0</v>
      </c>
      <c r="CA147" s="18">
        <f>IF(AI147="","",--(AI147='Codebook'!$F$28))</f>
        <v>1</v>
      </c>
      <c r="CB147" s="18">
        <f>IF(AJ147="","",--(AJ147='Codebook'!$F$29))</f>
        <v>0</v>
      </c>
      <c r="CC147" s="18">
        <f>IF(AK147="","",--(AK147='Codebook'!$F$30))</f>
        <v>0</v>
      </c>
      <c r="CD147" s="18">
        <f>IF(AL147="","",--(AL147='Codebook'!$F$31))</f>
        <v>1</v>
      </c>
      <c r="CE147" s="18">
        <f>IF(AM147="","",--(AM147='Codebook'!$F$32))</f>
        <v>0</v>
      </c>
      <c r="CF147" s="18">
        <f>IF(AN147="","",--(AN147='Codebook'!$F$33))</f>
        <v>1</v>
      </c>
      <c r="CG147" s="18">
        <f>IF(AO147="","",--(AO147='Codebook'!$F$34))</f>
        <v>0</v>
      </c>
      <c r="CH147" s="18">
        <f>IF(AP147="","",--(AP147='Codebook'!$F$35))</f>
        <v>0</v>
      </c>
      <c r="CI147" s="18">
        <f>IF(AQ147="","",--(AQ147='Codebook'!$F$36))</f>
        <v>0</v>
      </c>
      <c r="CJ147" s="18">
        <f>IF(AR147="","",--(AR147='Codebook'!$F$37))</f>
        <v>1</v>
      </c>
      <c r="CK147" s="18">
        <f>IF(AS147="","",--(AS147='Codebook'!$F$38))</f>
        <v>0</v>
      </c>
      <c r="CL147" s="18">
        <f>IF(AT147="","",--(AT147='Codebook'!$F$39))</f>
        <v>0</v>
      </c>
      <c r="CM147" s="18">
        <f>IF(AU147="","",--(AU147='Codebook'!$F$40))</f>
        <v>1</v>
      </c>
      <c r="CN147" s="18">
        <f>IF(AV147="","",--(AV147='Codebook'!$F$41))</f>
        <v>1</v>
      </c>
      <c r="CO147" s="18">
        <f>IF(AW147="","",--(AW147='Codebook'!$F$42))</f>
        <v>1</v>
      </c>
      <c r="CP147" s="18">
        <f>IF(AX147="","",--(AX147='Codebook'!$F$43))</f>
        <v>1</v>
      </c>
      <c r="CQ147" s="18">
        <f>IF(AY147="","",--(AY147='Codebook'!$F$44))</f>
        <v>1</v>
      </c>
      <c r="CR147" s="18">
        <f>IF(AZ147="","",--(AZ147='Codebook'!$F$45))</f>
        <v>1</v>
      </c>
    </row>
    <row r="148" spans="2:96" ht="24" customHeight="1">
      <c r="B148" s="18">
        <v>143</v>
      </c>
      <c r="C148" s="23">
        <v>46285.29810783565</v>
      </c>
      <c r="D148" s="21" t="s">
        <v>268</v>
      </c>
      <c r="E148" s="21" t="s">
        <v>194</v>
      </c>
      <c r="F148" s="21" t="s">
        <v>201</v>
      </c>
      <c r="G148" s="17" t="s">
        <v>202</v>
      </c>
      <c r="H148" s="21" t="s">
        <v>207</v>
      </c>
      <c r="I148" s="18">
        <f>SUM(BL148:BU148)</f>
        <v>4</v>
      </c>
      <c r="J148" s="18">
        <f>IF(COUNT(BV148:CD148)=9,SUM(BV148:CD148),"")</f>
        <v>6</v>
      </c>
      <c r="K148" s="18">
        <f>SUM(BL148:CD148)</f>
        <v>10</v>
      </c>
      <c r="L148" s="18">
        <f>--(K148&gt;='Codebook'!$C$8)</f>
        <v>0</v>
      </c>
      <c r="M148" s="18">
        <f>--(COUNT(BL148:CD148)=19)</f>
        <v>1</v>
      </c>
      <c r="N148" s="18">
        <f>SUM(CE148:CL148)</f>
        <v>3</v>
      </c>
      <c r="O148" s="18">
        <f>SUM(CM148:CR148)</f>
        <v>5</v>
      </c>
      <c r="P148" s="18">
        <f>N148+O148</f>
        <v>8</v>
      </c>
      <c r="Q148" s="21" t="s">
        <v>197</v>
      </c>
      <c r="R148" s="17" t="s">
        <v>153</v>
      </c>
      <c r="S148" s="18">
        <f>--OR(Overview!$B$6="All",E148=Overview!$B$6)*--OR(Overview!$F$6="All",F148=Overview!$F$6)*--OR(Overview!$J$6="All",G148=Overview!$J$6)*--OR(Overview!$N$6="All",H148=Overview!$N$6)</f>
        <v>1</v>
      </c>
      <c r="T148" s="21" t="s">
        <v>22</v>
      </c>
      <c r="U148" s="21" t="s">
        <v>26</v>
      </c>
      <c r="V148" s="21" t="s">
        <v>26</v>
      </c>
      <c r="W148" s="21" t="s">
        <v>22</v>
      </c>
      <c r="X148" s="21" t="s">
        <v>26</v>
      </c>
      <c r="Y148" s="21" t="s">
        <v>22</v>
      </c>
      <c r="Z148" s="21" t="s">
        <v>26</v>
      </c>
      <c r="AA148" s="21" t="s">
        <v>198</v>
      </c>
      <c r="AB148" s="21" t="s">
        <v>22</v>
      </c>
      <c r="AC148" s="21" t="s">
        <v>26</v>
      </c>
      <c r="AD148" s="21" t="s">
        <v>22</v>
      </c>
      <c r="AE148" s="21" t="s">
        <v>26</v>
      </c>
      <c r="AF148" s="21" t="s">
        <v>26</v>
      </c>
      <c r="AG148" s="21" t="s">
        <v>22</v>
      </c>
      <c r="AH148" s="21" t="s">
        <v>26</v>
      </c>
      <c r="AI148" s="21" t="s">
        <v>22</v>
      </c>
      <c r="AJ148" s="21" t="s">
        <v>26</v>
      </c>
      <c r="AK148" s="21" t="s">
        <v>22</v>
      </c>
      <c r="AL148" s="21" t="s">
        <v>26</v>
      </c>
      <c r="AM148" s="21" t="s">
        <v>109</v>
      </c>
      <c r="AN148" s="21" t="s">
        <v>109</v>
      </c>
      <c r="AO148" s="21" t="s">
        <v>83</v>
      </c>
      <c r="AP148" s="21" t="s">
        <v>83</v>
      </c>
      <c r="AQ148" s="21" t="s">
        <v>83</v>
      </c>
      <c r="AR148" s="21" t="s">
        <v>109</v>
      </c>
      <c r="AS148" s="21" t="s">
        <v>109</v>
      </c>
      <c r="AT148" s="21" t="s">
        <v>109</v>
      </c>
      <c r="AU148" s="21" t="s">
        <v>109</v>
      </c>
      <c r="AV148" s="21" t="s">
        <v>109</v>
      </c>
      <c r="AW148" s="21" t="s">
        <v>109</v>
      </c>
      <c r="AX148" s="21" t="s">
        <v>109</v>
      </c>
      <c r="AY148" s="21" t="s">
        <v>109</v>
      </c>
      <c r="AZ148" s="21" t="s">
        <v>83</v>
      </c>
      <c r="BA148" s="17" t="s">
        <v>250</v>
      </c>
      <c r="BB148" s="17" t="s">
        <v>277</v>
      </c>
      <c r="BC148" s="18">
        <f>--ISNUMBER(SEARCH("Radio or television",BA148))</f>
        <v>0</v>
      </c>
      <c r="BD148" s="18">
        <f>--ISNUMBER(SEARCH("Newspapers or print media",BA148))</f>
        <v>0</v>
      </c>
      <c r="BE148" s="18">
        <f>--ISNUMBER(SEARCH("Social media (e.g. Facebook, WhatsApp, YouTube, X/Twitter)",BA148))</f>
        <v>1</v>
      </c>
      <c r="BF148" s="18">
        <f>--ISNUMBER(SEARCH("Family members",BA148))</f>
        <v>0</v>
      </c>
      <c r="BG148" s="18">
        <f>--ISNUMBER(SEARCH("Friends or fellow students",BA148))</f>
        <v>0</v>
      </c>
      <c r="BH148" s="18">
        <f>--ISNUMBER(SEARCH("School coursework or lectures",BA148))</f>
        <v>0</v>
      </c>
      <c r="BI148" s="18">
        <f>--ISNUMBER(SEARCH("NHIMA outreach activities or NHIMA offices",BA148))</f>
        <v>0</v>
      </c>
      <c r="BJ148" s="18">
        <f>--ISNUMBER(SEARCH("Health facility staff",BA148))</f>
        <v>0</v>
      </c>
      <c r="BK148" s="18">
        <f>--ISNUMBER(SEARCH("not received information",BA148))</f>
        <v>0</v>
      </c>
      <c r="BL148" s="18">
        <f>IF(T148="","",--(T148='Codebook'!$F$13))</f>
        <v>1</v>
      </c>
      <c r="BM148" s="18">
        <f>IF(U148="","",--(U148='Codebook'!$F$14))</f>
        <v>1</v>
      </c>
      <c r="BN148" s="18">
        <f>IF(V148="","",--(V148='Codebook'!$F$15))</f>
        <v>1</v>
      </c>
      <c r="BO148" s="18">
        <f>IF(W148="","",--(W148='Codebook'!$F$16))</f>
        <v>1</v>
      </c>
      <c r="BP148" s="18">
        <f>IF(X148="","",--(X148='Codebook'!$F$17))</f>
        <v>0</v>
      </c>
      <c r="BQ148" s="18">
        <f>IF(Y148="","",--(Y148='Codebook'!$F$18))</f>
        <v>0</v>
      </c>
      <c r="BR148" s="18">
        <f>IF(Z148="","",--(Z148='Codebook'!$F$19))</f>
        <v>0</v>
      </c>
      <c r="BS148" s="18">
        <f>IF(AA148="","",--(AA148='Codebook'!$F$20))</f>
        <v>0</v>
      </c>
      <c r="BT148" s="18">
        <f>IF(AB148="","",--(AB148='Codebook'!$F$21))</f>
        <v>0</v>
      </c>
      <c r="BU148" s="18">
        <f>IF(AC148="","",--(AC148='Codebook'!$F$22))</f>
        <v>0</v>
      </c>
      <c r="BV148" s="18">
        <f>IF(AD148="","",--(AD148='Codebook'!$F$23))</f>
        <v>1</v>
      </c>
      <c r="BW148" s="18">
        <f>IF(AE148="","",--(AE148='Codebook'!$F$24))</f>
        <v>0</v>
      </c>
      <c r="BX148" s="18">
        <f>IF(AF148="","",--(AF148='Codebook'!$F$25))</f>
        <v>1</v>
      </c>
      <c r="BY148" s="18">
        <f>IF(AG148="","",--(AG148='Codebook'!$F$26))</f>
        <v>1</v>
      </c>
      <c r="BZ148" s="18">
        <f>IF(AH148="","",--(AH148='Codebook'!$F$27))</f>
        <v>0</v>
      </c>
      <c r="CA148" s="18">
        <f>IF(AI148="","",--(AI148='Codebook'!$F$28))</f>
        <v>0</v>
      </c>
      <c r="CB148" s="18">
        <f>IF(AJ148="","",--(AJ148='Codebook'!$F$29))</f>
        <v>1</v>
      </c>
      <c r="CC148" s="18">
        <f>IF(AK148="","",--(AK148='Codebook'!$F$30))</f>
        <v>1</v>
      </c>
      <c r="CD148" s="18">
        <f>IF(AL148="","",--(AL148='Codebook'!$F$31))</f>
        <v>1</v>
      </c>
      <c r="CE148" s="18">
        <f>IF(AM148="","",--(AM148='Codebook'!$F$32))</f>
        <v>0</v>
      </c>
      <c r="CF148" s="18">
        <f>IF(AN148="","",--(AN148='Codebook'!$F$33))</f>
        <v>0</v>
      </c>
      <c r="CG148" s="18">
        <f>IF(AO148="","",--(AO148='Codebook'!$F$34))</f>
        <v>1</v>
      </c>
      <c r="CH148" s="18">
        <f>IF(AP148="","",--(AP148='Codebook'!$F$35))</f>
        <v>1</v>
      </c>
      <c r="CI148" s="18">
        <f>IF(AQ148="","",--(AQ148='Codebook'!$F$36))</f>
        <v>1</v>
      </c>
      <c r="CJ148" s="18">
        <f>IF(AR148="","",--(AR148='Codebook'!$F$37))</f>
        <v>0</v>
      </c>
      <c r="CK148" s="18">
        <f>IF(AS148="","",--(AS148='Codebook'!$F$38))</f>
        <v>0</v>
      </c>
      <c r="CL148" s="18">
        <f>IF(AT148="","",--(AT148='Codebook'!$F$39))</f>
        <v>0</v>
      </c>
      <c r="CM148" s="18">
        <f>IF(AU148="","",--(AU148='Codebook'!$F$40))</f>
        <v>1</v>
      </c>
      <c r="CN148" s="18">
        <f>IF(AV148="","",--(AV148='Codebook'!$F$41))</f>
        <v>1</v>
      </c>
      <c r="CO148" s="18">
        <f>IF(AW148="","",--(AW148='Codebook'!$F$42))</f>
        <v>1</v>
      </c>
      <c r="CP148" s="18">
        <f>IF(AX148="","",--(AX148='Codebook'!$F$43))</f>
        <v>1</v>
      </c>
      <c r="CQ148" s="18">
        <f>IF(AY148="","",--(AY148='Codebook'!$F$44))</f>
        <v>1</v>
      </c>
      <c r="CR148" s="18">
        <f>IF(AZ148="","",--(AZ148='Codebook'!$F$45))</f>
        <v>0</v>
      </c>
    </row>
    <row r="149" spans="2:96" ht="24" customHeight="1">
      <c r="B149" s="18">
        <v>144</v>
      </c>
      <c r="C149" s="23">
        <v>46285.30140635416</v>
      </c>
      <c r="D149" s="21" t="s">
        <v>268</v>
      </c>
      <c r="E149" s="21" t="s">
        <v>194</v>
      </c>
      <c r="F149" s="21" t="s">
        <v>201</v>
      </c>
      <c r="G149" s="17" t="s">
        <v>202</v>
      </c>
      <c r="H149" s="21" t="s">
        <v>197</v>
      </c>
      <c r="I149" s="18">
        <f>SUM(BL149:BU149)</f>
        <v>6</v>
      </c>
      <c r="J149" s="18">
        <f>IF(COUNT(BV149:CD149)=9,SUM(BV149:CD149),"")</f>
        <v>4</v>
      </c>
      <c r="K149" s="18">
        <f>SUM(BL149:CD149)</f>
        <v>10</v>
      </c>
      <c r="L149" s="18">
        <f>--(K149&gt;='Codebook'!$C$8)</f>
        <v>0</v>
      </c>
      <c r="M149" s="18">
        <f>--(COUNT(BL149:CD149)=19)</f>
        <v>1</v>
      </c>
      <c r="N149" s="18">
        <f>SUM(CE149:CL149)</f>
        <v>2</v>
      </c>
      <c r="O149" s="18">
        <f>SUM(CM149:CR149)</f>
        <v>4</v>
      </c>
      <c r="P149" s="18">
        <f>N149+O149</f>
        <v>6</v>
      </c>
      <c r="Q149" s="21" t="s">
        <v>197</v>
      </c>
      <c r="R149" s="17" t="s">
        <v>216</v>
      </c>
      <c r="S149" s="18">
        <f>--OR(Overview!$B$6="All",E149=Overview!$B$6)*--OR(Overview!$F$6="All",F149=Overview!$F$6)*--OR(Overview!$J$6="All",G149=Overview!$J$6)*--OR(Overview!$N$6="All",H149=Overview!$N$6)</f>
        <v>1</v>
      </c>
      <c r="T149" s="21" t="s">
        <v>22</v>
      </c>
      <c r="U149" s="21" t="s">
        <v>26</v>
      </c>
      <c r="V149" s="21" t="s">
        <v>22</v>
      </c>
      <c r="W149" s="21" t="s">
        <v>22</v>
      </c>
      <c r="X149" s="21" t="s">
        <v>22</v>
      </c>
      <c r="Y149" s="21" t="s">
        <v>26</v>
      </c>
      <c r="Z149" s="21" t="s">
        <v>26</v>
      </c>
      <c r="AA149" s="21" t="s">
        <v>26</v>
      </c>
      <c r="AB149" s="21" t="s">
        <v>22</v>
      </c>
      <c r="AC149" s="21" t="s">
        <v>22</v>
      </c>
      <c r="AD149" s="21" t="s">
        <v>26</v>
      </c>
      <c r="AE149" s="21" t="s">
        <v>26</v>
      </c>
      <c r="AF149" s="21" t="s">
        <v>22</v>
      </c>
      <c r="AG149" s="21" t="s">
        <v>26</v>
      </c>
      <c r="AH149" s="21" t="s">
        <v>22</v>
      </c>
      <c r="AI149" s="21" t="s">
        <v>22</v>
      </c>
      <c r="AJ149" s="21" t="s">
        <v>26</v>
      </c>
      <c r="AK149" s="21" t="s">
        <v>22</v>
      </c>
      <c r="AL149" s="21" t="s">
        <v>26</v>
      </c>
      <c r="AM149" s="21" t="s">
        <v>83</v>
      </c>
      <c r="AN149" s="21" t="s">
        <v>83</v>
      </c>
      <c r="AO149" s="21" t="s">
        <v>109</v>
      </c>
      <c r="AP149" s="21" t="s">
        <v>109</v>
      </c>
      <c r="AQ149" s="21" t="s">
        <v>198</v>
      </c>
      <c r="AR149" s="21" t="s">
        <v>109</v>
      </c>
      <c r="AS149" s="21" t="s">
        <v>109</v>
      </c>
      <c r="AT149" s="21" t="s">
        <v>109</v>
      </c>
      <c r="AU149" s="21" t="s">
        <v>109</v>
      </c>
      <c r="AV149" s="21" t="s">
        <v>109</v>
      </c>
      <c r="AW149" s="21" t="s">
        <v>109</v>
      </c>
      <c r="AX149" s="21" t="s">
        <v>83</v>
      </c>
      <c r="AY149" s="21" t="s">
        <v>198</v>
      </c>
      <c r="AZ149" s="21" t="s">
        <v>109</v>
      </c>
      <c r="BA149" s="17" t="s">
        <v>223</v>
      </c>
      <c r="BB149" s="17" t="s">
        <v>311</v>
      </c>
      <c r="BC149" s="18">
        <f>--ISNUMBER(SEARCH("Radio or television",BA149))</f>
        <v>1</v>
      </c>
      <c r="BD149" s="18">
        <f>--ISNUMBER(SEARCH("Newspapers or print media",BA149))</f>
        <v>0</v>
      </c>
      <c r="BE149" s="18">
        <f>--ISNUMBER(SEARCH("Social media (e.g. Facebook, WhatsApp, YouTube, X/Twitter)",BA149))</f>
        <v>0</v>
      </c>
      <c r="BF149" s="18">
        <f>--ISNUMBER(SEARCH("Family members",BA149))</f>
        <v>0</v>
      </c>
      <c r="BG149" s="18">
        <f>--ISNUMBER(SEARCH("Friends or fellow students",BA149))</f>
        <v>0</v>
      </c>
      <c r="BH149" s="18">
        <f>--ISNUMBER(SEARCH("School coursework or lectures",BA149))</f>
        <v>0</v>
      </c>
      <c r="BI149" s="18">
        <f>--ISNUMBER(SEARCH("NHIMA outreach activities or NHIMA offices",BA149))</f>
        <v>0</v>
      </c>
      <c r="BJ149" s="18">
        <f>--ISNUMBER(SEARCH("Health facility staff",BA149))</f>
        <v>0</v>
      </c>
      <c r="BK149" s="18">
        <f>--ISNUMBER(SEARCH("not received information",BA149))</f>
        <v>0</v>
      </c>
      <c r="BL149" s="18">
        <f>IF(T149="","",--(T149='Codebook'!$F$13))</f>
        <v>1</v>
      </c>
      <c r="BM149" s="18">
        <f>IF(U149="","",--(U149='Codebook'!$F$14))</f>
        <v>1</v>
      </c>
      <c r="BN149" s="18">
        <f>IF(V149="","",--(V149='Codebook'!$F$15))</f>
        <v>0</v>
      </c>
      <c r="BO149" s="18">
        <f>IF(W149="","",--(W149='Codebook'!$F$16))</f>
        <v>1</v>
      </c>
      <c r="BP149" s="18">
        <f>IF(X149="","",--(X149='Codebook'!$F$17))</f>
        <v>1</v>
      </c>
      <c r="BQ149" s="18">
        <f>IF(Y149="","",--(Y149='Codebook'!$F$18))</f>
        <v>1</v>
      </c>
      <c r="BR149" s="18">
        <f>IF(Z149="","",--(Z149='Codebook'!$F$19))</f>
        <v>0</v>
      </c>
      <c r="BS149" s="18">
        <f>IF(AA149="","",--(AA149='Codebook'!$F$20))</f>
        <v>0</v>
      </c>
      <c r="BT149" s="18">
        <f>IF(AB149="","",--(AB149='Codebook'!$F$21))</f>
        <v>0</v>
      </c>
      <c r="BU149" s="18">
        <f>IF(AC149="","",--(AC149='Codebook'!$F$22))</f>
        <v>1</v>
      </c>
      <c r="BV149" s="18">
        <f>IF(AD149="","",--(AD149='Codebook'!$F$23))</f>
        <v>0</v>
      </c>
      <c r="BW149" s="18">
        <f>IF(AE149="","",--(AE149='Codebook'!$F$24))</f>
        <v>0</v>
      </c>
      <c r="BX149" s="18">
        <f>IF(AF149="","",--(AF149='Codebook'!$F$25))</f>
        <v>0</v>
      </c>
      <c r="BY149" s="18">
        <f>IF(AG149="","",--(AG149='Codebook'!$F$26))</f>
        <v>0</v>
      </c>
      <c r="BZ149" s="18">
        <f>IF(AH149="","",--(AH149='Codebook'!$F$27))</f>
        <v>1</v>
      </c>
      <c r="CA149" s="18">
        <f>IF(AI149="","",--(AI149='Codebook'!$F$28))</f>
        <v>0</v>
      </c>
      <c r="CB149" s="18">
        <f>IF(AJ149="","",--(AJ149='Codebook'!$F$29))</f>
        <v>1</v>
      </c>
      <c r="CC149" s="18">
        <f>IF(AK149="","",--(AK149='Codebook'!$F$30))</f>
        <v>1</v>
      </c>
      <c r="CD149" s="18">
        <f>IF(AL149="","",--(AL149='Codebook'!$F$31))</f>
        <v>1</v>
      </c>
      <c r="CE149" s="18">
        <f>IF(AM149="","",--(AM149='Codebook'!$F$32))</f>
        <v>1</v>
      </c>
      <c r="CF149" s="18">
        <f>IF(AN149="","",--(AN149='Codebook'!$F$33))</f>
        <v>1</v>
      </c>
      <c r="CG149" s="18">
        <f>IF(AO149="","",--(AO149='Codebook'!$F$34))</f>
        <v>0</v>
      </c>
      <c r="CH149" s="18">
        <f>IF(AP149="","",--(AP149='Codebook'!$F$35))</f>
        <v>0</v>
      </c>
      <c r="CI149" s="18">
        <f>IF(AQ149="","",--(AQ149='Codebook'!$F$36))</f>
        <v>0</v>
      </c>
      <c r="CJ149" s="18">
        <f>IF(AR149="","",--(AR149='Codebook'!$F$37))</f>
        <v>0</v>
      </c>
      <c r="CK149" s="18">
        <f>IF(AS149="","",--(AS149='Codebook'!$F$38))</f>
        <v>0</v>
      </c>
      <c r="CL149" s="18">
        <f>IF(AT149="","",--(AT149='Codebook'!$F$39))</f>
        <v>0</v>
      </c>
      <c r="CM149" s="18">
        <f>IF(AU149="","",--(AU149='Codebook'!$F$40))</f>
        <v>1</v>
      </c>
      <c r="CN149" s="18">
        <f>IF(AV149="","",--(AV149='Codebook'!$F$41))</f>
        <v>1</v>
      </c>
      <c r="CO149" s="18">
        <f>IF(AW149="","",--(AW149='Codebook'!$F$42))</f>
        <v>1</v>
      </c>
      <c r="CP149" s="18">
        <f>IF(AX149="","",--(AX149='Codebook'!$F$43))</f>
        <v>0</v>
      </c>
      <c r="CQ149" s="18">
        <f>IF(AY149="","",--(AY149='Codebook'!$F$44))</f>
        <v>0</v>
      </c>
      <c r="CR149" s="18">
        <f>IF(AZ149="","",--(AZ149='Codebook'!$F$45))</f>
        <v>1</v>
      </c>
    </row>
    <row r="150" spans="2:96" ht="24" customHeight="1">
      <c r="B150" s="18">
        <v>145</v>
      </c>
      <c r="C150" s="23">
        <v>46285.33127362269</v>
      </c>
      <c r="D150" s="21" t="s">
        <v>268</v>
      </c>
      <c r="E150" s="21" t="s">
        <v>194</v>
      </c>
      <c r="F150" s="21" t="s">
        <v>226</v>
      </c>
      <c r="G150" s="17" t="s">
        <v>202</v>
      </c>
      <c r="H150" s="21" t="s">
        <v>207</v>
      </c>
      <c r="I150" s="18">
        <f>SUM(BL150:BU150)</f>
        <v>0</v>
      </c>
      <c r="J150" s="18">
        <f>IF(COUNT(BV150:CD150)=9,SUM(BV150:CD150),"")</f>
        <v>1</v>
      </c>
      <c r="K150" s="18">
        <f>SUM(BL150:CD150)</f>
        <v>1</v>
      </c>
      <c r="L150" s="18">
        <f>--(K150&gt;='Codebook'!$C$8)</f>
        <v>0</v>
      </c>
      <c r="M150" s="18">
        <f>--(COUNT(BL150:CD150)=19)</f>
        <v>1</v>
      </c>
      <c r="N150" s="18">
        <f>SUM(CE150:CL150)</f>
        <v>4</v>
      </c>
      <c r="O150" s="18">
        <f>SUM(CM150:CR150)</f>
        <v>4</v>
      </c>
      <c r="P150" s="18">
        <f>N150+O150</f>
        <v>8</v>
      </c>
      <c r="Q150" s="21" t="s">
        <v>197</v>
      </c>
      <c r="R150" s="17" t="s">
        <v>152</v>
      </c>
      <c r="S150" s="18">
        <f>--OR(Overview!$B$6="All",E150=Overview!$B$6)*--OR(Overview!$F$6="All",F150=Overview!$F$6)*--OR(Overview!$J$6="All",G150=Overview!$J$6)*--OR(Overview!$N$6="All",H150=Overview!$N$6)</f>
        <v>1</v>
      </c>
      <c r="T150" s="21" t="s">
        <v>198</v>
      </c>
      <c r="U150" s="21" t="s">
        <v>198</v>
      </c>
      <c r="V150" s="21" t="s">
        <v>198</v>
      </c>
      <c r="W150" s="21" t="s">
        <v>198</v>
      </c>
      <c r="X150" s="21" t="s">
        <v>198</v>
      </c>
      <c r="Y150" s="21" t="s">
        <v>198</v>
      </c>
      <c r="Z150" s="21" t="s">
        <v>198</v>
      </c>
      <c r="AA150" s="21" t="s">
        <v>198</v>
      </c>
      <c r="AB150" s="21" t="s">
        <v>198</v>
      </c>
      <c r="AC150" s="21" t="s">
        <v>198</v>
      </c>
      <c r="AD150" s="21" t="s">
        <v>198</v>
      </c>
      <c r="AE150" s="21" t="s">
        <v>198</v>
      </c>
      <c r="AF150" s="21" t="s">
        <v>198</v>
      </c>
      <c r="AG150" s="21" t="s">
        <v>198</v>
      </c>
      <c r="AH150" s="21" t="s">
        <v>198</v>
      </c>
      <c r="AI150" s="21" t="s">
        <v>22</v>
      </c>
      <c r="AJ150" s="21" t="s">
        <v>22</v>
      </c>
      <c r="AK150" s="21" t="s">
        <v>22</v>
      </c>
      <c r="AL150" s="21" t="s">
        <v>22</v>
      </c>
      <c r="AM150" s="21" t="s">
        <v>83</v>
      </c>
      <c r="AN150" s="21" t="s">
        <v>109</v>
      </c>
      <c r="AO150" s="21" t="s">
        <v>109</v>
      </c>
      <c r="AP150" s="21" t="s">
        <v>109</v>
      </c>
      <c r="AQ150" s="21" t="s">
        <v>83</v>
      </c>
      <c r="AR150" s="21" t="s">
        <v>109</v>
      </c>
      <c r="AS150" s="21" t="s">
        <v>83</v>
      </c>
      <c r="AT150" s="21" t="s">
        <v>83</v>
      </c>
      <c r="AU150" s="21" t="s">
        <v>83</v>
      </c>
      <c r="AV150" s="21" t="s">
        <v>109</v>
      </c>
      <c r="AW150" s="21" t="s">
        <v>109</v>
      </c>
      <c r="AX150" s="21" t="s">
        <v>83</v>
      </c>
      <c r="AY150" s="21" t="s">
        <v>109</v>
      </c>
      <c r="AZ150" s="21" t="s">
        <v>109</v>
      </c>
      <c r="BA150" s="17" t="s">
        <v>250</v>
      </c>
      <c r="BB150" s="17" t="s">
        <v>223</v>
      </c>
      <c r="BC150" s="18">
        <f>--ISNUMBER(SEARCH("Radio or television",BA150))</f>
        <v>0</v>
      </c>
      <c r="BD150" s="18">
        <f>--ISNUMBER(SEARCH("Newspapers or print media",BA150))</f>
        <v>0</v>
      </c>
      <c r="BE150" s="18">
        <f>--ISNUMBER(SEARCH("Social media (e.g. Facebook, WhatsApp, YouTube, X/Twitter)",BA150))</f>
        <v>1</v>
      </c>
      <c r="BF150" s="18">
        <f>--ISNUMBER(SEARCH("Family members",BA150))</f>
        <v>0</v>
      </c>
      <c r="BG150" s="18">
        <f>--ISNUMBER(SEARCH("Friends or fellow students",BA150))</f>
        <v>0</v>
      </c>
      <c r="BH150" s="18">
        <f>--ISNUMBER(SEARCH("School coursework or lectures",BA150))</f>
        <v>0</v>
      </c>
      <c r="BI150" s="18">
        <f>--ISNUMBER(SEARCH("NHIMA outreach activities or NHIMA offices",BA150))</f>
        <v>0</v>
      </c>
      <c r="BJ150" s="18">
        <f>--ISNUMBER(SEARCH("Health facility staff",BA150))</f>
        <v>0</v>
      </c>
      <c r="BK150" s="18">
        <f>--ISNUMBER(SEARCH("not received information",BA150))</f>
        <v>0</v>
      </c>
      <c r="BL150" s="18">
        <f>IF(T150="","",--(T150='Codebook'!$F$13))</f>
        <v>0</v>
      </c>
      <c r="BM150" s="18">
        <f>IF(U150="","",--(U150='Codebook'!$F$14))</f>
        <v>0</v>
      </c>
      <c r="BN150" s="18">
        <f>IF(V150="","",--(V150='Codebook'!$F$15))</f>
        <v>0</v>
      </c>
      <c r="BO150" s="18">
        <f>IF(W150="","",--(W150='Codebook'!$F$16))</f>
        <v>0</v>
      </c>
      <c r="BP150" s="18">
        <f>IF(X150="","",--(X150='Codebook'!$F$17))</f>
        <v>0</v>
      </c>
      <c r="BQ150" s="18">
        <f>IF(Y150="","",--(Y150='Codebook'!$F$18))</f>
        <v>0</v>
      </c>
      <c r="BR150" s="18">
        <f>IF(Z150="","",--(Z150='Codebook'!$F$19))</f>
        <v>0</v>
      </c>
      <c r="BS150" s="18">
        <f>IF(AA150="","",--(AA150='Codebook'!$F$20))</f>
        <v>0</v>
      </c>
      <c r="BT150" s="18">
        <f>IF(AB150="","",--(AB150='Codebook'!$F$21))</f>
        <v>0</v>
      </c>
      <c r="BU150" s="18">
        <f>IF(AC150="","",--(AC150='Codebook'!$F$22))</f>
        <v>0</v>
      </c>
      <c r="BV150" s="18">
        <f>IF(AD150="","",--(AD150='Codebook'!$F$23))</f>
        <v>0</v>
      </c>
      <c r="BW150" s="18">
        <f>IF(AE150="","",--(AE150='Codebook'!$F$24))</f>
        <v>0</v>
      </c>
      <c r="BX150" s="18">
        <f>IF(AF150="","",--(AF150='Codebook'!$F$25))</f>
        <v>0</v>
      </c>
      <c r="BY150" s="18">
        <f>IF(AG150="","",--(AG150='Codebook'!$F$26))</f>
        <v>0</v>
      </c>
      <c r="BZ150" s="18">
        <f>IF(AH150="","",--(AH150='Codebook'!$F$27))</f>
        <v>0</v>
      </c>
      <c r="CA150" s="18">
        <f>IF(AI150="","",--(AI150='Codebook'!$F$28))</f>
        <v>0</v>
      </c>
      <c r="CB150" s="18">
        <f>IF(AJ150="","",--(AJ150='Codebook'!$F$29))</f>
        <v>0</v>
      </c>
      <c r="CC150" s="18">
        <f>IF(AK150="","",--(AK150='Codebook'!$F$30))</f>
        <v>1</v>
      </c>
      <c r="CD150" s="18">
        <f>IF(AL150="","",--(AL150='Codebook'!$F$31))</f>
        <v>0</v>
      </c>
      <c r="CE150" s="18">
        <f>IF(AM150="","",--(AM150='Codebook'!$F$32))</f>
        <v>1</v>
      </c>
      <c r="CF150" s="18">
        <f>IF(AN150="","",--(AN150='Codebook'!$F$33))</f>
        <v>0</v>
      </c>
      <c r="CG150" s="18">
        <f>IF(AO150="","",--(AO150='Codebook'!$F$34))</f>
        <v>0</v>
      </c>
      <c r="CH150" s="18">
        <f>IF(AP150="","",--(AP150='Codebook'!$F$35))</f>
        <v>0</v>
      </c>
      <c r="CI150" s="18">
        <f>IF(AQ150="","",--(AQ150='Codebook'!$F$36))</f>
        <v>1</v>
      </c>
      <c r="CJ150" s="18">
        <f>IF(AR150="","",--(AR150='Codebook'!$F$37))</f>
        <v>0</v>
      </c>
      <c r="CK150" s="18">
        <f>IF(AS150="","",--(AS150='Codebook'!$F$38))</f>
        <v>1</v>
      </c>
      <c r="CL150" s="18">
        <f>IF(AT150="","",--(AT150='Codebook'!$F$39))</f>
        <v>1</v>
      </c>
      <c r="CM150" s="18">
        <f>IF(AU150="","",--(AU150='Codebook'!$F$40))</f>
        <v>0</v>
      </c>
      <c r="CN150" s="18">
        <f>IF(AV150="","",--(AV150='Codebook'!$F$41))</f>
        <v>1</v>
      </c>
      <c r="CO150" s="18">
        <f>IF(AW150="","",--(AW150='Codebook'!$F$42))</f>
        <v>1</v>
      </c>
      <c r="CP150" s="18">
        <f>IF(AX150="","",--(AX150='Codebook'!$F$43))</f>
        <v>0</v>
      </c>
      <c r="CQ150" s="18">
        <f>IF(AY150="","",--(AY150='Codebook'!$F$44))</f>
        <v>1</v>
      </c>
      <c r="CR150" s="18">
        <f>IF(AZ150="","",--(AZ150='Codebook'!$F$45))</f>
        <v>1</v>
      </c>
    </row>
    <row r="151" spans="2:96" ht="24" customHeight="1">
      <c r="B151" s="18">
        <v>146</v>
      </c>
      <c r="C151" s="23">
        <v>46285.33283344907</v>
      </c>
      <c r="D151" s="21" t="s">
        <v>275</v>
      </c>
      <c r="E151" s="21" t="s">
        <v>206</v>
      </c>
      <c r="F151" s="21" t="s">
        <v>226</v>
      </c>
      <c r="G151" s="17" t="s">
        <v>202</v>
      </c>
      <c r="H151" s="21" t="s">
        <v>197</v>
      </c>
      <c r="I151" s="18">
        <f>SUM(BL151:BU151)</f>
        <v>2</v>
      </c>
      <c r="J151" s="18">
        <f>IF(COUNT(BV151:CD151)=9,SUM(BV151:CD151),"")</f>
        <v>3</v>
      </c>
      <c r="K151" s="18">
        <f>SUM(BL151:CD151)</f>
        <v>5</v>
      </c>
      <c r="L151" s="18">
        <f>--(K151&gt;='Codebook'!$C$8)</f>
        <v>0</v>
      </c>
      <c r="M151" s="18">
        <f>--(COUNT(BL151:CD151)=19)</f>
        <v>1</v>
      </c>
      <c r="N151" s="18">
        <f>SUM(CE151:CL151)</f>
        <v>1</v>
      </c>
      <c r="O151" s="18">
        <f>SUM(CM151:CR151)</f>
        <v>0</v>
      </c>
      <c r="P151" s="18">
        <f>N151+O151</f>
        <v>1</v>
      </c>
      <c r="Q151" s="21" t="s">
        <v>197</v>
      </c>
      <c r="R151" s="17" t="s">
        <v>152</v>
      </c>
      <c r="S151" s="18">
        <f>--OR(Overview!$B$6="All",E151=Overview!$B$6)*--OR(Overview!$F$6="All",F151=Overview!$F$6)*--OR(Overview!$J$6="All",G151=Overview!$J$6)*--OR(Overview!$N$6="All",H151=Overview!$N$6)</f>
        <v>1</v>
      </c>
      <c r="T151" s="21" t="s">
        <v>22</v>
      </c>
      <c r="U151" s="21" t="s">
        <v>198</v>
      </c>
      <c r="V151" s="21" t="s">
        <v>198</v>
      </c>
      <c r="W151" s="21" t="s">
        <v>198</v>
      </c>
      <c r="X151" s="21" t="s">
        <v>198</v>
      </c>
      <c r="Y151" s="21" t="s">
        <v>198</v>
      </c>
      <c r="Z151" s="21" t="s">
        <v>198</v>
      </c>
      <c r="AA151" s="21" t="s">
        <v>198</v>
      </c>
      <c r="AB151" s="21" t="s">
        <v>198</v>
      </c>
      <c r="AC151" s="21" t="s">
        <v>22</v>
      </c>
      <c r="AD151" s="21" t="s">
        <v>198</v>
      </c>
      <c r="AE151" s="21" t="s">
        <v>26</v>
      </c>
      <c r="AF151" s="21" t="s">
        <v>26</v>
      </c>
      <c r="AG151" s="21" t="s">
        <v>26</v>
      </c>
      <c r="AH151" s="21" t="s">
        <v>198</v>
      </c>
      <c r="AI151" s="21" t="s">
        <v>26</v>
      </c>
      <c r="AJ151" s="21" t="s">
        <v>26</v>
      </c>
      <c r="AK151" s="21" t="s">
        <v>198</v>
      </c>
      <c r="AL151" s="21" t="s">
        <v>198</v>
      </c>
      <c r="AM151" s="21" t="s">
        <v>109</v>
      </c>
      <c r="AN151" s="21" t="s">
        <v>83</v>
      </c>
      <c r="AO151" s="21" t="s">
        <v>109</v>
      </c>
      <c r="AP151" s="21" t="s">
        <v>198</v>
      </c>
      <c r="AQ151" s="21" t="s">
        <v>198</v>
      </c>
      <c r="AR151" s="21" t="s">
        <v>198</v>
      </c>
      <c r="AS151" s="21" t="s">
        <v>198</v>
      </c>
      <c r="AT151" s="21" t="s">
        <v>198</v>
      </c>
      <c r="AU151" s="21" t="s">
        <v>198</v>
      </c>
      <c r="AV151" s="21" t="s">
        <v>198</v>
      </c>
      <c r="AW151" s="21" t="s">
        <v>198</v>
      </c>
      <c r="AX151" s="21" t="s">
        <v>198</v>
      </c>
      <c r="AY151" s="21" t="s">
        <v>198</v>
      </c>
      <c r="AZ151" s="21" t="s">
        <v>198</v>
      </c>
      <c r="BA151" s="17" t="s">
        <v>250</v>
      </c>
      <c r="BB151" s="17" t="s">
        <v>223</v>
      </c>
      <c r="BC151" s="18">
        <f>--ISNUMBER(SEARCH("Radio or television",BA151))</f>
        <v>0</v>
      </c>
      <c r="BD151" s="18">
        <f>--ISNUMBER(SEARCH("Newspapers or print media",BA151))</f>
        <v>0</v>
      </c>
      <c r="BE151" s="18">
        <f>--ISNUMBER(SEARCH("Social media (e.g. Facebook, WhatsApp, YouTube, X/Twitter)",BA151))</f>
        <v>1</v>
      </c>
      <c r="BF151" s="18">
        <f>--ISNUMBER(SEARCH("Family members",BA151))</f>
        <v>0</v>
      </c>
      <c r="BG151" s="18">
        <f>--ISNUMBER(SEARCH("Friends or fellow students",BA151))</f>
        <v>0</v>
      </c>
      <c r="BH151" s="18">
        <f>--ISNUMBER(SEARCH("School coursework or lectures",BA151))</f>
        <v>0</v>
      </c>
      <c r="BI151" s="18">
        <f>--ISNUMBER(SEARCH("NHIMA outreach activities or NHIMA offices",BA151))</f>
        <v>0</v>
      </c>
      <c r="BJ151" s="18">
        <f>--ISNUMBER(SEARCH("Health facility staff",BA151))</f>
        <v>0</v>
      </c>
      <c r="BK151" s="18">
        <f>--ISNUMBER(SEARCH("not received information",BA151))</f>
        <v>0</v>
      </c>
      <c r="BL151" s="18">
        <f>IF(T151="","",--(T151='Codebook'!$F$13))</f>
        <v>1</v>
      </c>
      <c r="BM151" s="18">
        <f>IF(U151="","",--(U151='Codebook'!$F$14))</f>
        <v>0</v>
      </c>
      <c r="BN151" s="18">
        <f>IF(V151="","",--(V151='Codebook'!$F$15))</f>
        <v>0</v>
      </c>
      <c r="BO151" s="18">
        <f>IF(W151="","",--(W151='Codebook'!$F$16))</f>
        <v>0</v>
      </c>
      <c r="BP151" s="18">
        <f>IF(X151="","",--(X151='Codebook'!$F$17))</f>
        <v>0</v>
      </c>
      <c r="BQ151" s="18">
        <f>IF(Y151="","",--(Y151='Codebook'!$F$18))</f>
        <v>0</v>
      </c>
      <c r="BR151" s="18">
        <f>IF(Z151="","",--(Z151='Codebook'!$F$19))</f>
        <v>0</v>
      </c>
      <c r="BS151" s="18">
        <f>IF(AA151="","",--(AA151='Codebook'!$F$20))</f>
        <v>0</v>
      </c>
      <c r="BT151" s="18">
        <f>IF(AB151="","",--(AB151='Codebook'!$F$21))</f>
        <v>0</v>
      </c>
      <c r="BU151" s="18">
        <f>IF(AC151="","",--(AC151='Codebook'!$F$22))</f>
        <v>1</v>
      </c>
      <c r="BV151" s="18">
        <f>IF(AD151="","",--(AD151='Codebook'!$F$23))</f>
        <v>0</v>
      </c>
      <c r="BW151" s="18">
        <f>IF(AE151="","",--(AE151='Codebook'!$F$24))</f>
        <v>0</v>
      </c>
      <c r="BX151" s="18">
        <f>IF(AF151="","",--(AF151='Codebook'!$F$25))</f>
        <v>1</v>
      </c>
      <c r="BY151" s="18">
        <f>IF(AG151="","",--(AG151='Codebook'!$F$26))</f>
        <v>0</v>
      </c>
      <c r="BZ151" s="18">
        <f>IF(AH151="","",--(AH151='Codebook'!$F$27))</f>
        <v>0</v>
      </c>
      <c r="CA151" s="18">
        <f>IF(AI151="","",--(AI151='Codebook'!$F$28))</f>
        <v>1</v>
      </c>
      <c r="CB151" s="18">
        <f>IF(AJ151="","",--(AJ151='Codebook'!$F$29))</f>
        <v>1</v>
      </c>
      <c r="CC151" s="18">
        <f>IF(AK151="","",--(AK151='Codebook'!$F$30))</f>
        <v>0</v>
      </c>
      <c r="CD151" s="18">
        <f>IF(AL151="","",--(AL151='Codebook'!$F$31))</f>
        <v>0</v>
      </c>
      <c r="CE151" s="18">
        <f>IF(AM151="","",--(AM151='Codebook'!$F$32))</f>
        <v>0</v>
      </c>
      <c r="CF151" s="18">
        <f>IF(AN151="","",--(AN151='Codebook'!$F$33))</f>
        <v>1</v>
      </c>
      <c r="CG151" s="18">
        <f>IF(AO151="","",--(AO151='Codebook'!$F$34))</f>
        <v>0</v>
      </c>
      <c r="CH151" s="18">
        <f>IF(AP151="","",--(AP151='Codebook'!$F$35))</f>
        <v>0</v>
      </c>
      <c r="CI151" s="18">
        <f>IF(AQ151="","",--(AQ151='Codebook'!$F$36))</f>
        <v>0</v>
      </c>
      <c r="CJ151" s="18">
        <f>IF(AR151="","",--(AR151='Codebook'!$F$37))</f>
        <v>0</v>
      </c>
      <c r="CK151" s="18">
        <f>IF(AS151="","",--(AS151='Codebook'!$F$38))</f>
        <v>0</v>
      </c>
      <c r="CL151" s="18">
        <f>IF(AT151="","",--(AT151='Codebook'!$F$39))</f>
        <v>0</v>
      </c>
      <c r="CM151" s="18">
        <f>IF(AU151="","",--(AU151='Codebook'!$F$40))</f>
        <v>0</v>
      </c>
      <c r="CN151" s="18">
        <f>IF(AV151="","",--(AV151='Codebook'!$F$41))</f>
        <v>0</v>
      </c>
      <c r="CO151" s="18">
        <f>IF(AW151="","",--(AW151='Codebook'!$F$42))</f>
        <v>0</v>
      </c>
      <c r="CP151" s="18">
        <f>IF(AX151="","",--(AX151='Codebook'!$F$43))</f>
        <v>0</v>
      </c>
      <c r="CQ151" s="18">
        <f>IF(AY151="","",--(AY151='Codebook'!$F$44))</f>
        <v>0</v>
      </c>
      <c r="CR151" s="18">
        <f>IF(AZ151="","",--(AZ151='Codebook'!$F$45))</f>
        <v>0</v>
      </c>
    </row>
    <row r="152" spans="2:96" ht="24" customHeight="1">
      <c r="B152" s="18">
        <v>147</v>
      </c>
      <c r="C152" s="23">
        <v>46285.3341050926</v>
      </c>
      <c r="D152" s="21" t="s">
        <v>270</v>
      </c>
      <c r="E152" s="21" t="s">
        <v>194</v>
      </c>
      <c r="F152" s="21" t="s">
        <v>212</v>
      </c>
      <c r="G152" s="17" t="s">
        <v>224</v>
      </c>
      <c r="H152" s="21" t="s">
        <v>207</v>
      </c>
      <c r="I152" s="18">
        <f>SUM(BL152:BU152)</f>
        <v>1</v>
      </c>
      <c r="J152" s="18">
        <f>IF(COUNT(BV152:CD152)=9,SUM(BV152:CD152),"")</f>
        <v>0</v>
      </c>
      <c r="K152" s="18">
        <f>SUM(BL152:CD152)</f>
        <v>1</v>
      </c>
      <c r="L152" s="18">
        <f>--(K152&gt;='Codebook'!$C$8)</f>
        <v>0</v>
      </c>
      <c r="M152" s="18">
        <f>--(COUNT(BL152:CD152)=19)</f>
        <v>1</v>
      </c>
      <c r="N152" s="18">
        <f>SUM(CE152:CL152)</f>
        <v>0</v>
      </c>
      <c r="O152" s="18">
        <f>SUM(CM152:CR152)</f>
        <v>0</v>
      </c>
      <c r="P152" s="18">
        <f>N152+O152</f>
        <v>0</v>
      </c>
      <c r="Q152" s="21" t="s">
        <v>197</v>
      </c>
      <c r="R152" s="17" t="s">
        <v>155</v>
      </c>
      <c r="S152" s="18">
        <f>--OR(Overview!$B$6="All",E152=Overview!$B$6)*--OR(Overview!$F$6="All",F152=Overview!$F$6)*--OR(Overview!$J$6="All",G152=Overview!$J$6)*--OR(Overview!$N$6="All",H152=Overview!$N$6)</f>
        <v>1</v>
      </c>
      <c r="T152" s="21" t="s">
        <v>22</v>
      </c>
      <c r="U152" s="21" t="s">
        <v>198</v>
      </c>
      <c r="V152" s="21" t="s">
        <v>198</v>
      </c>
      <c r="W152" s="21" t="s">
        <v>198</v>
      </c>
      <c r="X152" s="21" t="s">
        <v>198</v>
      </c>
      <c r="Y152" s="21" t="s">
        <v>198</v>
      </c>
      <c r="Z152" s="21" t="s">
        <v>198</v>
      </c>
      <c r="AA152" s="21" t="s">
        <v>198</v>
      </c>
      <c r="AB152" s="21" t="s">
        <v>198</v>
      </c>
      <c r="AC152" s="21" t="s">
        <v>198</v>
      </c>
      <c r="AD152" s="21" t="s">
        <v>198</v>
      </c>
      <c r="AE152" s="21" t="s">
        <v>198</v>
      </c>
      <c r="AF152" s="21" t="s">
        <v>198</v>
      </c>
      <c r="AG152" s="21" t="s">
        <v>198</v>
      </c>
      <c r="AH152" s="21" t="s">
        <v>198</v>
      </c>
      <c r="AI152" s="21" t="s">
        <v>198</v>
      </c>
      <c r="AJ152" s="21" t="s">
        <v>198</v>
      </c>
      <c r="AK152" s="21" t="s">
        <v>198</v>
      </c>
      <c r="AL152" s="21" t="s">
        <v>198</v>
      </c>
      <c r="AM152" s="21" t="s">
        <v>198</v>
      </c>
      <c r="AN152" s="21" t="s">
        <v>198</v>
      </c>
      <c r="AO152" s="21" t="s">
        <v>198</v>
      </c>
      <c r="AP152" s="21" t="s">
        <v>198</v>
      </c>
      <c r="AQ152" s="21" t="s">
        <v>198</v>
      </c>
      <c r="AR152" s="21" t="s">
        <v>198</v>
      </c>
      <c r="AS152" s="21" t="s">
        <v>198</v>
      </c>
      <c r="AT152" s="21" t="s">
        <v>198</v>
      </c>
      <c r="AU152" s="21" t="s">
        <v>198</v>
      </c>
      <c r="AV152" s="21" t="s">
        <v>198</v>
      </c>
      <c r="AW152" s="21" t="s">
        <v>198</v>
      </c>
      <c r="AX152" s="21" t="s">
        <v>198</v>
      </c>
      <c r="AY152" s="21" t="s">
        <v>198</v>
      </c>
      <c r="AZ152" s="21" t="s">
        <v>198</v>
      </c>
      <c r="BA152" s="17" t="s">
        <v>219</v>
      </c>
      <c r="BB152" s="17" t="s">
        <v>219</v>
      </c>
      <c r="BC152" s="18">
        <f>--ISNUMBER(SEARCH("Radio or television",BA152))</f>
        <v>0</v>
      </c>
      <c r="BD152" s="18">
        <f>--ISNUMBER(SEARCH("Newspapers or print media",BA152))</f>
        <v>0</v>
      </c>
      <c r="BE152" s="18">
        <f>--ISNUMBER(SEARCH("Social media (e.g. Facebook, WhatsApp, YouTube, X/Twitter)",BA152))</f>
        <v>0</v>
      </c>
      <c r="BF152" s="18">
        <f>--ISNUMBER(SEARCH("Family members",BA152))</f>
        <v>1</v>
      </c>
      <c r="BG152" s="18">
        <f>--ISNUMBER(SEARCH("Friends or fellow students",BA152))</f>
        <v>0</v>
      </c>
      <c r="BH152" s="18">
        <f>--ISNUMBER(SEARCH("School coursework or lectures",BA152))</f>
        <v>0</v>
      </c>
      <c r="BI152" s="18">
        <f>--ISNUMBER(SEARCH("NHIMA outreach activities or NHIMA offices",BA152))</f>
        <v>0</v>
      </c>
      <c r="BJ152" s="18">
        <f>--ISNUMBER(SEARCH("Health facility staff",BA152))</f>
        <v>0</v>
      </c>
      <c r="BK152" s="18">
        <f>--ISNUMBER(SEARCH("not received information",BA152))</f>
        <v>0</v>
      </c>
      <c r="BL152" s="18">
        <f>IF(T152="","",--(T152='Codebook'!$F$13))</f>
        <v>1</v>
      </c>
      <c r="BM152" s="18">
        <f>IF(U152="","",--(U152='Codebook'!$F$14))</f>
        <v>0</v>
      </c>
      <c r="BN152" s="18">
        <f>IF(V152="","",--(V152='Codebook'!$F$15))</f>
        <v>0</v>
      </c>
      <c r="BO152" s="18">
        <f>IF(W152="","",--(W152='Codebook'!$F$16))</f>
        <v>0</v>
      </c>
      <c r="BP152" s="18">
        <f>IF(X152="","",--(X152='Codebook'!$F$17))</f>
        <v>0</v>
      </c>
      <c r="BQ152" s="18">
        <f>IF(Y152="","",--(Y152='Codebook'!$F$18))</f>
        <v>0</v>
      </c>
      <c r="BR152" s="18">
        <f>IF(Z152="","",--(Z152='Codebook'!$F$19))</f>
        <v>0</v>
      </c>
      <c r="BS152" s="18">
        <f>IF(AA152="","",--(AA152='Codebook'!$F$20))</f>
        <v>0</v>
      </c>
      <c r="BT152" s="18">
        <f>IF(AB152="","",--(AB152='Codebook'!$F$21))</f>
        <v>0</v>
      </c>
      <c r="BU152" s="18">
        <f>IF(AC152="","",--(AC152='Codebook'!$F$22))</f>
        <v>0</v>
      </c>
      <c r="BV152" s="18">
        <f>IF(AD152="","",--(AD152='Codebook'!$F$23))</f>
        <v>0</v>
      </c>
      <c r="BW152" s="18">
        <f>IF(AE152="","",--(AE152='Codebook'!$F$24))</f>
        <v>0</v>
      </c>
      <c r="BX152" s="18">
        <f>IF(AF152="","",--(AF152='Codebook'!$F$25))</f>
        <v>0</v>
      </c>
      <c r="BY152" s="18">
        <f>IF(AG152="","",--(AG152='Codebook'!$F$26))</f>
        <v>0</v>
      </c>
      <c r="BZ152" s="18">
        <f>IF(AH152="","",--(AH152='Codebook'!$F$27))</f>
        <v>0</v>
      </c>
      <c r="CA152" s="18">
        <f>IF(AI152="","",--(AI152='Codebook'!$F$28))</f>
        <v>0</v>
      </c>
      <c r="CB152" s="18">
        <f>IF(AJ152="","",--(AJ152='Codebook'!$F$29))</f>
        <v>0</v>
      </c>
      <c r="CC152" s="18">
        <f>IF(AK152="","",--(AK152='Codebook'!$F$30))</f>
        <v>0</v>
      </c>
      <c r="CD152" s="18">
        <f>IF(AL152="","",--(AL152='Codebook'!$F$31))</f>
        <v>0</v>
      </c>
      <c r="CE152" s="18">
        <f>IF(AM152="","",--(AM152='Codebook'!$F$32))</f>
        <v>0</v>
      </c>
      <c r="CF152" s="18">
        <f>IF(AN152="","",--(AN152='Codebook'!$F$33))</f>
        <v>0</v>
      </c>
      <c r="CG152" s="18">
        <f>IF(AO152="","",--(AO152='Codebook'!$F$34))</f>
        <v>0</v>
      </c>
      <c r="CH152" s="18">
        <f>IF(AP152="","",--(AP152='Codebook'!$F$35))</f>
        <v>0</v>
      </c>
      <c r="CI152" s="18">
        <f>IF(AQ152="","",--(AQ152='Codebook'!$F$36))</f>
        <v>0</v>
      </c>
      <c r="CJ152" s="18">
        <f>IF(AR152="","",--(AR152='Codebook'!$F$37))</f>
        <v>0</v>
      </c>
      <c r="CK152" s="18">
        <f>IF(AS152="","",--(AS152='Codebook'!$F$38))</f>
        <v>0</v>
      </c>
      <c r="CL152" s="18">
        <f>IF(AT152="","",--(AT152='Codebook'!$F$39))</f>
        <v>0</v>
      </c>
      <c r="CM152" s="18">
        <f>IF(AU152="","",--(AU152='Codebook'!$F$40))</f>
        <v>0</v>
      </c>
      <c r="CN152" s="18">
        <f>IF(AV152="","",--(AV152='Codebook'!$F$41))</f>
        <v>0</v>
      </c>
      <c r="CO152" s="18">
        <f>IF(AW152="","",--(AW152='Codebook'!$F$42))</f>
        <v>0</v>
      </c>
      <c r="CP152" s="18">
        <f>IF(AX152="","",--(AX152='Codebook'!$F$43))</f>
        <v>0</v>
      </c>
      <c r="CQ152" s="18">
        <f>IF(AY152="","",--(AY152='Codebook'!$F$44))</f>
        <v>0</v>
      </c>
      <c r="CR152" s="18">
        <f>IF(AZ152="","",--(AZ152='Codebook'!$F$45))</f>
        <v>0</v>
      </c>
    </row>
    <row r="153" spans="2:96" ht="24" customHeight="1">
      <c r="B153" s="18">
        <v>148</v>
      </c>
      <c r="C153" s="23">
        <v>46285.33720097222</v>
      </c>
      <c r="D153" s="21" t="s">
        <v>268</v>
      </c>
      <c r="E153" s="21" t="s">
        <v>206</v>
      </c>
      <c r="F153" s="21" t="s">
        <v>201</v>
      </c>
      <c r="G153" s="17" t="s">
        <v>202</v>
      </c>
      <c r="H153" s="21" t="s">
        <v>197</v>
      </c>
      <c r="I153" s="18">
        <f>SUM(BL153:BU153)</f>
        <v>8</v>
      </c>
      <c r="J153" s="18">
        <f>IF(COUNT(BV153:CD153)=9,SUM(BV153:CD153),"")</f>
        <v>7</v>
      </c>
      <c r="K153" s="18">
        <f>SUM(BL153:CD153)</f>
        <v>15</v>
      </c>
      <c r="L153" s="18">
        <f>--(K153&gt;='Codebook'!$C$8)</f>
        <v>1</v>
      </c>
      <c r="M153" s="18">
        <f>--(COUNT(BL153:CD153)=19)</f>
        <v>1</v>
      </c>
      <c r="N153" s="18">
        <f>SUM(CE153:CL153)</f>
        <v>6</v>
      </c>
      <c r="O153" s="18">
        <f>SUM(CM153:CR153)</f>
        <v>3</v>
      </c>
      <c r="P153" s="18">
        <f>N153+O153</f>
        <v>9</v>
      </c>
      <c r="Q153" s="21" t="s">
        <v>207</v>
      </c>
      <c r="R153" s="17" t="s">
        <v>158</v>
      </c>
      <c r="S153" s="18">
        <f>--OR(Overview!$B$6="All",E153=Overview!$B$6)*--OR(Overview!$F$6="All",F153=Overview!$F$6)*--OR(Overview!$J$6="All",G153=Overview!$J$6)*--OR(Overview!$N$6="All",H153=Overview!$N$6)</f>
        <v>1</v>
      </c>
      <c r="T153" s="21" t="s">
        <v>22</v>
      </c>
      <c r="U153" s="21" t="s">
        <v>22</v>
      </c>
      <c r="V153" s="21" t="s">
        <v>22</v>
      </c>
      <c r="W153" s="21" t="s">
        <v>22</v>
      </c>
      <c r="X153" s="21" t="s">
        <v>22</v>
      </c>
      <c r="Y153" s="21" t="s">
        <v>26</v>
      </c>
      <c r="Z153" s="21" t="s">
        <v>22</v>
      </c>
      <c r="AA153" s="21" t="s">
        <v>22</v>
      </c>
      <c r="AB153" s="21" t="s">
        <v>26</v>
      </c>
      <c r="AC153" s="21" t="s">
        <v>22</v>
      </c>
      <c r="AD153" s="21" t="s">
        <v>22</v>
      </c>
      <c r="AE153" s="21" t="s">
        <v>22</v>
      </c>
      <c r="AF153" s="21" t="s">
        <v>26</v>
      </c>
      <c r="AG153" s="21" t="s">
        <v>26</v>
      </c>
      <c r="AH153" s="21" t="s">
        <v>22</v>
      </c>
      <c r="AI153" s="21" t="s">
        <v>26</v>
      </c>
      <c r="AJ153" s="21" t="s">
        <v>22</v>
      </c>
      <c r="AK153" s="21" t="s">
        <v>22</v>
      </c>
      <c r="AL153" s="21" t="s">
        <v>26</v>
      </c>
      <c r="AM153" s="21" t="s">
        <v>83</v>
      </c>
      <c r="AN153" s="21" t="s">
        <v>109</v>
      </c>
      <c r="AO153" s="21" t="s">
        <v>83</v>
      </c>
      <c r="AP153" s="21" t="s">
        <v>83</v>
      </c>
      <c r="AQ153" s="21" t="s">
        <v>198</v>
      </c>
      <c r="AR153" s="21" t="s">
        <v>83</v>
      </c>
      <c r="AS153" s="21" t="s">
        <v>83</v>
      </c>
      <c r="AT153" s="21" t="s">
        <v>83</v>
      </c>
      <c r="AU153" s="21" t="s">
        <v>109</v>
      </c>
      <c r="AV153" s="21" t="s">
        <v>83</v>
      </c>
      <c r="AW153" s="21" t="s">
        <v>83</v>
      </c>
      <c r="AX153" s="21" t="s">
        <v>83</v>
      </c>
      <c r="AY153" s="21" t="s">
        <v>109</v>
      </c>
      <c r="AZ153" s="21" t="s">
        <v>109</v>
      </c>
      <c r="BA153" s="17" t="s">
        <v>228</v>
      </c>
      <c r="BB153" s="17" t="s">
        <v>225</v>
      </c>
      <c r="BC153" s="18">
        <f>--ISNUMBER(SEARCH("Radio or television",BA153))</f>
        <v>1</v>
      </c>
      <c r="BD153" s="18">
        <f>--ISNUMBER(SEARCH("Newspapers or print media",BA153))</f>
        <v>1</v>
      </c>
      <c r="BE153" s="18">
        <f>--ISNUMBER(SEARCH("Social media (e.g. Facebook, WhatsApp, YouTube, X/Twitter)",BA153))</f>
        <v>1</v>
      </c>
      <c r="BF153" s="18">
        <f>--ISNUMBER(SEARCH("Family members",BA153))</f>
        <v>1</v>
      </c>
      <c r="BG153" s="18">
        <f>--ISNUMBER(SEARCH("Friends or fellow students",BA153))</f>
        <v>1</v>
      </c>
      <c r="BH153" s="18">
        <f>--ISNUMBER(SEARCH("School coursework or lectures",BA153))</f>
        <v>1</v>
      </c>
      <c r="BI153" s="18">
        <f>--ISNUMBER(SEARCH("NHIMA outreach activities or NHIMA offices",BA153))</f>
        <v>1</v>
      </c>
      <c r="BJ153" s="18">
        <f>--ISNUMBER(SEARCH("Health facility staff",BA153))</f>
        <v>1</v>
      </c>
      <c r="BK153" s="18">
        <f>--ISNUMBER(SEARCH("not received information",BA153))</f>
        <v>0</v>
      </c>
      <c r="BL153" s="18">
        <f>IF(T153="","",--(T153='Codebook'!$F$13))</f>
        <v>1</v>
      </c>
      <c r="BM153" s="18">
        <f>IF(U153="","",--(U153='Codebook'!$F$14))</f>
        <v>0</v>
      </c>
      <c r="BN153" s="18">
        <f>IF(V153="","",--(V153='Codebook'!$F$15))</f>
        <v>0</v>
      </c>
      <c r="BO153" s="18">
        <f>IF(W153="","",--(W153='Codebook'!$F$16))</f>
        <v>1</v>
      </c>
      <c r="BP153" s="18">
        <f>IF(X153="","",--(X153='Codebook'!$F$17))</f>
        <v>1</v>
      </c>
      <c r="BQ153" s="18">
        <f>IF(Y153="","",--(Y153='Codebook'!$F$18))</f>
        <v>1</v>
      </c>
      <c r="BR153" s="18">
        <f>IF(Z153="","",--(Z153='Codebook'!$F$19))</f>
        <v>1</v>
      </c>
      <c r="BS153" s="18">
        <f>IF(AA153="","",--(AA153='Codebook'!$F$20))</f>
        <v>1</v>
      </c>
      <c r="BT153" s="18">
        <f>IF(AB153="","",--(AB153='Codebook'!$F$21))</f>
        <v>1</v>
      </c>
      <c r="BU153" s="18">
        <f>IF(AC153="","",--(AC153='Codebook'!$F$22))</f>
        <v>1</v>
      </c>
      <c r="BV153" s="18">
        <f>IF(AD153="","",--(AD153='Codebook'!$F$23))</f>
        <v>1</v>
      </c>
      <c r="BW153" s="18">
        <f>IF(AE153="","",--(AE153='Codebook'!$F$24))</f>
        <v>1</v>
      </c>
      <c r="BX153" s="18">
        <f>IF(AF153="","",--(AF153='Codebook'!$F$25))</f>
        <v>1</v>
      </c>
      <c r="BY153" s="18">
        <f>IF(AG153="","",--(AG153='Codebook'!$F$26))</f>
        <v>0</v>
      </c>
      <c r="BZ153" s="18">
        <f>IF(AH153="","",--(AH153='Codebook'!$F$27))</f>
        <v>1</v>
      </c>
      <c r="CA153" s="18">
        <f>IF(AI153="","",--(AI153='Codebook'!$F$28))</f>
        <v>1</v>
      </c>
      <c r="CB153" s="18">
        <f>IF(AJ153="","",--(AJ153='Codebook'!$F$29))</f>
        <v>0</v>
      </c>
      <c r="CC153" s="18">
        <f>IF(AK153="","",--(AK153='Codebook'!$F$30))</f>
        <v>1</v>
      </c>
      <c r="CD153" s="18">
        <f>IF(AL153="","",--(AL153='Codebook'!$F$31))</f>
        <v>1</v>
      </c>
      <c r="CE153" s="18">
        <f>IF(AM153="","",--(AM153='Codebook'!$F$32))</f>
        <v>1</v>
      </c>
      <c r="CF153" s="18">
        <f>IF(AN153="","",--(AN153='Codebook'!$F$33))</f>
        <v>0</v>
      </c>
      <c r="CG153" s="18">
        <f>IF(AO153="","",--(AO153='Codebook'!$F$34))</f>
        <v>1</v>
      </c>
      <c r="CH153" s="18">
        <f>IF(AP153="","",--(AP153='Codebook'!$F$35))</f>
        <v>1</v>
      </c>
      <c r="CI153" s="18">
        <f>IF(AQ153="","",--(AQ153='Codebook'!$F$36))</f>
        <v>0</v>
      </c>
      <c r="CJ153" s="18">
        <f>IF(AR153="","",--(AR153='Codebook'!$F$37))</f>
        <v>1</v>
      </c>
      <c r="CK153" s="18">
        <f>IF(AS153="","",--(AS153='Codebook'!$F$38))</f>
        <v>1</v>
      </c>
      <c r="CL153" s="18">
        <f>IF(AT153="","",--(AT153='Codebook'!$F$39))</f>
        <v>1</v>
      </c>
      <c r="CM153" s="18">
        <f>IF(AU153="","",--(AU153='Codebook'!$F$40))</f>
        <v>1</v>
      </c>
      <c r="CN153" s="18">
        <f>IF(AV153="","",--(AV153='Codebook'!$F$41))</f>
        <v>0</v>
      </c>
      <c r="CO153" s="18">
        <f>IF(AW153="","",--(AW153='Codebook'!$F$42))</f>
        <v>0</v>
      </c>
      <c r="CP153" s="18">
        <f>IF(AX153="","",--(AX153='Codebook'!$F$43))</f>
        <v>0</v>
      </c>
      <c r="CQ153" s="18">
        <f>IF(AY153="","",--(AY153='Codebook'!$F$44))</f>
        <v>1</v>
      </c>
      <c r="CR153" s="18">
        <f>IF(AZ153="","",--(AZ153='Codebook'!$F$45))</f>
        <v>1</v>
      </c>
    </row>
    <row r="154" spans="2:96" ht="24" customHeight="1">
      <c r="B154" s="18">
        <v>149</v>
      </c>
      <c r="C154" s="23">
        <v>46285.33798650463</v>
      </c>
      <c r="D154" s="21" t="s">
        <v>268</v>
      </c>
      <c r="E154" s="21" t="s">
        <v>206</v>
      </c>
      <c r="F154" s="21" t="s">
        <v>201</v>
      </c>
      <c r="G154" s="17" t="s">
        <v>202</v>
      </c>
      <c r="H154" s="21" t="s">
        <v>207</v>
      </c>
      <c r="I154" s="18">
        <f>SUM(BL154:BU154)</f>
        <v>9</v>
      </c>
      <c r="J154" s="18">
        <f>IF(COUNT(BV154:CD154)=9,SUM(BV154:CD154),"")</f>
        <v>7</v>
      </c>
      <c r="K154" s="18">
        <f>SUM(BL154:CD154)</f>
        <v>16</v>
      </c>
      <c r="L154" s="18">
        <f>--(K154&gt;='Codebook'!$C$8)</f>
        <v>1</v>
      </c>
      <c r="M154" s="18">
        <f>--(COUNT(BL154:CD154)=19)</f>
        <v>1</v>
      </c>
      <c r="N154" s="18">
        <f>SUM(CE154:CL154)</f>
        <v>8</v>
      </c>
      <c r="O154" s="18">
        <f>SUM(CM154:CR154)</f>
        <v>4</v>
      </c>
      <c r="P154" s="18">
        <f>N154+O154</f>
        <v>12</v>
      </c>
      <c r="Q154" s="21" t="s">
        <v>197</v>
      </c>
      <c r="R154" s="17" t="s">
        <v>156</v>
      </c>
      <c r="S154" s="18">
        <f>--OR(Overview!$B$6="All",E154=Overview!$B$6)*--OR(Overview!$F$6="All",F154=Overview!$F$6)*--OR(Overview!$J$6="All",G154=Overview!$J$6)*--OR(Overview!$N$6="All",H154=Overview!$N$6)</f>
        <v>1</v>
      </c>
      <c r="T154" s="21" t="s">
        <v>22</v>
      </c>
      <c r="U154" s="21" t="s">
        <v>22</v>
      </c>
      <c r="V154" s="21" t="s">
        <v>26</v>
      </c>
      <c r="W154" s="21" t="s">
        <v>22</v>
      </c>
      <c r="X154" s="21" t="s">
        <v>22</v>
      </c>
      <c r="Y154" s="21" t="s">
        <v>26</v>
      </c>
      <c r="Z154" s="21" t="s">
        <v>22</v>
      </c>
      <c r="AA154" s="21" t="s">
        <v>22</v>
      </c>
      <c r="AB154" s="21" t="s">
        <v>26</v>
      </c>
      <c r="AC154" s="21" t="s">
        <v>22</v>
      </c>
      <c r="AD154" s="21" t="s">
        <v>22</v>
      </c>
      <c r="AE154" s="21" t="s">
        <v>22</v>
      </c>
      <c r="AF154" s="21" t="s">
        <v>26</v>
      </c>
      <c r="AG154" s="21" t="s">
        <v>26</v>
      </c>
      <c r="AH154" s="21" t="s">
        <v>22</v>
      </c>
      <c r="AI154" s="21" t="s">
        <v>26</v>
      </c>
      <c r="AJ154" s="21" t="s">
        <v>22</v>
      </c>
      <c r="AK154" s="21" t="s">
        <v>22</v>
      </c>
      <c r="AL154" s="21" t="s">
        <v>26</v>
      </c>
      <c r="AM154" s="21" t="s">
        <v>83</v>
      </c>
      <c r="AN154" s="21" t="s">
        <v>83</v>
      </c>
      <c r="AO154" s="21" t="s">
        <v>83</v>
      </c>
      <c r="AP154" s="21" t="s">
        <v>83</v>
      </c>
      <c r="AQ154" s="21" t="s">
        <v>83</v>
      </c>
      <c r="AR154" s="21" t="s">
        <v>83</v>
      </c>
      <c r="AS154" s="21" t="s">
        <v>83</v>
      </c>
      <c r="AT154" s="21" t="s">
        <v>83</v>
      </c>
      <c r="AU154" s="21" t="s">
        <v>83</v>
      </c>
      <c r="AV154" s="21" t="s">
        <v>109</v>
      </c>
      <c r="AW154" s="21" t="s">
        <v>83</v>
      </c>
      <c r="AX154" s="21" t="s">
        <v>109</v>
      </c>
      <c r="AY154" s="21" t="s">
        <v>109</v>
      </c>
      <c r="AZ154" s="21" t="s">
        <v>109</v>
      </c>
      <c r="BA154" s="17" t="s">
        <v>312</v>
      </c>
      <c r="BB154" s="17" t="s">
        <v>313</v>
      </c>
      <c r="BC154" s="18">
        <f>--ISNUMBER(SEARCH("Radio or television",BA154))</f>
        <v>1</v>
      </c>
      <c r="BD154" s="18">
        <f>--ISNUMBER(SEARCH("Newspapers or print media",BA154))</f>
        <v>0</v>
      </c>
      <c r="BE154" s="18">
        <f>--ISNUMBER(SEARCH("Social media (e.g. Facebook, WhatsApp, YouTube, X/Twitter)",BA154))</f>
        <v>1</v>
      </c>
      <c r="BF154" s="18">
        <f>--ISNUMBER(SEARCH("Family members",BA154))</f>
        <v>1</v>
      </c>
      <c r="BG154" s="18">
        <f>--ISNUMBER(SEARCH("Friends or fellow students",BA154))</f>
        <v>1</v>
      </c>
      <c r="BH154" s="18">
        <f>--ISNUMBER(SEARCH("School coursework or lectures",BA154))</f>
        <v>1</v>
      </c>
      <c r="BI154" s="18">
        <f>--ISNUMBER(SEARCH("NHIMA outreach activities or NHIMA offices",BA154))</f>
        <v>1</v>
      </c>
      <c r="BJ154" s="18">
        <f>--ISNUMBER(SEARCH("Health facility staff",BA154))</f>
        <v>1</v>
      </c>
      <c r="BK154" s="18">
        <f>--ISNUMBER(SEARCH("not received information",BA154))</f>
        <v>0</v>
      </c>
      <c r="BL154" s="18">
        <f>IF(T154="","",--(T154='Codebook'!$F$13))</f>
        <v>1</v>
      </c>
      <c r="BM154" s="18">
        <f>IF(U154="","",--(U154='Codebook'!$F$14))</f>
        <v>0</v>
      </c>
      <c r="BN154" s="18">
        <f>IF(V154="","",--(V154='Codebook'!$F$15))</f>
        <v>1</v>
      </c>
      <c r="BO154" s="18">
        <f>IF(W154="","",--(W154='Codebook'!$F$16))</f>
        <v>1</v>
      </c>
      <c r="BP154" s="18">
        <f>IF(X154="","",--(X154='Codebook'!$F$17))</f>
        <v>1</v>
      </c>
      <c r="BQ154" s="18">
        <f>IF(Y154="","",--(Y154='Codebook'!$F$18))</f>
        <v>1</v>
      </c>
      <c r="BR154" s="18">
        <f>IF(Z154="","",--(Z154='Codebook'!$F$19))</f>
        <v>1</v>
      </c>
      <c r="BS154" s="18">
        <f>IF(AA154="","",--(AA154='Codebook'!$F$20))</f>
        <v>1</v>
      </c>
      <c r="BT154" s="18">
        <f>IF(AB154="","",--(AB154='Codebook'!$F$21))</f>
        <v>1</v>
      </c>
      <c r="BU154" s="18">
        <f>IF(AC154="","",--(AC154='Codebook'!$F$22))</f>
        <v>1</v>
      </c>
      <c r="BV154" s="18">
        <f>IF(AD154="","",--(AD154='Codebook'!$F$23))</f>
        <v>1</v>
      </c>
      <c r="BW154" s="18">
        <f>IF(AE154="","",--(AE154='Codebook'!$F$24))</f>
        <v>1</v>
      </c>
      <c r="BX154" s="18">
        <f>IF(AF154="","",--(AF154='Codebook'!$F$25))</f>
        <v>1</v>
      </c>
      <c r="BY154" s="18">
        <f>IF(AG154="","",--(AG154='Codebook'!$F$26))</f>
        <v>0</v>
      </c>
      <c r="BZ154" s="18">
        <f>IF(AH154="","",--(AH154='Codebook'!$F$27))</f>
        <v>1</v>
      </c>
      <c r="CA154" s="18">
        <f>IF(AI154="","",--(AI154='Codebook'!$F$28))</f>
        <v>1</v>
      </c>
      <c r="CB154" s="18">
        <f>IF(AJ154="","",--(AJ154='Codebook'!$F$29))</f>
        <v>0</v>
      </c>
      <c r="CC154" s="18">
        <f>IF(AK154="","",--(AK154='Codebook'!$F$30))</f>
        <v>1</v>
      </c>
      <c r="CD154" s="18">
        <f>IF(AL154="","",--(AL154='Codebook'!$F$31))</f>
        <v>1</v>
      </c>
      <c r="CE154" s="18">
        <f>IF(AM154="","",--(AM154='Codebook'!$F$32))</f>
        <v>1</v>
      </c>
      <c r="CF154" s="18">
        <f>IF(AN154="","",--(AN154='Codebook'!$F$33))</f>
        <v>1</v>
      </c>
      <c r="CG154" s="18">
        <f>IF(AO154="","",--(AO154='Codebook'!$F$34))</f>
        <v>1</v>
      </c>
      <c r="CH154" s="18">
        <f>IF(AP154="","",--(AP154='Codebook'!$F$35))</f>
        <v>1</v>
      </c>
      <c r="CI154" s="18">
        <f>IF(AQ154="","",--(AQ154='Codebook'!$F$36))</f>
        <v>1</v>
      </c>
      <c r="CJ154" s="18">
        <f>IF(AR154="","",--(AR154='Codebook'!$F$37))</f>
        <v>1</v>
      </c>
      <c r="CK154" s="18">
        <f>IF(AS154="","",--(AS154='Codebook'!$F$38))</f>
        <v>1</v>
      </c>
      <c r="CL154" s="18">
        <f>IF(AT154="","",--(AT154='Codebook'!$F$39))</f>
        <v>1</v>
      </c>
      <c r="CM154" s="18">
        <f>IF(AU154="","",--(AU154='Codebook'!$F$40))</f>
        <v>0</v>
      </c>
      <c r="CN154" s="18">
        <f>IF(AV154="","",--(AV154='Codebook'!$F$41))</f>
        <v>1</v>
      </c>
      <c r="CO154" s="18">
        <f>IF(AW154="","",--(AW154='Codebook'!$F$42))</f>
        <v>0</v>
      </c>
      <c r="CP154" s="18">
        <f>IF(AX154="","",--(AX154='Codebook'!$F$43))</f>
        <v>1</v>
      </c>
      <c r="CQ154" s="18">
        <f>IF(AY154="","",--(AY154='Codebook'!$F$44))</f>
        <v>1</v>
      </c>
      <c r="CR154" s="18">
        <f>IF(AZ154="","",--(AZ154='Codebook'!$F$45))</f>
        <v>1</v>
      </c>
    </row>
    <row r="155" spans="2:96" ht="24" customHeight="1">
      <c r="B155" s="18">
        <v>150</v>
      </c>
      <c r="C155" s="23">
        <v>46285.33961716435</v>
      </c>
      <c r="D155" s="21" t="s">
        <v>268</v>
      </c>
      <c r="E155" s="21" t="s">
        <v>206</v>
      </c>
      <c r="F155" s="21" t="s">
        <v>201</v>
      </c>
      <c r="G155" s="17" t="s">
        <v>202</v>
      </c>
      <c r="H155" s="21" t="s">
        <v>197</v>
      </c>
      <c r="I155" s="18">
        <f>SUM(BL155:BU155)</f>
        <v>10</v>
      </c>
      <c r="J155" s="18">
        <f>IF(COUNT(BV155:CD155)=9,SUM(BV155:CD155),"")</f>
        <v>7</v>
      </c>
      <c r="K155" s="18">
        <f>SUM(BL155:CD155)</f>
        <v>17</v>
      </c>
      <c r="L155" s="18">
        <f>--(K155&gt;='Codebook'!$C$8)</f>
        <v>1</v>
      </c>
      <c r="M155" s="18">
        <f>--(COUNT(BL155:CD155)=19)</f>
        <v>1</v>
      </c>
      <c r="N155" s="18">
        <f>SUM(CE155:CL155)</f>
        <v>8</v>
      </c>
      <c r="O155" s="18">
        <f>SUM(CM155:CR155)</f>
        <v>5</v>
      </c>
      <c r="P155" s="18">
        <f>N155+O155</f>
        <v>13</v>
      </c>
      <c r="Q155" s="21" t="s">
        <v>197</v>
      </c>
      <c r="R155" s="17" t="s">
        <v>154</v>
      </c>
      <c r="S155" s="18">
        <f>--OR(Overview!$B$6="All",E155=Overview!$B$6)*--OR(Overview!$F$6="All",F155=Overview!$F$6)*--OR(Overview!$J$6="All",G155=Overview!$J$6)*--OR(Overview!$N$6="All",H155=Overview!$N$6)</f>
        <v>1</v>
      </c>
      <c r="T155" s="21" t="s">
        <v>22</v>
      </c>
      <c r="U155" s="21" t="s">
        <v>26</v>
      </c>
      <c r="V155" s="21" t="s">
        <v>26</v>
      </c>
      <c r="W155" s="21" t="s">
        <v>22</v>
      </c>
      <c r="X155" s="21" t="s">
        <v>22</v>
      </c>
      <c r="Y155" s="21" t="s">
        <v>26</v>
      </c>
      <c r="Z155" s="21" t="s">
        <v>22</v>
      </c>
      <c r="AA155" s="21" t="s">
        <v>22</v>
      </c>
      <c r="AB155" s="21" t="s">
        <v>26</v>
      </c>
      <c r="AC155" s="21" t="s">
        <v>22</v>
      </c>
      <c r="AD155" s="21" t="s">
        <v>22</v>
      </c>
      <c r="AE155" s="21" t="s">
        <v>22</v>
      </c>
      <c r="AF155" s="21" t="s">
        <v>26</v>
      </c>
      <c r="AG155" s="21" t="s">
        <v>26</v>
      </c>
      <c r="AH155" s="21" t="s">
        <v>22</v>
      </c>
      <c r="AI155" s="21" t="s">
        <v>22</v>
      </c>
      <c r="AJ155" s="21" t="s">
        <v>26</v>
      </c>
      <c r="AK155" s="21" t="s">
        <v>22</v>
      </c>
      <c r="AL155" s="21" t="s">
        <v>26</v>
      </c>
      <c r="AM155" s="21" t="s">
        <v>83</v>
      </c>
      <c r="AN155" s="21" t="s">
        <v>83</v>
      </c>
      <c r="AO155" s="21" t="s">
        <v>83</v>
      </c>
      <c r="AP155" s="21" t="s">
        <v>83</v>
      </c>
      <c r="AQ155" s="21" t="s">
        <v>83</v>
      </c>
      <c r="AR155" s="21" t="s">
        <v>83</v>
      </c>
      <c r="AS155" s="21" t="s">
        <v>83</v>
      </c>
      <c r="AT155" s="21" t="s">
        <v>83</v>
      </c>
      <c r="AU155" s="21" t="s">
        <v>109</v>
      </c>
      <c r="AV155" s="21" t="s">
        <v>109</v>
      </c>
      <c r="AW155" s="21" t="s">
        <v>83</v>
      </c>
      <c r="AX155" s="21" t="s">
        <v>109</v>
      </c>
      <c r="AY155" s="21" t="s">
        <v>109</v>
      </c>
      <c r="AZ155" s="21" t="s">
        <v>109</v>
      </c>
      <c r="BA155" s="17" t="s">
        <v>228</v>
      </c>
      <c r="BB155" s="17" t="s">
        <v>250</v>
      </c>
      <c r="BC155" s="18">
        <f>--ISNUMBER(SEARCH("Radio or television",BA155))</f>
        <v>1</v>
      </c>
      <c r="BD155" s="18">
        <f>--ISNUMBER(SEARCH("Newspapers or print media",BA155))</f>
        <v>1</v>
      </c>
      <c r="BE155" s="18">
        <f>--ISNUMBER(SEARCH("Social media (e.g. Facebook, WhatsApp, YouTube, X/Twitter)",BA155))</f>
        <v>1</v>
      </c>
      <c r="BF155" s="18">
        <f>--ISNUMBER(SEARCH("Family members",BA155))</f>
        <v>1</v>
      </c>
      <c r="BG155" s="18">
        <f>--ISNUMBER(SEARCH("Friends or fellow students",BA155))</f>
        <v>1</v>
      </c>
      <c r="BH155" s="18">
        <f>--ISNUMBER(SEARCH("School coursework or lectures",BA155))</f>
        <v>1</v>
      </c>
      <c r="BI155" s="18">
        <f>--ISNUMBER(SEARCH("NHIMA outreach activities or NHIMA offices",BA155))</f>
        <v>1</v>
      </c>
      <c r="BJ155" s="18">
        <f>--ISNUMBER(SEARCH("Health facility staff",BA155))</f>
        <v>1</v>
      </c>
      <c r="BK155" s="18">
        <f>--ISNUMBER(SEARCH("not received information",BA155))</f>
        <v>0</v>
      </c>
      <c r="BL155" s="18">
        <f>IF(T155="","",--(T155='Codebook'!$F$13))</f>
        <v>1</v>
      </c>
      <c r="BM155" s="18">
        <f>IF(U155="","",--(U155='Codebook'!$F$14))</f>
        <v>1</v>
      </c>
      <c r="BN155" s="18">
        <f>IF(V155="","",--(V155='Codebook'!$F$15))</f>
        <v>1</v>
      </c>
      <c r="BO155" s="18">
        <f>IF(W155="","",--(W155='Codebook'!$F$16))</f>
        <v>1</v>
      </c>
      <c r="BP155" s="18">
        <f>IF(X155="","",--(X155='Codebook'!$F$17))</f>
        <v>1</v>
      </c>
      <c r="BQ155" s="18">
        <f>IF(Y155="","",--(Y155='Codebook'!$F$18))</f>
        <v>1</v>
      </c>
      <c r="BR155" s="18">
        <f>IF(Z155="","",--(Z155='Codebook'!$F$19))</f>
        <v>1</v>
      </c>
      <c r="BS155" s="18">
        <f>IF(AA155="","",--(AA155='Codebook'!$F$20))</f>
        <v>1</v>
      </c>
      <c r="BT155" s="18">
        <f>IF(AB155="","",--(AB155='Codebook'!$F$21))</f>
        <v>1</v>
      </c>
      <c r="BU155" s="18">
        <f>IF(AC155="","",--(AC155='Codebook'!$F$22))</f>
        <v>1</v>
      </c>
      <c r="BV155" s="18">
        <f>IF(AD155="","",--(AD155='Codebook'!$F$23))</f>
        <v>1</v>
      </c>
      <c r="BW155" s="18">
        <f>IF(AE155="","",--(AE155='Codebook'!$F$24))</f>
        <v>1</v>
      </c>
      <c r="BX155" s="18">
        <f>IF(AF155="","",--(AF155='Codebook'!$F$25))</f>
        <v>1</v>
      </c>
      <c r="BY155" s="18">
        <f>IF(AG155="","",--(AG155='Codebook'!$F$26))</f>
        <v>0</v>
      </c>
      <c r="BZ155" s="18">
        <f>IF(AH155="","",--(AH155='Codebook'!$F$27))</f>
        <v>1</v>
      </c>
      <c r="CA155" s="18">
        <f>IF(AI155="","",--(AI155='Codebook'!$F$28))</f>
        <v>0</v>
      </c>
      <c r="CB155" s="18">
        <f>IF(AJ155="","",--(AJ155='Codebook'!$F$29))</f>
        <v>1</v>
      </c>
      <c r="CC155" s="18">
        <f>IF(AK155="","",--(AK155='Codebook'!$F$30))</f>
        <v>1</v>
      </c>
      <c r="CD155" s="18">
        <f>IF(AL155="","",--(AL155='Codebook'!$F$31))</f>
        <v>1</v>
      </c>
      <c r="CE155" s="18">
        <f>IF(AM155="","",--(AM155='Codebook'!$F$32))</f>
        <v>1</v>
      </c>
      <c r="CF155" s="18">
        <f>IF(AN155="","",--(AN155='Codebook'!$F$33))</f>
        <v>1</v>
      </c>
      <c r="CG155" s="18">
        <f>IF(AO155="","",--(AO155='Codebook'!$F$34))</f>
        <v>1</v>
      </c>
      <c r="CH155" s="18">
        <f>IF(AP155="","",--(AP155='Codebook'!$F$35))</f>
        <v>1</v>
      </c>
      <c r="CI155" s="18">
        <f>IF(AQ155="","",--(AQ155='Codebook'!$F$36))</f>
        <v>1</v>
      </c>
      <c r="CJ155" s="18">
        <f>IF(AR155="","",--(AR155='Codebook'!$F$37))</f>
        <v>1</v>
      </c>
      <c r="CK155" s="18">
        <f>IF(AS155="","",--(AS155='Codebook'!$F$38))</f>
        <v>1</v>
      </c>
      <c r="CL155" s="18">
        <f>IF(AT155="","",--(AT155='Codebook'!$F$39))</f>
        <v>1</v>
      </c>
      <c r="CM155" s="18">
        <f>IF(AU155="","",--(AU155='Codebook'!$F$40))</f>
        <v>1</v>
      </c>
      <c r="CN155" s="18">
        <f>IF(AV155="","",--(AV155='Codebook'!$F$41))</f>
        <v>1</v>
      </c>
      <c r="CO155" s="18">
        <f>IF(AW155="","",--(AW155='Codebook'!$F$42))</f>
        <v>0</v>
      </c>
      <c r="CP155" s="18">
        <f>IF(AX155="","",--(AX155='Codebook'!$F$43))</f>
        <v>1</v>
      </c>
      <c r="CQ155" s="18">
        <f>IF(AY155="","",--(AY155='Codebook'!$F$44))</f>
        <v>1</v>
      </c>
      <c r="CR155" s="18">
        <f>IF(AZ155="","",--(AZ155='Codebook'!$F$45))</f>
        <v>1</v>
      </c>
    </row>
    <row r="156" spans="2:96" ht="24" customHeight="1">
      <c r="B156" s="18">
        <v>151</v>
      </c>
      <c r="C156" s="23">
        <v>46285.34031628472</v>
      </c>
      <c r="D156" s="21" t="s">
        <v>275</v>
      </c>
      <c r="E156" s="21" t="s">
        <v>194</v>
      </c>
      <c r="F156" s="21" t="s">
        <v>226</v>
      </c>
      <c r="G156" s="17" t="s">
        <v>224</v>
      </c>
      <c r="H156" s="21" t="s">
        <v>197</v>
      </c>
      <c r="I156" s="18">
        <f>SUM(BL156:BU156)</f>
        <v>7</v>
      </c>
      <c r="J156" s="18">
        <f>IF(COUNT(BV156:CD156)=9,SUM(BV156:CD156),"")</f>
        <v>7</v>
      </c>
      <c r="K156" s="18">
        <f>SUM(BL156:CD156)</f>
        <v>14</v>
      </c>
      <c r="L156" s="18">
        <f>--(K156&gt;='Codebook'!$C$8)</f>
        <v>1</v>
      </c>
      <c r="M156" s="18">
        <f>--(COUNT(BL156:CD156)=19)</f>
        <v>1</v>
      </c>
      <c r="N156" s="18">
        <f>SUM(CE156:CL156)</f>
        <v>7</v>
      </c>
      <c r="O156" s="18">
        <f>SUM(CM156:CR156)</f>
        <v>5</v>
      </c>
      <c r="P156" s="18">
        <f>N156+O156</f>
        <v>12</v>
      </c>
      <c r="Q156" s="21" t="s">
        <v>207</v>
      </c>
      <c r="R156" s="17" t="s">
        <v>155</v>
      </c>
      <c r="S156" s="18">
        <f>--OR(Overview!$B$6="All",E156=Overview!$B$6)*--OR(Overview!$F$6="All",F156=Overview!$F$6)*--OR(Overview!$J$6="All",G156=Overview!$J$6)*--OR(Overview!$N$6="All",H156=Overview!$N$6)</f>
        <v>1</v>
      </c>
      <c r="T156" s="21" t="s">
        <v>22</v>
      </c>
      <c r="U156" s="21" t="s">
        <v>22</v>
      </c>
      <c r="V156" s="21" t="s">
        <v>22</v>
      </c>
      <c r="W156" s="21" t="s">
        <v>22</v>
      </c>
      <c r="X156" s="21" t="s">
        <v>22</v>
      </c>
      <c r="Y156" s="21" t="s">
        <v>22</v>
      </c>
      <c r="Z156" s="21" t="s">
        <v>22</v>
      </c>
      <c r="AA156" s="21" t="s">
        <v>22</v>
      </c>
      <c r="AB156" s="21" t="s">
        <v>26</v>
      </c>
      <c r="AC156" s="21" t="s">
        <v>22</v>
      </c>
      <c r="AD156" s="21" t="s">
        <v>22</v>
      </c>
      <c r="AE156" s="21" t="s">
        <v>22</v>
      </c>
      <c r="AF156" s="21" t="s">
        <v>26</v>
      </c>
      <c r="AG156" s="21" t="s">
        <v>26</v>
      </c>
      <c r="AH156" s="21" t="s">
        <v>22</v>
      </c>
      <c r="AI156" s="21" t="s">
        <v>26</v>
      </c>
      <c r="AJ156" s="21" t="s">
        <v>22</v>
      </c>
      <c r="AK156" s="21" t="s">
        <v>22</v>
      </c>
      <c r="AL156" s="21" t="s">
        <v>26</v>
      </c>
      <c r="AM156" s="21" t="s">
        <v>83</v>
      </c>
      <c r="AN156" s="21" t="s">
        <v>83</v>
      </c>
      <c r="AO156" s="21" t="s">
        <v>83</v>
      </c>
      <c r="AP156" s="21" t="s">
        <v>83</v>
      </c>
      <c r="AQ156" s="21" t="s">
        <v>198</v>
      </c>
      <c r="AR156" s="21" t="s">
        <v>83</v>
      </c>
      <c r="AS156" s="21" t="s">
        <v>83</v>
      </c>
      <c r="AT156" s="21" t="s">
        <v>83</v>
      </c>
      <c r="AU156" s="21" t="s">
        <v>109</v>
      </c>
      <c r="AV156" s="21" t="s">
        <v>109</v>
      </c>
      <c r="AW156" s="21" t="s">
        <v>198</v>
      </c>
      <c r="AX156" s="21" t="s">
        <v>109</v>
      </c>
      <c r="AY156" s="21" t="s">
        <v>109</v>
      </c>
      <c r="AZ156" s="21" t="s">
        <v>109</v>
      </c>
      <c r="BA156" s="17" t="s">
        <v>228</v>
      </c>
      <c r="BB156" s="17" t="s">
        <v>219</v>
      </c>
      <c r="BC156" s="18">
        <f>--ISNUMBER(SEARCH("Radio or television",BA156))</f>
        <v>1</v>
      </c>
      <c r="BD156" s="18">
        <f>--ISNUMBER(SEARCH("Newspapers or print media",BA156))</f>
        <v>1</v>
      </c>
      <c r="BE156" s="18">
        <f>--ISNUMBER(SEARCH("Social media (e.g. Facebook, WhatsApp, YouTube, X/Twitter)",BA156))</f>
        <v>1</v>
      </c>
      <c r="BF156" s="18">
        <f>--ISNUMBER(SEARCH("Family members",BA156))</f>
        <v>1</v>
      </c>
      <c r="BG156" s="18">
        <f>--ISNUMBER(SEARCH("Friends or fellow students",BA156))</f>
        <v>1</v>
      </c>
      <c r="BH156" s="18">
        <f>--ISNUMBER(SEARCH("School coursework or lectures",BA156))</f>
        <v>1</v>
      </c>
      <c r="BI156" s="18">
        <f>--ISNUMBER(SEARCH("NHIMA outreach activities or NHIMA offices",BA156))</f>
        <v>1</v>
      </c>
      <c r="BJ156" s="18">
        <f>--ISNUMBER(SEARCH("Health facility staff",BA156))</f>
        <v>1</v>
      </c>
      <c r="BK156" s="18">
        <f>--ISNUMBER(SEARCH("not received information",BA156))</f>
        <v>0</v>
      </c>
      <c r="BL156" s="18">
        <f>IF(T156="","",--(T156='Codebook'!$F$13))</f>
        <v>1</v>
      </c>
      <c r="BM156" s="18">
        <f>IF(U156="","",--(U156='Codebook'!$F$14))</f>
        <v>0</v>
      </c>
      <c r="BN156" s="18">
        <f>IF(V156="","",--(V156='Codebook'!$F$15))</f>
        <v>0</v>
      </c>
      <c r="BO156" s="18">
        <f>IF(W156="","",--(W156='Codebook'!$F$16))</f>
        <v>1</v>
      </c>
      <c r="BP156" s="18">
        <f>IF(X156="","",--(X156='Codebook'!$F$17))</f>
        <v>1</v>
      </c>
      <c r="BQ156" s="18">
        <f>IF(Y156="","",--(Y156='Codebook'!$F$18))</f>
        <v>0</v>
      </c>
      <c r="BR156" s="18">
        <f>IF(Z156="","",--(Z156='Codebook'!$F$19))</f>
        <v>1</v>
      </c>
      <c r="BS156" s="18">
        <f>IF(AA156="","",--(AA156='Codebook'!$F$20))</f>
        <v>1</v>
      </c>
      <c r="BT156" s="18">
        <f>IF(AB156="","",--(AB156='Codebook'!$F$21))</f>
        <v>1</v>
      </c>
      <c r="BU156" s="18">
        <f>IF(AC156="","",--(AC156='Codebook'!$F$22))</f>
        <v>1</v>
      </c>
      <c r="BV156" s="18">
        <f>IF(AD156="","",--(AD156='Codebook'!$F$23))</f>
        <v>1</v>
      </c>
      <c r="BW156" s="18">
        <f>IF(AE156="","",--(AE156='Codebook'!$F$24))</f>
        <v>1</v>
      </c>
      <c r="BX156" s="18">
        <f>IF(AF156="","",--(AF156='Codebook'!$F$25))</f>
        <v>1</v>
      </c>
      <c r="BY156" s="18">
        <f>IF(AG156="","",--(AG156='Codebook'!$F$26))</f>
        <v>0</v>
      </c>
      <c r="BZ156" s="18">
        <f>IF(AH156="","",--(AH156='Codebook'!$F$27))</f>
        <v>1</v>
      </c>
      <c r="CA156" s="18">
        <f>IF(AI156="","",--(AI156='Codebook'!$F$28))</f>
        <v>1</v>
      </c>
      <c r="CB156" s="18">
        <f>IF(AJ156="","",--(AJ156='Codebook'!$F$29))</f>
        <v>0</v>
      </c>
      <c r="CC156" s="18">
        <f>IF(AK156="","",--(AK156='Codebook'!$F$30))</f>
        <v>1</v>
      </c>
      <c r="CD156" s="18">
        <f>IF(AL156="","",--(AL156='Codebook'!$F$31))</f>
        <v>1</v>
      </c>
      <c r="CE156" s="18">
        <f>IF(AM156="","",--(AM156='Codebook'!$F$32))</f>
        <v>1</v>
      </c>
      <c r="CF156" s="18">
        <f>IF(AN156="","",--(AN156='Codebook'!$F$33))</f>
        <v>1</v>
      </c>
      <c r="CG156" s="18">
        <f>IF(AO156="","",--(AO156='Codebook'!$F$34))</f>
        <v>1</v>
      </c>
      <c r="CH156" s="18">
        <f>IF(AP156="","",--(AP156='Codebook'!$F$35))</f>
        <v>1</v>
      </c>
      <c r="CI156" s="18">
        <f>IF(AQ156="","",--(AQ156='Codebook'!$F$36))</f>
        <v>0</v>
      </c>
      <c r="CJ156" s="18">
        <f>IF(AR156="","",--(AR156='Codebook'!$F$37))</f>
        <v>1</v>
      </c>
      <c r="CK156" s="18">
        <f>IF(AS156="","",--(AS156='Codebook'!$F$38))</f>
        <v>1</v>
      </c>
      <c r="CL156" s="18">
        <f>IF(AT156="","",--(AT156='Codebook'!$F$39))</f>
        <v>1</v>
      </c>
      <c r="CM156" s="18">
        <f>IF(AU156="","",--(AU156='Codebook'!$F$40))</f>
        <v>1</v>
      </c>
      <c r="CN156" s="18">
        <f>IF(AV156="","",--(AV156='Codebook'!$F$41))</f>
        <v>1</v>
      </c>
      <c r="CO156" s="18">
        <f>IF(AW156="","",--(AW156='Codebook'!$F$42))</f>
        <v>0</v>
      </c>
      <c r="CP156" s="18">
        <f>IF(AX156="","",--(AX156='Codebook'!$F$43))</f>
        <v>1</v>
      </c>
      <c r="CQ156" s="18">
        <f>IF(AY156="","",--(AY156='Codebook'!$F$44))</f>
        <v>1</v>
      </c>
      <c r="CR156" s="18">
        <f>IF(AZ156="","",--(AZ156='Codebook'!$F$45))</f>
        <v>1</v>
      </c>
    </row>
    <row r="157" spans="2:96" ht="24" customHeight="1">
      <c r="B157" s="18">
        <v>152</v>
      </c>
      <c r="C157" s="23">
        <v>46285.34134409722</v>
      </c>
      <c r="D157" s="21" t="s">
        <v>268</v>
      </c>
      <c r="E157" s="21" t="s">
        <v>206</v>
      </c>
      <c r="F157" s="21" t="s">
        <v>201</v>
      </c>
      <c r="G157" s="17" t="s">
        <v>202</v>
      </c>
      <c r="H157" s="21" t="s">
        <v>207</v>
      </c>
      <c r="I157" s="18">
        <f>SUM(BL157:BU157)</f>
        <v>10</v>
      </c>
      <c r="J157" s="18">
        <f>IF(COUNT(BV157:CD157)=9,SUM(BV157:CD157),"")</f>
        <v>8</v>
      </c>
      <c r="K157" s="18">
        <f>SUM(BL157:CD157)</f>
        <v>18</v>
      </c>
      <c r="L157" s="18">
        <f>--(K157&gt;='Codebook'!$C$8)</f>
        <v>1</v>
      </c>
      <c r="M157" s="18">
        <f>--(COUNT(BL157:CD157)=19)</f>
        <v>1</v>
      </c>
      <c r="N157" s="18">
        <f>SUM(CE157:CL157)</f>
        <v>8</v>
      </c>
      <c r="O157" s="18">
        <f>SUM(CM157:CR157)</f>
        <v>6</v>
      </c>
      <c r="P157" s="18">
        <f>N157+O157</f>
        <v>14</v>
      </c>
      <c r="Q157" s="21" t="s">
        <v>197</v>
      </c>
      <c r="R157" s="17" t="s">
        <v>154</v>
      </c>
      <c r="S157" s="18">
        <f>--OR(Overview!$B$6="All",E157=Overview!$B$6)*--OR(Overview!$F$6="All",F157=Overview!$F$6)*--OR(Overview!$J$6="All",G157=Overview!$J$6)*--OR(Overview!$N$6="All",H157=Overview!$N$6)</f>
        <v>1</v>
      </c>
      <c r="T157" s="21" t="s">
        <v>22</v>
      </c>
      <c r="U157" s="21" t="s">
        <v>26</v>
      </c>
      <c r="V157" s="21" t="s">
        <v>26</v>
      </c>
      <c r="W157" s="21" t="s">
        <v>22</v>
      </c>
      <c r="X157" s="21" t="s">
        <v>22</v>
      </c>
      <c r="Y157" s="21" t="s">
        <v>26</v>
      </c>
      <c r="Z157" s="21" t="s">
        <v>22</v>
      </c>
      <c r="AA157" s="21" t="s">
        <v>22</v>
      </c>
      <c r="AB157" s="21" t="s">
        <v>26</v>
      </c>
      <c r="AC157" s="21" t="s">
        <v>22</v>
      </c>
      <c r="AD157" s="21" t="s">
        <v>22</v>
      </c>
      <c r="AE157" s="21" t="s">
        <v>22</v>
      </c>
      <c r="AF157" s="21" t="s">
        <v>26</v>
      </c>
      <c r="AG157" s="21" t="s">
        <v>26</v>
      </c>
      <c r="AH157" s="21" t="s">
        <v>22</v>
      </c>
      <c r="AI157" s="21" t="s">
        <v>26</v>
      </c>
      <c r="AJ157" s="21" t="s">
        <v>26</v>
      </c>
      <c r="AK157" s="21" t="s">
        <v>22</v>
      </c>
      <c r="AL157" s="21" t="s">
        <v>26</v>
      </c>
      <c r="AM157" s="21" t="s">
        <v>83</v>
      </c>
      <c r="AN157" s="21" t="s">
        <v>83</v>
      </c>
      <c r="AO157" s="21" t="s">
        <v>83</v>
      </c>
      <c r="AP157" s="21" t="s">
        <v>83</v>
      </c>
      <c r="AQ157" s="21" t="s">
        <v>83</v>
      </c>
      <c r="AR157" s="21" t="s">
        <v>83</v>
      </c>
      <c r="AS157" s="21" t="s">
        <v>83</v>
      </c>
      <c r="AT157" s="21" t="s">
        <v>83</v>
      </c>
      <c r="AU157" s="21" t="s">
        <v>109</v>
      </c>
      <c r="AV157" s="21" t="s">
        <v>109</v>
      </c>
      <c r="AW157" s="21" t="s">
        <v>109</v>
      </c>
      <c r="AX157" s="21" t="s">
        <v>109</v>
      </c>
      <c r="AY157" s="21" t="s">
        <v>109</v>
      </c>
      <c r="AZ157" s="21" t="s">
        <v>109</v>
      </c>
      <c r="BA157" s="17" t="s">
        <v>228</v>
      </c>
      <c r="BB157" s="17" t="s">
        <v>250</v>
      </c>
      <c r="BC157" s="18">
        <f>--ISNUMBER(SEARCH("Radio or television",BA157))</f>
        <v>1</v>
      </c>
      <c r="BD157" s="18">
        <f>--ISNUMBER(SEARCH("Newspapers or print media",BA157))</f>
        <v>1</v>
      </c>
      <c r="BE157" s="18">
        <f>--ISNUMBER(SEARCH("Social media (e.g. Facebook, WhatsApp, YouTube, X/Twitter)",BA157))</f>
        <v>1</v>
      </c>
      <c r="BF157" s="18">
        <f>--ISNUMBER(SEARCH("Family members",BA157))</f>
        <v>1</v>
      </c>
      <c r="BG157" s="18">
        <f>--ISNUMBER(SEARCH("Friends or fellow students",BA157))</f>
        <v>1</v>
      </c>
      <c r="BH157" s="18">
        <f>--ISNUMBER(SEARCH("School coursework or lectures",BA157))</f>
        <v>1</v>
      </c>
      <c r="BI157" s="18">
        <f>--ISNUMBER(SEARCH("NHIMA outreach activities or NHIMA offices",BA157))</f>
        <v>1</v>
      </c>
      <c r="BJ157" s="18">
        <f>--ISNUMBER(SEARCH("Health facility staff",BA157))</f>
        <v>1</v>
      </c>
      <c r="BK157" s="18">
        <f>--ISNUMBER(SEARCH("not received information",BA157))</f>
        <v>0</v>
      </c>
      <c r="BL157" s="18">
        <f>IF(T157="","",--(T157='Codebook'!$F$13))</f>
        <v>1</v>
      </c>
      <c r="BM157" s="18">
        <f>IF(U157="","",--(U157='Codebook'!$F$14))</f>
        <v>1</v>
      </c>
      <c r="BN157" s="18">
        <f>IF(V157="","",--(V157='Codebook'!$F$15))</f>
        <v>1</v>
      </c>
      <c r="BO157" s="18">
        <f>IF(W157="","",--(W157='Codebook'!$F$16))</f>
        <v>1</v>
      </c>
      <c r="BP157" s="18">
        <f>IF(X157="","",--(X157='Codebook'!$F$17))</f>
        <v>1</v>
      </c>
      <c r="BQ157" s="18">
        <f>IF(Y157="","",--(Y157='Codebook'!$F$18))</f>
        <v>1</v>
      </c>
      <c r="BR157" s="18">
        <f>IF(Z157="","",--(Z157='Codebook'!$F$19))</f>
        <v>1</v>
      </c>
      <c r="BS157" s="18">
        <f>IF(AA157="","",--(AA157='Codebook'!$F$20))</f>
        <v>1</v>
      </c>
      <c r="BT157" s="18">
        <f>IF(AB157="","",--(AB157='Codebook'!$F$21))</f>
        <v>1</v>
      </c>
      <c r="BU157" s="18">
        <f>IF(AC157="","",--(AC157='Codebook'!$F$22))</f>
        <v>1</v>
      </c>
      <c r="BV157" s="18">
        <f>IF(AD157="","",--(AD157='Codebook'!$F$23))</f>
        <v>1</v>
      </c>
      <c r="BW157" s="18">
        <f>IF(AE157="","",--(AE157='Codebook'!$F$24))</f>
        <v>1</v>
      </c>
      <c r="BX157" s="18">
        <f>IF(AF157="","",--(AF157='Codebook'!$F$25))</f>
        <v>1</v>
      </c>
      <c r="BY157" s="18">
        <f>IF(AG157="","",--(AG157='Codebook'!$F$26))</f>
        <v>0</v>
      </c>
      <c r="BZ157" s="18">
        <f>IF(AH157="","",--(AH157='Codebook'!$F$27))</f>
        <v>1</v>
      </c>
      <c r="CA157" s="18">
        <f>IF(AI157="","",--(AI157='Codebook'!$F$28))</f>
        <v>1</v>
      </c>
      <c r="CB157" s="18">
        <f>IF(AJ157="","",--(AJ157='Codebook'!$F$29))</f>
        <v>1</v>
      </c>
      <c r="CC157" s="18">
        <f>IF(AK157="","",--(AK157='Codebook'!$F$30))</f>
        <v>1</v>
      </c>
      <c r="CD157" s="18">
        <f>IF(AL157="","",--(AL157='Codebook'!$F$31))</f>
        <v>1</v>
      </c>
      <c r="CE157" s="18">
        <f>IF(AM157="","",--(AM157='Codebook'!$F$32))</f>
        <v>1</v>
      </c>
      <c r="CF157" s="18">
        <f>IF(AN157="","",--(AN157='Codebook'!$F$33))</f>
        <v>1</v>
      </c>
      <c r="CG157" s="18">
        <f>IF(AO157="","",--(AO157='Codebook'!$F$34))</f>
        <v>1</v>
      </c>
      <c r="CH157" s="18">
        <f>IF(AP157="","",--(AP157='Codebook'!$F$35))</f>
        <v>1</v>
      </c>
      <c r="CI157" s="18">
        <f>IF(AQ157="","",--(AQ157='Codebook'!$F$36))</f>
        <v>1</v>
      </c>
      <c r="CJ157" s="18">
        <f>IF(AR157="","",--(AR157='Codebook'!$F$37))</f>
        <v>1</v>
      </c>
      <c r="CK157" s="18">
        <f>IF(AS157="","",--(AS157='Codebook'!$F$38))</f>
        <v>1</v>
      </c>
      <c r="CL157" s="18">
        <f>IF(AT157="","",--(AT157='Codebook'!$F$39))</f>
        <v>1</v>
      </c>
      <c r="CM157" s="18">
        <f>IF(AU157="","",--(AU157='Codebook'!$F$40))</f>
        <v>1</v>
      </c>
      <c r="CN157" s="18">
        <f>IF(AV157="","",--(AV157='Codebook'!$F$41))</f>
        <v>1</v>
      </c>
      <c r="CO157" s="18">
        <f>IF(AW157="","",--(AW157='Codebook'!$F$42))</f>
        <v>1</v>
      </c>
      <c r="CP157" s="18">
        <f>IF(AX157="","",--(AX157='Codebook'!$F$43))</f>
        <v>1</v>
      </c>
      <c r="CQ157" s="18">
        <f>IF(AY157="","",--(AY157='Codebook'!$F$44))</f>
        <v>1</v>
      </c>
      <c r="CR157" s="18">
        <f>IF(AZ157="","",--(AZ157='Codebook'!$F$45))</f>
        <v>1</v>
      </c>
    </row>
    <row r="158" spans="2:96" ht="24" customHeight="1">
      <c r="B158" s="18">
        <v>153</v>
      </c>
      <c r="C158" s="23">
        <v>46285.34227909723</v>
      </c>
      <c r="D158" s="21" t="s">
        <v>268</v>
      </c>
      <c r="E158" s="21" t="s">
        <v>194</v>
      </c>
      <c r="F158" s="21" t="s">
        <v>201</v>
      </c>
      <c r="G158" s="17" t="s">
        <v>196</v>
      </c>
      <c r="H158" s="21" t="s">
        <v>197</v>
      </c>
      <c r="I158" s="18">
        <f>SUM(BL158:BU158)</f>
        <v>8</v>
      </c>
      <c r="J158" s="18">
        <f>IF(COUNT(BV158:CD158)=9,SUM(BV158:CD158),"")</f>
        <v>7</v>
      </c>
      <c r="K158" s="18">
        <f>SUM(BL158:CD158)</f>
        <v>15</v>
      </c>
      <c r="L158" s="18">
        <f>--(K158&gt;='Codebook'!$C$8)</f>
        <v>1</v>
      </c>
      <c r="M158" s="18">
        <f>--(COUNT(BL158:CD158)=19)</f>
        <v>1</v>
      </c>
      <c r="N158" s="18">
        <f>SUM(CE158:CL158)</f>
        <v>4</v>
      </c>
      <c r="O158" s="18">
        <f>SUM(CM158:CR158)</f>
        <v>3</v>
      </c>
      <c r="P158" s="18">
        <f>N158+O158</f>
        <v>7</v>
      </c>
      <c r="Q158" s="21" t="s">
        <v>197</v>
      </c>
      <c r="R158" s="17" t="s">
        <v>158</v>
      </c>
      <c r="S158" s="18">
        <f>--OR(Overview!$B$6="All",E158=Overview!$B$6)*--OR(Overview!$F$6="All",F158=Overview!$F$6)*--OR(Overview!$J$6="All",G158=Overview!$J$6)*--OR(Overview!$N$6="All",H158=Overview!$N$6)</f>
        <v>1</v>
      </c>
      <c r="T158" s="21" t="s">
        <v>22</v>
      </c>
      <c r="U158" s="21" t="s">
        <v>22</v>
      </c>
      <c r="V158" s="21" t="s">
        <v>22</v>
      </c>
      <c r="W158" s="21" t="s">
        <v>22</v>
      </c>
      <c r="X158" s="21" t="s">
        <v>22</v>
      </c>
      <c r="Y158" s="21" t="s">
        <v>26</v>
      </c>
      <c r="Z158" s="21" t="s">
        <v>22</v>
      </c>
      <c r="AA158" s="21" t="s">
        <v>22</v>
      </c>
      <c r="AB158" s="21" t="s">
        <v>26</v>
      </c>
      <c r="AC158" s="21" t="s">
        <v>22</v>
      </c>
      <c r="AD158" s="21" t="s">
        <v>22</v>
      </c>
      <c r="AE158" s="21" t="s">
        <v>22</v>
      </c>
      <c r="AF158" s="21" t="s">
        <v>26</v>
      </c>
      <c r="AG158" s="21" t="s">
        <v>26</v>
      </c>
      <c r="AH158" s="21" t="s">
        <v>22</v>
      </c>
      <c r="AI158" s="21" t="s">
        <v>26</v>
      </c>
      <c r="AJ158" s="21" t="s">
        <v>22</v>
      </c>
      <c r="AK158" s="21" t="s">
        <v>22</v>
      </c>
      <c r="AL158" s="21" t="s">
        <v>26</v>
      </c>
      <c r="AM158" s="21" t="s">
        <v>83</v>
      </c>
      <c r="AN158" s="21" t="s">
        <v>83</v>
      </c>
      <c r="AO158" s="21" t="s">
        <v>83</v>
      </c>
      <c r="AP158" s="21" t="s">
        <v>198</v>
      </c>
      <c r="AQ158" s="21" t="s">
        <v>198</v>
      </c>
      <c r="AR158" s="21" t="s">
        <v>83</v>
      </c>
      <c r="AS158" s="21" t="s">
        <v>198</v>
      </c>
      <c r="AT158" s="21" t="s">
        <v>109</v>
      </c>
      <c r="AU158" s="21" t="s">
        <v>109</v>
      </c>
      <c r="AV158" s="21" t="s">
        <v>109</v>
      </c>
      <c r="AW158" s="21" t="s">
        <v>198</v>
      </c>
      <c r="AX158" s="21" t="s">
        <v>198</v>
      </c>
      <c r="AY158" s="21" t="s">
        <v>198</v>
      </c>
      <c r="AZ158" s="21" t="s">
        <v>109</v>
      </c>
      <c r="BA158" s="17" t="s">
        <v>228</v>
      </c>
      <c r="BB158" s="17" t="s">
        <v>225</v>
      </c>
      <c r="BC158" s="18">
        <f>--ISNUMBER(SEARCH("Radio or television",BA158))</f>
        <v>1</v>
      </c>
      <c r="BD158" s="18">
        <f>--ISNUMBER(SEARCH("Newspapers or print media",BA158))</f>
        <v>1</v>
      </c>
      <c r="BE158" s="18">
        <f>--ISNUMBER(SEARCH("Social media (e.g. Facebook, WhatsApp, YouTube, X/Twitter)",BA158))</f>
        <v>1</v>
      </c>
      <c r="BF158" s="18">
        <f>--ISNUMBER(SEARCH("Family members",BA158))</f>
        <v>1</v>
      </c>
      <c r="BG158" s="18">
        <f>--ISNUMBER(SEARCH("Friends or fellow students",BA158))</f>
        <v>1</v>
      </c>
      <c r="BH158" s="18">
        <f>--ISNUMBER(SEARCH("School coursework or lectures",BA158))</f>
        <v>1</v>
      </c>
      <c r="BI158" s="18">
        <f>--ISNUMBER(SEARCH("NHIMA outreach activities or NHIMA offices",BA158))</f>
        <v>1</v>
      </c>
      <c r="BJ158" s="18">
        <f>--ISNUMBER(SEARCH("Health facility staff",BA158))</f>
        <v>1</v>
      </c>
      <c r="BK158" s="18">
        <f>--ISNUMBER(SEARCH("not received information",BA158))</f>
        <v>0</v>
      </c>
      <c r="BL158" s="18">
        <f>IF(T158="","",--(T158='Codebook'!$F$13))</f>
        <v>1</v>
      </c>
      <c r="BM158" s="18">
        <f>IF(U158="","",--(U158='Codebook'!$F$14))</f>
        <v>0</v>
      </c>
      <c r="BN158" s="18">
        <f>IF(V158="","",--(V158='Codebook'!$F$15))</f>
        <v>0</v>
      </c>
      <c r="BO158" s="18">
        <f>IF(W158="","",--(W158='Codebook'!$F$16))</f>
        <v>1</v>
      </c>
      <c r="BP158" s="18">
        <f>IF(X158="","",--(X158='Codebook'!$F$17))</f>
        <v>1</v>
      </c>
      <c r="BQ158" s="18">
        <f>IF(Y158="","",--(Y158='Codebook'!$F$18))</f>
        <v>1</v>
      </c>
      <c r="BR158" s="18">
        <f>IF(Z158="","",--(Z158='Codebook'!$F$19))</f>
        <v>1</v>
      </c>
      <c r="BS158" s="18">
        <f>IF(AA158="","",--(AA158='Codebook'!$F$20))</f>
        <v>1</v>
      </c>
      <c r="BT158" s="18">
        <f>IF(AB158="","",--(AB158='Codebook'!$F$21))</f>
        <v>1</v>
      </c>
      <c r="BU158" s="18">
        <f>IF(AC158="","",--(AC158='Codebook'!$F$22))</f>
        <v>1</v>
      </c>
      <c r="BV158" s="18">
        <f>IF(AD158="","",--(AD158='Codebook'!$F$23))</f>
        <v>1</v>
      </c>
      <c r="BW158" s="18">
        <f>IF(AE158="","",--(AE158='Codebook'!$F$24))</f>
        <v>1</v>
      </c>
      <c r="BX158" s="18">
        <f>IF(AF158="","",--(AF158='Codebook'!$F$25))</f>
        <v>1</v>
      </c>
      <c r="BY158" s="18">
        <f>IF(AG158="","",--(AG158='Codebook'!$F$26))</f>
        <v>0</v>
      </c>
      <c r="BZ158" s="18">
        <f>IF(AH158="","",--(AH158='Codebook'!$F$27))</f>
        <v>1</v>
      </c>
      <c r="CA158" s="18">
        <f>IF(AI158="","",--(AI158='Codebook'!$F$28))</f>
        <v>1</v>
      </c>
      <c r="CB158" s="18">
        <f>IF(AJ158="","",--(AJ158='Codebook'!$F$29))</f>
        <v>0</v>
      </c>
      <c r="CC158" s="18">
        <f>IF(AK158="","",--(AK158='Codebook'!$F$30))</f>
        <v>1</v>
      </c>
      <c r="CD158" s="18">
        <f>IF(AL158="","",--(AL158='Codebook'!$F$31))</f>
        <v>1</v>
      </c>
      <c r="CE158" s="18">
        <f>IF(AM158="","",--(AM158='Codebook'!$F$32))</f>
        <v>1</v>
      </c>
      <c r="CF158" s="18">
        <f>IF(AN158="","",--(AN158='Codebook'!$F$33))</f>
        <v>1</v>
      </c>
      <c r="CG158" s="18">
        <f>IF(AO158="","",--(AO158='Codebook'!$F$34))</f>
        <v>1</v>
      </c>
      <c r="CH158" s="18">
        <f>IF(AP158="","",--(AP158='Codebook'!$F$35))</f>
        <v>0</v>
      </c>
      <c r="CI158" s="18">
        <f>IF(AQ158="","",--(AQ158='Codebook'!$F$36))</f>
        <v>0</v>
      </c>
      <c r="CJ158" s="18">
        <f>IF(AR158="","",--(AR158='Codebook'!$F$37))</f>
        <v>1</v>
      </c>
      <c r="CK158" s="18">
        <f>IF(AS158="","",--(AS158='Codebook'!$F$38))</f>
        <v>0</v>
      </c>
      <c r="CL158" s="18">
        <f>IF(AT158="","",--(AT158='Codebook'!$F$39))</f>
        <v>0</v>
      </c>
      <c r="CM158" s="18">
        <f>IF(AU158="","",--(AU158='Codebook'!$F$40))</f>
        <v>1</v>
      </c>
      <c r="CN158" s="18">
        <f>IF(AV158="","",--(AV158='Codebook'!$F$41))</f>
        <v>1</v>
      </c>
      <c r="CO158" s="18">
        <f>IF(AW158="","",--(AW158='Codebook'!$F$42))</f>
        <v>0</v>
      </c>
      <c r="CP158" s="18">
        <f>IF(AX158="","",--(AX158='Codebook'!$F$43))</f>
        <v>0</v>
      </c>
      <c r="CQ158" s="18">
        <f>IF(AY158="","",--(AY158='Codebook'!$F$44))</f>
        <v>0</v>
      </c>
      <c r="CR158" s="18">
        <f>IF(AZ158="","",--(AZ158='Codebook'!$F$45))</f>
        <v>1</v>
      </c>
    </row>
    <row r="159" spans="2:96" ht="24" customHeight="1">
      <c r="B159" s="18">
        <v>154</v>
      </c>
      <c r="C159" s="23">
        <v>46285.34284893519</v>
      </c>
      <c r="D159" s="21" t="s">
        <v>268</v>
      </c>
      <c r="E159" s="21" t="s">
        <v>206</v>
      </c>
      <c r="F159" s="21" t="s">
        <v>226</v>
      </c>
      <c r="G159" s="17" t="s">
        <v>196</v>
      </c>
      <c r="H159" s="21" t="s">
        <v>207</v>
      </c>
      <c r="I159" s="18">
        <f>SUM(BL159:BU159)</f>
        <v>10</v>
      </c>
      <c r="J159" s="18">
        <f>IF(COUNT(BV159:CD159)=9,SUM(BV159:CD159),"")</f>
        <v>7</v>
      </c>
      <c r="K159" s="18">
        <f>SUM(BL159:CD159)</f>
        <v>17</v>
      </c>
      <c r="L159" s="18">
        <f>--(K159&gt;='Codebook'!$C$8)</f>
        <v>1</v>
      </c>
      <c r="M159" s="18">
        <f>--(COUNT(BL159:CD159)=19)</f>
        <v>1</v>
      </c>
      <c r="N159" s="18">
        <f>SUM(CE159:CL159)</f>
        <v>8</v>
      </c>
      <c r="O159" s="18">
        <f>SUM(CM159:CR159)</f>
        <v>6</v>
      </c>
      <c r="P159" s="18">
        <f>N159+O159</f>
        <v>14</v>
      </c>
      <c r="Q159" s="21" t="s">
        <v>197</v>
      </c>
      <c r="R159" s="17" t="s">
        <v>154</v>
      </c>
      <c r="S159" s="18">
        <f>--OR(Overview!$B$6="All",E159=Overview!$B$6)*--OR(Overview!$F$6="All",F159=Overview!$F$6)*--OR(Overview!$J$6="All",G159=Overview!$J$6)*--OR(Overview!$N$6="All",H159=Overview!$N$6)</f>
        <v>1</v>
      </c>
      <c r="T159" s="21" t="s">
        <v>22</v>
      </c>
      <c r="U159" s="21" t="s">
        <v>26</v>
      </c>
      <c r="V159" s="21" t="s">
        <v>26</v>
      </c>
      <c r="W159" s="21" t="s">
        <v>22</v>
      </c>
      <c r="X159" s="21" t="s">
        <v>22</v>
      </c>
      <c r="Y159" s="21" t="s">
        <v>26</v>
      </c>
      <c r="Z159" s="21" t="s">
        <v>22</v>
      </c>
      <c r="AA159" s="21" t="s">
        <v>22</v>
      </c>
      <c r="AB159" s="21" t="s">
        <v>26</v>
      </c>
      <c r="AC159" s="21" t="s">
        <v>22</v>
      </c>
      <c r="AD159" s="21" t="s">
        <v>22</v>
      </c>
      <c r="AE159" s="21" t="s">
        <v>22</v>
      </c>
      <c r="AF159" s="21" t="s">
        <v>26</v>
      </c>
      <c r="AG159" s="21" t="s">
        <v>26</v>
      </c>
      <c r="AH159" s="21" t="s">
        <v>22</v>
      </c>
      <c r="AI159" s="21" t="s">
        <v>26</v>
      </c>
      <c r="AJ159" s="21" t="s">
        <v>22</v>
      </c>
      <c r="AK159" s="21" t="s">
        <v>22</v>
      </c>
      <c r="AL159" s="21" t="s">
        <v>26</v>
      </c>
      <c r="AM159" s="21" t="s">
        <v>83</v>
      </c>
      <c r="AN159" s="21" t="s">
        <v>83</v>
      </c>
      <c r="AO159" s="21" t="s">
        <v>83</v>
      </c>
      <c r="AP159" s="21" t="s">
        <v>83</v>
      </c>
      <c r="AQ159" s="21" t="s">
        <v>83</v>
      </c>
      <c r="AR159" s="21" t="s">
        <v>83</v>
      </c>
      <c r="AS159" s="21" t="s">
        <v>83</v>
      </c>
      <c r="AT159" s="21" t="s">
        <v>83</v>
      </c>
      <c r="AU159" s="21" t="s">
        <v>109</v>
      </c>
      <c r="AV159" s="21" t="s">
        <v>109</v>
      </c>
      <c r="AW159" s="21" t="s">
        <v>109</v>
      </c>
      <c r="AX159" s="21" t="s">
        <v>109</v>
      </c>
      <c r="AY159" s="21" t="s">
        <v>109</v>
      </c>
      <c r="AZ159" s="21" t="s">
        <v>109</v>
      </c>
      <c r="BA159" s="17" t="s">
        <v>228</v>
      </c>
      <c r="BB159" s="17" t="s">
        <v>250</v>
      </c>
      <c r="BC159" s="18">
        <f>--ISNUMBER(SEARCH("Radio or television",BA159))</f>
        <v>1</v>
      </c>
      <c r="BD159" s="18">
        <f>--ISNUMBER(SEARCH("Newspapers or print media",BA159))</f>
        <v>1</v>
      </c>
      <c r="BE159" s="18">
        <f>--ISNUMBER(SEARCH("Social media (e.g. Facebook, WhatsApp, YouTube, X/Twitter)",BA159))</f>
        <v>1</v>
      </c>
      <c r="BF159" s="18">
        <f>--ISNUMBER(SEARCH("Family members",BA159))</f>
        <v>1</v>
      </c>
      <c r="BG159" s="18">
        <f>--ISNUMBER(SEARCH("Friends or fellow students",BA159))</f>
        <v>1</v>
      </c>
      <c r="BH159" s="18">
        <f>--ISNUMBER(SEARCH("School coursework or lectures",BA159))</f>
        <v>1</v>
      </c>
      <c r="BI159" s="18">
        <f>--ISNUMBER(SEARCH("NHIMA outreach activities or NHIMA offices",BA159))</f>
        <v>1</v>
      </c>
      <c r="BJ159" s="18">
        <f>--ISNUMBER(SEARCH("Health facility staff",BA159))</f>
        <v>1</v>
      </c>
      <c r="BK159" s="18">
        <f>--ISNUMBER(SEARCH("not received information",BA159))</f>
        <v>0</v>
      </c>
      <c r="BL159" s="18">
        <f>IF(T159="","",--(T159='Codebook'!$F$13))</f>
        <v>1</v>
      </c>
      <c r="BM159" s="18">
        <f>IF(U159="","",--(U159='Codebook'!$F$14))</f>
        <v>1</v>
      </c>
      <c r="BN159" s="18">
        <f>IF(V159="","",--(V159='Codebook'!$F$15))</f>
        <v>1</v>
      </c>
      <c r="BO159" s="18">
        <f>IF(W159="","",--(W159='Codebook'!$F$16))</f>
        <v>1</v>
      </c>
      <c r="BP159" s="18">
        <f>IF(X159="","",--(X159='Codebook'!$F$17))</f>
        <v>1</v>
      </c>
      <c r="BQ159" s="18">
        <f>IF(Y159="","",--(Y159='Codebook'!$F$18))</f>
        <v>1</v>
      </c>
      <c r="BR159" s="18">
        <f>IF(Z159="","",--(Z159='Codebook'!$F$19))</f>
        <v>1</v>
      </c>
      <c r="BS159" s="18">
        <f>IF(AA159="","",--(AA159='Codebook'!$F$20))</f>
        <v>1</v>
      </c>
      <c r="BT159" s="18">
        <f>IF(AB159="","",--(AB159='Codebook'!$F$21))</f>
        <v>1</v>
      </c>
      <c r="BU159" s="18">
        <f>IF(AC159="","",--(AC159='Codebook'!$F$22))</f>
        <v>1</v>
      </c>
      <c r="BV159" s="18">
        <f>IF(AD159="","",--(AD159='Codebook'!$F$23))</f>
        <v>1</v>
      </c>
      <c r="BW159" s="18">
        <f>IF(AE159="","",--(AE159='Codebook'!$F$24))</f>
        <v>1</v>
      </c>
      <c r="BX159" s="18">
        <f>IF(AF159="","",--(AF159='Codebook'!$F$25))</f>
        <v>1</v>
      </c>
      <c r="BY159" s="18">
        <f>IF(AG159="","",--(AG159='Codebook'!$F$26))</f>
        <v>0</v>
      </c>
      <c r="BZ159" s="18">
        <f>IF(AH159="","",--(AH159='Codebook'!$F$27))</f>
        <v>1</v>
      </c>
      <c r="CA159" s="18">
        <f>IF(AI159="","",--(AI159='Codebook'!$F$28))</f>
        <v>1</v>
      </c>
      <c r="CB159" s="18">
        <f>IF(AJ159="","",--(AJ159='Codebook'!$F$29))</f>
        <v>0</v>
      </c>
      <c r="CC159" s="18">
        <f>IF(AK159="","",--(AK159='Codebook'!$F$30))</f>
        <v>1</v>
      </c>
      <c r="CD159" s="18">
        <f>IF(AL159="","",--(AL159='Codebook'!$F$31))</f>
        <v>1</v>
      </c>
      <c r="CE159" s="18">
        <f>IF(AM159="","",--(AM159='Codebook'!$F$32))</f>
        <v>1</v>
      </c>
      <c r="CF159" s="18">
        <f>IF(AN159="","",--(AN159='Codebook'!$F$33))</f>
        <v>1</v>
      </c>
      <c r="CG159" s="18">
        <f>IF(AO159="","",--(AO159='Codebook'!$F$34))</f>
        <v>1</v>
      </c>
      <c r="CH159" s="18">
        <f>IF(AP159="","",--(AP159='Codebook'!$F$35))</f>
        <v>1</v>
      </c>
      <c r="CI159" s="18">
        <f>IF(AQ159="","",--(AQ159='Codebook'!$F$36))</f>
        <v>1</v>
      </c>
      <c r="CJ159" s="18">
        <f>IF(AR159="","",--(AR159='Codebook'!$F$37))</f>
        <v>1</v>
      </c>
      <c r="CK159" s="18">
        <f>IF(AS159="","",--(AS159='Codebook'!$F$38))</f>
        <v>1</v>
      </c>
      <c r="CL159" s="18">
        <f>IF(AT159="","",--(AT159='Codebook'!$F$39))</f>
        <v>1</v>
      </c>
      <c r="CM159" s="18">
        <f>IF(AU159="","",--(AU159='Codebook'!$F$40))</f>
        <v>1</v>
      </c>
      <c r="CN159" s="18">
        <f>IF(AV159="","",--(AV159='Codebook'!$F$41))</f>
        <v>1</v>
      </c>
      <c r="CO159" s="18">
        <f>IF(AW159="","",--(AW159='Codebook'!$F$42))</f>
        <v>1</v>
      </c>
      <c r="CP159" s="18">
        <f>IF(AX159="","",--(AX159='Codebook'!$F$43))</f>
        <v>1</v>
      </c>
      <c r="CQ159" s="18">
        <f>IF(AY159="","",--(AY159='Codebook'!$F$44))</f>
        <v>1</v>
      </c>
      <c r="CR159" s="18">
        <f>IF(AZ159="","",--(AZ159='Codebook'!$F$45))</f>
        <v>1</v>
      </c>
    </row>
    <row r="160" spans="2:96" ht="24" customHeight="1">
      <c r="B160" s="18">
        <v>155</v>
      </c>
      <c r="C160" s="23">
        <v>46285.34431105324</v>
      </c>
      <c r="D160" s="21" t="s">
        <v>268</v>
      </c>
      <c r="E160" s="21" t="s">
        <v>206</v>
      </c>
      <c r="F160" s="21" t="s">
        <v>201</v>
      </c>
      <c r="G160" s="17" t="s">
        <v>202</v>
      </c>
      <c r="H160" s="21" t="s">
        <v>207</v>
      </c>
      <c r="I160" s="18">
        <f>SUM(BL160:BU160)</f>
        <v>10</v>
      </c>
      <c r="J160" s="18">
        <f>IF(COUNT(BV160:CD160)=9,SUM(BV160:CD160),"")</f>
        <v>7</v>
      </c>
      <c r="K160" s="18">
        <f>SUM(BL160:CD160)</f>
        <v>17</v>
      </c>
      <c r="L160" s="18">
        <f>--(K160&gt;='Codebook'!$C$8)</f>
        <v>1</v>
      </c>
      <c r="M160" s="18">
        <f>--(COUNT(BL160:CD160)=19)</f>
        <v>1</v>
      </c>
      <c r="N160" s="18">
        <f>SUM(CE160:CL160)</f>
        <v>8</v>
      </c>
      <c r="O160" s="18">
        <f>SUM(CM160:CR160)</f>
        <v>6</v>
      </c>
      <c r="P160" s="18">
        <f>N160+O160</f>
        <v>14</v>
      </c>
      <c r="Q160" s="21" t="s">
        <v>197</v>
      </c>
      <c r="R160" s="17" t="s">
        <v>154</v>
      </c>
      <c r="S160" s="18">
        <f>--OR(Overview!$B$6="All",E160=Overview!$B$6)*--OR(Overview!$F$6="All",F160=Overview!$F$6)*--OR(Overview!$J$6="All",G160=Overview!$J$6)*--OR(Overview!$N$6="All",H160=Overview!$N$6)</f>
        <v>1</v>
      </c>
      <c r="T160" s="21" t="s">
        <v>22</v>
      </c>
      <c r="U160" s="21" t="s">
        <v>26</v>
      </c>
      <c r="V160" s="21" t="s">
        <v>26</v>
      </c>
      <c r="W160" s="21" t="s">
        <v>22</v>
      </c>
      <c r="X160" s="21" t="s">
        <v>22</v>
      </c>
      <c r="Y160" s="21" t="s">
        <v>26</v>
      </c>
      <c r="Z160" s="21" t="s">
        <v>22</v>
      </c>
      <c r="AA160" s="21" t="s">
        <v>22</v>
      </c>
      <c r="AB160" s="21" t="s">
        <v>26</v>
      </c>
      <c r="AC160" s="21" t="s">
        <v>22</v>
      </c>
      <c r="AD160" s="21" t="s">
        <v>22</v>
      </c>
      <c r="AE160" s="21" t="s">
        <v>22</v>
      </c>
      <c r="AF160" s="21" t="s">
        <v>26</v>
      </c>
      <c r="AG160" s="21" t="s">
        <v>26</v>
      </c>
      <c r="AH160" s="21" t="s">
        <v>22</v>
      </c>
      <c r="AI160" s="21" t="s">
        <v>26</v>
      </c>
      <c r="AJ160" s="21" t="s">
        <v>22</v>
      </c>
      <c r="AK160" s="21" t="s">
        <v>22</v>
      </c>
      <c r="AL160" s="21" t="s">
        <v>26</v>
      </c>
      <c r="AM160" s="21" t="s">
        <v>83</v>
      </c>
      <c r="AN160" s="21" t="s">
        <v>83</v>
      </c>
      <c r="AO160" s="21" t="s">
        <v>83</v>
      </c>
      <c r="AP160" s="21" t="s">
        <v>83</v>
      </c>
      <c r="AQ160" s="21" t="s">
        <v>83</v>
      </c>
      <c r="AR160" s="21" t="s">
        <v>83</v>
      </c>
      <c r="AS160" s="21" t="s">
        <v>83</v>
      </c>
      <c r="AT160" s="21" t="s">
        <v>83</v>
      </c>
      <c r="AU160" s="21" t="s">
        <v>109</v>
      </c>
      <c r="AV160" s="21" t="s">
        <v>109</v>
      </c>
      <c r="AW160" s="21" t="s">
        <v>109</v>
      </c>
      <c r="AX160" s="21" t="s">
        <v>109</v>
      </c>
      <c r="AY160" s="21" t="s">
        <v>109</v>
      </c>
      <c r="AZ160" s="21" t="s">
        <v>109</v>
      </c>
      <c r="BA160" s="17" t="s">
        <v>228</v>
      </c>
      <c r="BB160" s="17" t="s">
        <v>250</v>
      </c>
      <c r="BC160" s="18">
        <f>--ISNUMBER(SEARCH("Radio or television",BA160))</f>
        <v>1</v>
      </c>
      <c r="BD160" s="18">
        <f>--ISNUMBER(SEARCH("Newspapers or print media",BA160))</f>
        <v>1</v>
      </c>
      <c r="BE160" s="18">
        <f>--ISNUMBER(SEARCH("Social media (e.g. Facebook, WhatsApp, YouTube, X/Twitter)",BA160))</f>
        <v>1</v>
      </c>
      <c r="BF160" s="18">
        <f>--ISNUMBER(SEARCH("Family members",BA160))</f>
        <v>1</v>
      </c>
      <c r="BG160" s="18">
        <f>--ISNUMBER(SEARCH("Friends or fellow students",BA160))</f>
        <v>1</v>
      </c>
      <c r="BH160" s="18">
        <f>--ISNUMBER(SEARCH("School coursework or lectures",BA160))</f>
        <v>1</v>
      </c>
      <c r="BI160" s="18">
        <f>--ISNUMBER(SEARCH("NHIMA outreach activities or NHIMA offices",BA160))</f>
        <v>1</v>
      </c>
      <c r="BJ160" s="18">
        <f>--ISNUMBER(SEARCH("Health facility staff",BA160))</f>
        <v>1</v>
      </c>
      <c r="BK160" s="18">
        <f>--ISNUMBER(SEARCH("not received information",BA160))</f>
        <v>0</v>
      </c>
      <c r="BL160" s="18">
        <f>IF(T160="","",--(T160='Codebook'!$F$13))</f>
        <v>1</v>
      </c>
      <c r="BM160" s="18">
        <f>IF(U160="","",--(U160='Codebook'!$F$14))</f>
        <v>1</v>
      </c>
      <c r="BN160" s="18">
        <f>IF(V160="","",--(V160='Codebook'!$F$15))</f>
        <v>1</v>
      </c>
      <c r="BO160" s="18">
        <f>IF(W160="","",--(W160='Codebook'!$F$16))</f>
        <v>1</v>
      </c>
      <c r="BP160" s="18">
        <f>IF(X160="","",--(X160='Codebook'!$F$17))</f>
        <v>1</v>
      </c>
      <c r="BQ160" s="18">
        <f>IF(Y160="","",--(Y160='Codebook'!$F$18))</f>
        <v>1</v>
      </c>
      <c r="BR160" s="18">
        <f>IF(Z160="","",--(Z160='Codebook'!$F$19))</f>
        <v>1</v>
      </c>
      <c r="BS160" s="18">
        <f>IF(AA160="","",--(AA160='Codebook'!$F$20))</f>
        <v>1</v>
      </c>
      <c r="BT160" s="18">
        <f>IF(AB160="","",--(AB160='Codebook'!$F$21))</f>
        <v>1</v>
      </c>
      <c r="BU160" s="18">
        <f>IF(AC160="","",--(AC160='Codebook'!$F$22))</f>
        <v>1</v>
      </c>
      <c r="BV160" s="18">
        <f>IF(AD160="","",--(AD160='Codebook'!$F$23))</f>
        <v>1</v>
      </c>
      <c r="BW160" s="18">
        <f>IF(AE160="","",--(AE160='Codebook'!$F$24))</f>
        <v>1</v>
      </c>
      <c r="BX160" s="18">
        <f>IF(AF160="","",--(AF160='Codebook'!$F$25))</f>
        <v>1</v>
      </c>
      <c r="BY160" s="18">
        <f>IF(AG160="","",--(AG160='Codebook'!$F$26))</f>
        <v>0</v>
      </c>
      <c r="BZ160" s="18">
        <f>IF(AH160="","",--(AH160='Codebook'!$F$27))</f>
        <v>1</v>
      </c>
      <c r="CA160" s="18">
        <f>IF(AI160="","",--(AI160='Codebook'!$F$28))</f>
        <v>1</v>
      </c>
      <c r="CB160" s="18">
        <f>IF(AJ160="","",--(AJ160='Codebook'!$F$29))</f>
        <v>0</v>
      </c>
      <c r="CC160" s="18">
        <f>IF(AK160="","",--(AK160='Codebook'!$F$30))</f>
        <v>1</v>
      </c>
      <c r="CD160" s="18">
        <f>IF(AL160="","",--(AL160='Codebook'!$F$31))</f>
        <v>1</v>
      </c>
      <c r="CE160" s="18">
        <f>IF(AM160="","",--(AM160='Codebook'!$F$32))</f>
        <v>1</v>
      </c>
      <c r="CF160" s="18">
        <f>IF(AN160="","",--(AN160='Codebook'!$F$33))</f>
        <v>1</v>
      </c>
      <c r="CG160" s="18">
        <f>IF(AO160="","",--(AO160='Codebook'!$F$34))</f>
        <v>1</v>
      </c>
      <c r="CH160" s="18">
        <f>IF(AP160="","",--(AP160='Codebook'!$F$35))</f>
        <v>1</v>
      </c>
      <c r="CI160" s="18">
        <f>IF(AQ160="","",--(AQ160='Codebook'!$F$36))</f>
        <v>1</v>
      </c>
      <c r="CJ160" s="18">
        <f>IF(AR160="","",--(AR160='Codebook'!$F$37))</f>
        <v>1</v>
      </c>
      <c r="CK160" s="18">
        <f>IF(AS160="","",--(AS160='Codebook'!$F$38))</f>
        <v>1</v>
      </c>
      <c r="CL160" s="18">
        <f>IF(AT160="","",--(AT160='Codebook'!$F$39))</f>
        <v>1</v>
      </c>
      <c r="CM160" s="18">
        <f>IF(AU160="","",--(AU160='Codebook'!$F$40))</f>
        <v>1</v>
      </c>
      <c r="CN160" s="18">
        <f>IF(AV160="","",--(AV160='Codebook'!$F$41))</f>
        <v>1</v>
      </c>
      <c r="CO160" s="18">
        <f>IF(AW160="","",--(AW160='Codebook'!$F$42))</f>
        <v>1</v>
      </c>
      <c r="CP160" s="18">
        <f>IF(AX160="","",--(AX160='Codebook'!$F$43))</f>
        <v>1</v>
      </c>
      <c r="CQ160" s="18">
        <f>IF(AY160="","",--(AY160='Codebook'!$F$44))</f>
        <v>1</v>
      </c>
      <c r="CR160" s="18">
        <f>IF(AZ160="","",--(AZ160='Codebook'!$F$45))</f>
        <v>1</v>
      </c>
    </row>
    <row r="161" spans="2:96" ht="24" customHeight="1">
      <c r="B161" s="18">
        <v>156</v>
      </c>
      <c r="C161" s="23">
        <v>46285.34479510417</v>
      </c>
      <c r="D161" s="21" t="s">
        <v>268</v>
      </c>
      <c r="E161" s="21" t="s">
        <v>206</v>
      </c>
      <c r="F161" s="21" t="s">
        <v>195</v>
      </c>
      <c r="G161" s="17" t="s">
        <v>247</v>
      </c>
      <c r="H161" s="21" t="s">
        <v>207</v>
      </c>
      <c r="I161" s="18">
        <f>SUM(BL161:BU161)</f>
        <v>8</v>
      </c>
      <c r="J161" s="18">
        <f>IF(COUNT(BV161:CD161)=9,SUM(BV161:CD161),"")</f>
        <v>7</v>
      </c>
      <c r="K161" s="18">
        <f>SUM(BL161:CD161)</f>
        <v>15</v>
      </c>
      <c r="L161" s="18">
        <f>--(K161&gt;='Codebook'!$C$8)</f>
        <v>1</v>
      </c>
      <c r="M161" s="18">
        <f>--(COUNT(BL161:CD161)=19)</f>
        <v>1</v>
      </c>
      <c r="N161" s="18">
        <f>SUM(CE161:CL161)</f>
        <v>5</v>
      </c>
      <c r="O161" s="18">
        <f>SUM(CM161:CR161)</f>
        <v>1</v>
      </c>
      <c r="P161" s="18">
        <f>N161+O161</f>
        <v>6</v>
      </c>
      <c r="Q161" s="21" t="s">
        <v>198</v>
      </c>
      <c r="R161" s="17" t="s">
        <v>154</v>
      </c>
      <c r="S161" s="18">
        <f>--OR(Overview!$B$6="All",E161=Overview!$B$6)*--OR(Overview!$F$6="All",F161=Overview!$F$6)*--OR(Overview!$J$6="All",G161=Overview!$J$6)*--OR(Overview!$N$6="All",H161=Overview!$N$6)</f>
        <v>1</v>
      </c>
      <c r="T161" s="21" t="s">
        <v>22</v>
      </c>
      <c r="U161" s="21" t="s">
        <v>22</v>
      </c>
      <c r="V161" s="21" t="s">
        <v>22</v>
      </c>
      <c r="W161" s="21" t="s">
        <v>22</v>
      </c>
      <c r="X161" s="21" t="s">
        <v>22</v>
      </c>
      <c r="Y161" s="21" t="s">
        <v>26</v>
      </c>
      <c r="Z161" s="21" t="s">
        <v>22</v>
      </c>
      <c r="AA161" s="21" t="s">
        <v>22</v>
      </c>
      <c r="AB161" s="21" t="s">
        <v>26</v>
      </c>
      <c r="AC161" s="21" t="s">
        <v>22</v>
      </c>
      <c r="AD161" s="21" t="s">
        <v>22</v>
      </c>
      <c r="AE161" s="21" t="s">
        <v>22</v>
      </c>
      <c r="AF161" s="21" t="s">
        <v>26</v>
      </c>
      <c r="AG161" s="21" t="s">
        <v>198</v>
      </c>
      <c r="AH161" s="21" t="s">
        <v>22</v>
      </c>
      <c r="AI161" s="21" t="s">
        <v>26</v>
      </c>
      <c r="AJ161" s="21" t="s">
        <v>22</v>
      </c>
      <c r="AK161" s="21" t="s">
        <v>22</v>
      </c>
      <c r="AL161" s="21" t="s">
        <v>26</v>
      </c>
      <c r="AM161" s="21" t="s">
        <v>83</v>
      </c>
      <c r="AN161" s="21" t="s">
        <v>83</v>
      </c>
      <c r="AO161" s="21" t="s">
        <v>83</v>
      </c>
      <c r="AP161" s="21" t="s">
        <v>83</v>
      </c>
      <c r="AQ161" s="21" t="s">
        <v>109</v>
      </c>
      <c r="AR161" s="21" t="s">
        <v>83</v>
      </c>
      <c r="AS161" s="21" t="s">
        <v>198</v>
      </c>
      <c r="AT161" s="21" t="s">
        <v>198</v>
      </c>
      <c r="AU161" s="21" t="s">
        <v>109</v>
      </c>
      <c r="AV161" s="21" t="s">
        <v>198</v>
      </c>
      <c r="AW161" s="21" t="s">
        <v>198</v>
      </c>
      <c r="AX161" s="21" t="s">
        <v>198</v>
      </c>
      <c r="AY161" s="21" t="s">
        <v>198</v>
      </c>
      <c r="AZ161" s="21" t="s">
        <v>198</v>
      </c>
      <c r="BA161" s="17" t="s">
        <v>228</v>
      </c>
      <c r="BB161" s="17" t="s">
        <v>250</v>
      </c>
      <c r="BC161" s="18">
        <f>--ISNUMBER(SEARCH("Radio or television",BA161))</f>
        <v>1</v>
      </c>
      <c r="BD161" s="18">
        <f>--ISNUMBER(SEARCH("Newspapers or print media",BA161))</f>
        <v>1</v>
      </c>
      <c r="BE161" s="18">
        <f>--ISNUMBER(SEARCH("Social media (e.g. Facebook, WhatsApp, YouTube, X/Twitter)",BA161))</f>
        <v>1</v>
      </c>
      <c r="BF161" s="18">
        <f>--ISNUMBER(SEARCH("Family members",BA161))</f>
        <v>1</v>
      </c>
      <c r="BG161" s="18">
        <f>--ISNUMBER(SEARCH("Friends or fellow students",BA161))</f>
        <v>1</v>
      </c>
      <c r="BH161" s="18">
        <f>--ISNUMBER(SEARCH("School coursework or lectures",BA161))</f>
        <v>1</v>
      </c>
      <c r="BI161" s="18">
        <f>--ISNUMBER(SEARCH("NHIMA outreach activities or NHIMA offices",BA161))</f>
        <v>1</v>
      </c>
      <c r="BJ161" s="18">
        <f>--ISNUMBER(SEARCH("Health facility staff",BA161))</f>
        <v>1</v>
      </c>
      <c r="BK161" s="18">
        <f>--ISNUMBER(SEARCH("not received information",BA161))</f>
        <v>0</v>
      </c>
      <c r="BL161" s="18">
        <f>IF(T161="","",--(T161='Codebook'!$F$13))</f>
        <v>1</v>
      </c>
      <c r="BM161" s="18">
        <f>IF(U161="","",--(U161='Codebook'!$F$14))</f>
        <v>0</v>
      </c>
      <c r="BN161" s="18">
        <f>IF(V161="","",--(V161='Codebook'!$F$15))</f>
        <v>0</v>
      </c>
      <c r="BO161" s="18">
        <f>IF(W161="","",--(W161='Codebook'!$F$16))</f>
        <v>1</v>
      </c>
      <c r="BP161" s="18">
        <f>IF(X161="","",--(X161='Codebook'!$F$17))</f>
        <v>1</v>
      </c>
      <c r="BQ161" s="18">
        <f>IF(Y161="","",--(Y161='Codebook'!$F$18))</f>
        <v>1</v>
      </c>
      <c r="BR161" s="18">
        <f>IF(Z161="","",--(Z161='Codebook'!$F$19))</f>
        <v>1</v>
      </c>
      <c r="BS161" s="18">
        <f>IF(AA161="","",--(AA161='Codebook'!$F$20))</f>
        <v>1</v>
      </c>
      <c r="BT161" s="18">
        <f>IF(AB161="","",--(AB161='Codebook'!$F$21))</f>
        <v>1</v>
      </c>
      <c r="BU161" s="18">
        <f>IF(AC161="","",--(AC161='Codebook'!$F$22))</f>
        <v>1</v>
      </c>
      <c r="BV161" s="18">
        <f>IF(AD161="","",--(AD161='Codebook'!$F$23))</f>
        <v>1</v>
      </c>
      <c r="BW161" s="18">
        <f>IF(AE161="","",--(AE161='Codebook'!$F$24))</f>
        <v>1</v>
      </c>
      <c r="BX161" s="18">
        <f>IF(AF161="","",--(AF161='Codebook'!$F$25))</f>
        <v>1</v>
      </c>
      <c r="BY161" s="18">
        <f>IF(AG161="","",--(AG161='Codebook'!$F$26))</f>
        <v>0</v>
      </c>
      <c r="BZ161" s="18">
        <f>IF(AH161="","",--(AH161='Codebook'!$F$27))</f>
        <v>1</v>
      </c>
      <c r="CA161" s="18">
        <f>IF(AI161="","",--(AI161='Codebook'!$F$28))</f>
        <v>1</v>
      </c>
      <c r="CB161" s="18">
        <f>IF(AJ161="","",--(AJ161='Codebook'!$F$29))</f>
        <v>0</v>
      </c>
      <c r="CC161" s="18">
        <f>IF(AK161="","",--(AK161='Codebook'!$F$30))</f>
        <v>1</v>
      </c>
      <c r="CD161" s="18">
        <f>IF(AL161="","",--(AL161='Codebook'!$F$31))</f>
        <v>1</v>
      </c>
      <c r="CE161" s="18">
        <f>IF(AM161="","",--(AM161='Codebook'!$F$32))</f>
        <v>1</v>
      </c>
      <c r="CF161" s="18">
        <f>IF(AN161="","",--(AN161='Codebook'!$F$33))</f>
        <v>1</v>
      </c>
      <c r="CG161" s="18">
        <f>IF(AO161="","",--(AO161='Codebook'!$F$34))</f>
        <v>1</v>
      </c>
      <c r="CH161" s="18">
        <f>IF(AP161="","",--(AP161='Codebook'!$F$35))</f>
        <v>1</v>
      </c>
      <c r="CI161" s="18">
        <f>IF(AQ161="","",--(AQ161='Codebook'!$F$36))</f>
        <v>0</v>
      </c>
      <c r="CJ161" s="18">
        <f>IF(AR161="","",--(AR161='Codebook'!$F$37))</f>
        <v>1</v>
      </c>
      <c r="CK161" s="18">
        <f>IF(AS161="","",--(AS161='Codebook'!$F$38))</f>
        <v>0</v>
      </c>
      <c r="CL161" s="18">
        <f>IF(AT161="","",--(AT161='Codebook'!$F$39))</f>
        <v>0</v>
      </c>
      <c r="CM161" s="18">
        <f>IF(AU161="","",--(AU161='Codebook'!$F$40))</f>
        <v>1</v>
      </c>
      <c r="CN161" s="18">
        <f>IF(AV161="","",--(AV161='Codebook'!$F$41))</f>
        <v>0</v>
      </c>
      <c r="CO161" s="18">
        <f>IF(AW161="","",--(AW161='Codebook'!$F$42))</f>
        <v>0</v>
      </c>
      <c r="CP161" s="18">
        <f>IF(AX161="","",--(AX161='Codebook'!$F$43))</f>
        <v>0</v>
      </c>
      <c r="CQ161" s="18">
        <f>IF(AY161="","",--(AY161='Codebook'!$F$44))</f>
        <v>0</v>
      </c>
      <c r="CR161" s="18">
        <f>IF(AZ161="","",--(AZ161='Codebook'!$F$45))</f>
        <v>0</v>
      </c>
    </row>
    <row r="162" spans="2:96" ht="24" customHeight="1">
      <c r="B162" s="18">
        <v>157</v>
      </c>
      <c r="C162" s="23">
        <v>46285.34715391204</v>
      </c>
      <c r="D162" s="21" t="s">
        <v>270</v>
      </c>
      <c r="E162" s="21" t="s">
        <v>206</v>
      </c>
      <c r="F162" s="21" t="s">
        <v>195</v>
      </c>
      <c r="G162" s="17" t="s">
        <v>202</v>
      </c>
      <c r="H162" s="21" t="s">
        <v>197</v>
      </c>
      <c r="I162" s="18">
        <f>SUM(BL162:BU162)</f>
        <v>8</v>
      </c>
      <c r="J162" s="18">
        <f>IF(COUNT(BV162:CD162)=9,SUM(BV162:CD162),"")</f>
        <v>7</v>
      </c>
      <c r="K162" s="18">
        <f>SUM(BL162:CD162)</f>
        <v>15</v>
      </c>
      <c r="L162" s="18">
        <f>--(K162&gt;='Codebook'!$C$8)</f>
        <v>1</v>
      </c>
      <c r="M162" s="18">
        <f>--(COUNT(BL162:CD162)=19)</f>
        <v>1</v>
      </c>
      <c r="N162" s="18">
        <f>SUM(CE162:CL162)</f>
        <v>5</v>
      </c>
      <c r="O162" s="18">
        <f>SUM(CM162:CR162)</f>
        <v>0</v>
      </c>
      <c r="P162" s="18">
        <f>N162+O162</f>
        <v>5</v>
      </c>
      <c r="Q162" s="21" t="s">
        <v>207</v>
      </c>
      <c r="R162" s="17" t="s">
        <v>158</v>
      </c>
      <c r="S162" s="18">
        <f>--OR(Overview!$B$6="All",E162=Overview!$B$6)*--OR(Overview!$F$6="All",F162=Overview!$F$6)*--OR(Overview!$J$6="All",G162=Overview!$J$6)*--OR(Overview!$N$6="All",H162=Overview!$N$6)</f>
        <v>1</v>
      </c>
      <c r="T162" s="21" t="s">
        <v>22</v>
      </c>
      <c r="U162" s="21" t="s">
        <v>22</v>
      </c>
      <c r="V162" s="21" t="s">
        <v>22</v>
      </c>
      <c r="W162" s="21" t="s">
        <v>22</v>
      </c>
      <c r="X162" s="21" t="s">
        <v>22</v>
      </c>
      <c r="Y162" s="21" t="s">
        <v>26</v>
      </c>
      <c r="Z162" s="21" t="s">
        <v>22</v>
      </c>
      <c r="AA162" s="21" t="s">
        <v>22</v>
      </c>
      <c r="AB162" s="21" t="s">
        <v>26</v>
      </c>
      <c r="AC162" s="21" t="s">
        <v>22</v>
      </c>
      <c r="AD162" s="21" t="s">
        <v>22</v>
      </c>
      <c r="AE162" s="21" t="s">
        <v>22</v>
      </c>
      <c r="AF162" s="21" t="s">
        <v>26</v>
      </c>
      <c r="AG162" s="21" t="s">
        <v>26</v>
      </c>
      <c r="AH162" s="21" t="s">
        <v>22</v>
      </c>
      <c r="AI162" s="21" t="s">
        <v>26</v>
      </c>
      <c r="AJ162" s="21" t="s">
        <v>22</v>
      </c>
      <c r="AK162" s="21" t="s">
        <v>22</v>
      </c>
      <c r="AL162" s="21" t="s">
        <v>26</v>
      </c>
      <c r="AM162" s="21" t="s">
        <v>83</v>
      </c>
      <c r="AN162" s="21" t="s">
        <v>83</v>
      </c>
      <c r="AO162" s="21" t="s">
        <v>83</v>
      </c>
      <c r="AP162" s="21" t="s">
        <v>83</v>
      </c>
      <c r="AQ162" s="21" t="s">
        <v>198</v>
      </c>
      <c r="AR162" s="21" t="s">
        <v>83</v>
      </c>
      <c r="AS162" s="21" t="s">
        <v>198</v>
      </c>
      <c r="AT162" s="21" t="s">
        <v>198</v>
      </c>
      <c r="AU162" s="21" t="s">
        <v>198</v>
      </c>
      <c r="AV162" s="21" t="s">
        <v>198</v>
      </c>
      <c r="AW162" s="21" t="s">
        <v>198</v>
      </c>
      <c r="AX162" s="21" t="s">
        <v>198</v>
      </c>
      <c r="AY162" s="21" t="s">
        <v>198</v>
      </c>
      <c r="AZ162" s="21" t="s">
        <v>198</v>
      </c>
      <c r="BA162" s="17" t="s">
        <v>228</v>
      </c>
      <c r="BB162" s="17" t="s">
        <v>225</v>
      </c>
      <c r="BC162" s="18">
        <f>--ISNUMBER(SEARCH("Radio or television",BA162))</f>
        <v>1</v>
      </c>
      <c r="BD162" s="18">
        <f>--ISNUMBER(SEARCH("Newspapers or print media",BA162))</f>
        <v>1</v>
      </c>
      <c r="BE162" s="18">
        <f>--ISNUMBER(SEARCH("Social media (e.g. Facebook, WhatsApp, YouTube, X/Twitter)",BA162))</f>
        <v>1</v>
      </c>
      <c r="BF162" s="18">
        <f>--ISNUMBER(SEARCH("Family members",BA162))</f>
        <v>1</v>
      </c>
      <c r="BG162" s="18">
        <f>--ISNUMBER(SEARCH("Friends or fellow students",BA162))</f>
        <v>1</v>
      </c>
      <c r="BH162" s="18">
        <f>--ISNUMBER(SEARCH("School coursework or lectures",BA162))</f>
        <v>1</v>
      </c>
      <c r="BI162" s="18">
        <f>--ISNUMBER(SEARCH("NHIMA outreach activities or NHIMA offices",BA162))</f>
        <v>1</v>
      </c>
      <c r="BJ162" s="18">
        <f>--ISNUMBER(SEARCH("Health facility staff",BA162))</f>
        <v>1</v>
      </c>
      <c r="BK162" s="18">
        <f>--ISNUMBER(SEARCH("not received information",BA162))</f>
        <v>0</v>
      </c>
      <c r="BL162" s="18">
        <f>IF(T162="","",--(T162='Codebook'!$F$13))</f>
        <v>1</v>
      </c>
      <c r="BM162" s="18">
        <f>IF(U162="","",--(U162='Codebook'!$F$14))</f>
        <v>0</v>
      </c>
      <c r="BN162" s="18">
        <f>IF(V162="","",--(V162='Codebook'!$F$15))</f>
        <v>0</v>
      </c>
      <c r="BO162" s="18">
        <f>IF(W162="","",--(W162='Codebook'!$F$16))</f>
        <v>1</v>
      </c>
      <c r="BP162" s="18">
        <f>IF(X162="","",--(X162='Codebook'!$F$17))</f>
        <v>1</v>
      </c>
      <c r="BQ162" s="18">
        <f>IF(Y162="","",--(Y162='Codebook'!$F$18))</f>
        <v>1</v>
      </c>
      <c r="BR162" s="18">
        <f>IF(Z162="","",--(Z162='Codebook'!$F$19))</f>
        <v>1</v>
      </c>
      <c r="BS162" s="18">
        <f>IF(AA162="","",--(AA162='Codebook'!$F$20))</f>
        <v>1</v>
      </c>
      <c r="BT162" s="18">
        <f>IF(AB162="","",--(AB162='Codebook'!$F$21))</f>
        <v>1</v>
      </c>
      <c r="BU162" s="18">
        <f>IF(AC162="","",--(AC162='Codebook'!$F$22))</f>
        <v>1</v>
      </c>
      <c r="BV162" s="18">
        <f>IF(AD162="","",--(AD162='Codebook'!$F$23))</f>
        <v>1</v>
      </c>
      <c r="BW162" s="18">
        <f>IF(AE162="","",--(AE162='Codebook'!$F$24))</f>
        <v>1</v>
      </c>
      <c r="BX162" s="18">
        <f>IF(AF162="","",--(AF162='Codebook'!$F$25))</f>
        <v>1</v>
      </c>
      <c r="BY162" s="18">
        <f>IF(AG162="","",--(AG162='Codebook'!$F$26))</f>
        <v>0</v>
      </c>
      <c r="BZ162" s="18">
        <f>IF(AH162="","",--(AH162='Codebook'!$F$27))</f>
        <v>1</v>
      </c>
      <c r="CA162" s="18">
        <f>IF(AI162="","",--(AI162='Codebook'!$F$28))</f>
        <v>1</v>
      </c>
      <c r="CB162" s="18">
        <f>IF(AJ162="","",--(AJ162='Codebook'!$F$29))</f>
        <v>0</v>
      </c>
      <c r="CC162" s="18">
        <f>IF(AK162="","",--(AK162='Codebook'!$F$30))</f>
        <v>1</v>
      </c>
      <c r="CD162" s="18">
        <f>IF(AL162="","",--(AL162='Codebook'!$F$31))</f>
        <v>1</v>
      </c>
      <c r="CE162" s="18">
        <f>IF(AM162="","",--(AM162='Codebook'!$F$32))</f>
        <v>1</v>
      </c>
      <c r="CF162" s="18">
        <f>IF(AN162="","",--(AN162='Codebook'!$F$33))</f>
        <v>1</v>
      </c>
      <c r="CG162" s="18">
        <f>IF(AO162="","",--(AO162='Codebook'!$F$34))</f>
        <v>1</v>
      </c>
      <c r="CH162" s="18">
        <f>IF(AP162="","",--(AP162='Codebook'!$F$35))</f>
        <v>1</v>
      </c>
      <c r="CI162" s="18">
        <f>IF(AQ162="","",--(AQ162='Codebook'!$F$36))</f>
        <v>0</v>
      </c>
      <c r="CJ162" s="18">
        <f>IF(AR162="","",--(AR162='Codebook'!$F$37))</f>
        <v>1</v>
      </c>
      <c r="CK162" s="18">
        <f>IF(AS162="","",--(AS162='Codebook'!$F$38))</f>
        <v>0</v>
      </c>
      <c r="CL162" s="18">
        <f>IF(AT162="","",--(AT162='Codebook'!$F$39))</f>
        <v>0</v>
      </c>
      <c r="CM162" s="18">
        <f>IF(AU162="","",--(AU162='Codebook'!$F$40))</f>
        <v>0</v>
      </c>
      <c r="CN162" s="18">
        <f>IF(AV162="","",--(AV162='Codebook'!$F$41))</f>
        <v>0</v>
      </c>
      <c r="CO162" s="18">
        <f>IF(AW162="","",--(AW162='Codebook'!$F$42))</f>
        <v>0</v>
      </c>
      <c r="CP162" s="18">
        <f>IF(AX162="","",--(AX162='Codebook'!$F$43))</f>
        <v>0</v>
      </c>
      <c r="CQ162" s="18">
        <f>IF(AY162="","",--(AY162='Codebook'!$F$44))</f>
        <v>0</v>
      </c>
      <c r="CR162" s="18">
        <f>IF(AZ162="","",--(AZ162='Codebook'!$F$45))</f>
        <v>0</v>
      </c>
    </row>
    <row r="163" spans="2:96" ht="24" customHeight="1">
      <c r="B163" s="18">
        <v>158</v>
      </c>
      <c r="C163" s="23">
        <v>46285.3546303125</v>
      </c>
      <c r="D163" s="21" t="s">
        <v>275</v>
      </c>
      <c r="E163" s="21" t="s">
        <v>206</v>
      </c>
      <c r="F163" s="21" t="s">
        <v>201</v>
      </c>
      <c r="G163" s="17" t="s">
        <v>247</v>
      </c>
      <c r="H163" s="21" t="s">
        <v>197</v>
      </c>
      <c r="I163" s="18">
        <f>SUM(BL163:BU163)</f>
        <v>9</v>
      </c>
      <c r="J163" s="18">
        <f>IF(COUNT(BV163:CD163)=9,SUM(BV163:CD163),"")</f>
        <v>8</v>
      </c>
      <c r="K163" s="18">
        <f>SUM(BL163:CD163)</f>
        <v>17</v>
      </c>
      <c r="L163" s="18">
        <f>--(K163&gt;='Codebook'!$C$8)</f>
        <v>1</v>
      </c>
      <c r="M163" s="18">
        <f>--(COUNT(BL163:CD163)=19)</f>
        <v>1</v>
      </c>
      <c r="N163" s="18">
        <f>SUM(CE163:CL163)</f>
        <v>7</v>
      </c>
      <c r="O163" s="18">
        <f>SUM(CM163:CR163)</f>
        <v>2</v>
      </c>
      <c r="P163" s="18">
        <f>N163+O163</f>
        <v>9</v>
      </c>
      <c r="Q163" s="21" t="s">
        <v>207</v>
      </c>
      <c r="R163" s="17" t="s">
        <v>154</v>
      </c>
      <c r="S163" s="18">
        <f>--OR(Overview!$B$6="All",E163=Overview!$B$6)*--OR(Overview!$F$6="All",F163=Overview!$F$6)*--OR(Overview!$J$6="All",G163=Overview!$J$6)*--OR(Overview!$N$6="All",H163=Overview!$N$6)</f>
        <v>1</v>
      </c>
      <c r="T163" s="21" t="s">
        <v>22</v>
      </c>
      <c r="U163" s="21" t="s">
        <v>198</v>
      </c>
      <c r="V163" s="21" t="s">
        <v>26</v>
      </c>
      <c r="W163" s="21" t="s">
        <v>22</v>
      </c>
      <c r="X163" s="21" t="s">
        <v>22</v>
      </c>
      <c r="Y163" s="21" t="s">
        <v>26</v>
      </c>
      <c r="Z163" s="21" t="s">
        <v>22</v>
      </c>
      <c r="AA163" s="21" t="s">
        <v>22</v>
      </c>
      <c r="AB163" s="21" t="s">
        <v>26</v>
      </c>
      <c r="AC163" s="21" t="s">
        <v>22</v>
      </c>
      <c r="AD163" s="21" t="s">
        <v>22</v>
      </c>
      <c r="AE163" s="21" t="s">
        <v>22</v>
      </c>
      <c r="AF163" s="21" t="s">
        <v>26</v>
      </c>
      <c r="AG163" s="21" t="s">
        <v>198</v>
      </c>
      <c r="AH163" s="21" t="s">
        <v>22</v>
      </c>
      <c r="AI163" s="21" t="s">
        <v>26</v>
      </c>
      <c r="AJ163" s="21" t="s">
        <v>26</v>
      </c>
      <c r="AK163" s="21" t="s">
        <v>22</v>
      </c>
      <c r="AL163" s="21" t="s">
        <v>26</v>
      </c>
      <c r="AM163" s="21" t="s">
        <v>83</v>
      </c>
      <c r="AN163" s="21" t="s">
        <v>83</v>
      </c>
      <c r="AO163" s="21" t="s">
        <v>83</v>
      </c>
      <c r="AP163" s="21" t="s">
        <v>83</v>
      </c>
      <c r="AQ163" s="21" t="s">
        <v>83</v>
      </c>
      <c r="AR163" s="21" t="s">
        <v>83</v>
      </c>
      <c r="AS163" s="21" t="s">
        <v>83</v>
      </c>
      <c r="AT163" s="21" t="s">
        <v>198</v>
      </c>
      <c r="AU163" s="21" t="s">
        <v>83</v>
      </c>
      <c r="AV163" s="21" t="s">
        <v>198</v>
      </c>
      <c r="AW163" s="21" t="s">
        <v>198</v>
      </c>
      <c r="AX163" s="21" t="s">
        <v>109</v>
      </c>
      <c r="AY163" s="21" t="s">
        <v>83</v>
      </c>
      <c r="AZ163" s="21" t="s">
        <v>109</v>
      </c>
      <c r="BA163" s="17" t="s">
        <v>231</v>
      </c>
      <c r="BB163" s="17" t="s">
        <v>250</v>
      </c>
      <c r="BC163" s="18">
        <f>--ISNUMBER(SEARCH("Radio or television",BA163))</f>
        <v>0</v>
      </c>
      <c r="BD163" s="18">
        <f>--ISNUMBER(SEARCH("Newspapers or print media",BA163))</f>
        <v>0</v>
      </c>
      <c r="BE163" s="18">
        <f>--ISNUMBER(SEARCH("Social media (e.g. Facebook, WhatsApp, YouTube, X/Twitter)",BA163))</f>
        <v>1</v>
      </c>
      <c r="BF163" s="18">
        <f>--ISNUMBER(SEARCH("Family members",BA163))</f>
        <v>1</v>
      </c>
      <c r="BG163" s="18">
        <f>--ISNUMBER(SEARCH("Friends or fellow students",BA163))</f>
        <v>0</v>
      </c>
      <c r="BH163" s="18">
        <f>--ISNUMBER(SEARCH("School coursework or lectures",BA163))</f>
        <v>0</v>
      </c>
      <c r="BI163" s="18">
        <f>--ISNUMBER(SEARCH("NHIMA outreach activities or NHIMA offices",BA163))</f>
        <v>0</v>
      </c>
      <c r="BJ163" s="18">
        <f>--ISNUMBER(SEARCH("Health facility staff",BA163))</f>
        <v>0</v>
      </c>
      <c r="BK163" s="18">
        <f>--ISNUMBER(SEARCH("not received information",BA163))</f>
        <v>0</v>
      </c>
      <c r="BL163" s="18">
        <f>IF(T163="","",--(T163='Codebook'!$F$13))</f>
        <v>1</v>
      </c>
      <c r="BM163" s="18">
        <f>IF(U163="","",--(U163='Codebook'!$F$14))</f>
        <v>0</v>
      </c>
      <c r="BN163" s="18">
        <f>IF(V163="","",--(V163='Codebook'!$F$15))</f>
        <v>1</v>
      </c>
      <c r="BO163" s="18">
        <f>IF(W163="","",--(W163='Codebook'!$F$16))</f>
        <v>1</v>
      </c>
      <c r="BP163" s="18">
        <f>IF(X163="","",--(X163='Codebook'!$F$17))</f>
        <v>1</v>
      </c>
      <c r="BQ163" s="18">
        <f>IF(Y163="","",--(Y163='Codebook'!$F$18))</f>
        <v>1</v>
      </c>
      <c r="BR163" s="18">
        <f>IF(Z163="","",--(Z163='Codebook'!$F$19))</f>
        <v>1</v>
      </c>
      <c r="BS163" s="18">
        <f>IF(AA163="","",--(AA163='Codebook'!$F$20))</f>
        <v>1</v>
      </c>
      <c r="BT163" s="18">
        <f>IF(AB163="","",--(AB163='Codebook'!$F$21))</f>
        <v>1</v>
      </c>
      <c r="BU163" s="18">
        <f>IF(AC163="","",--(AC163='Codebook'!$F$22))</f>
        <v>1</v>
      </c>
      <c r="BV163" s="18">
        <f>IF(AD163="","",--(AD163='Codebook'!$F$23))</f>
        <v>1</v>
      </c>
      <c r="BW163" s="18">
        <f>IF(AE163="","",--(AE163='Codebook'!$F$24))</f>
        <v>1</v>
      </c>
      <c r="BX163" s="18">
        <f>IF(AF163="","",--(AF163='Codebook'!$F$25))</f>
        <v>1</v>
      </c>
      <c r="BY163" s="18">
        <f>IF(AG163="","",--(AG163='Codebook'!$F$26))</f>
        <v>0</v>
      </c>
      <c r="BZ163" s="18">
        <f>IF(AH163="","",--(AH163='Codebook'!$F$27))</f>
        <v>1</v>
      </c>
      <c r="CA163" s="18">
        <f>IF(AI163="","",--(AI163='Codebook'!$F$28))</f>
        <v>1</v>
      </c>
      <c r="CB163" s="18">
        <f>IF(AJ163="","",--(AJ163='Codebook'!$F$29))</f>
        <v>1</v>
      </c>
      <c r="CC163" s="18">
        <f>IF(AK163="","",--(AK163='Codebook'!$F$30))</f>
        <v>1</v>
      </c>
      <c r="CD163" s="18">
        <f>IF(AL163="","",--(AL163='Codebook'!$F$31))</f>
        <v>1</v>
      </c>
      <c r="CE163" s="18">
        <f>IF(AM163="","",--(AM163='Codebook'!$F$32))</f>
        <v>1</v>
      </c>
      <c r="CF163" s="18">
        <f>IF(AN163="","",--(AN163='Codebook'!$F$33))</f>
        <v>1</v>
      </c>
      <c r="CG163" s="18">
        <f>IF(AO163="","",--(AO163='Codebook'!$F$34))</f>
        <v>1</v>
      </c>
      <c r="CH163" s="18">
        <f>IF(AP163="","",--(AP163='Codebook'!$F$35))</f>
        <v>1</v>
      </c>
      <c r="CI163" s="18">
        <f>IF(AQ163="","",--(AQ163='Codebook'!$F$36))</f>
        <v>1</v>
      </c>
      <c r="CJ163" s="18">
        <f>IF(AR163="","",--(AR163='Codebook'!$F$37))</f>
        <v>1</v>
      </c>
      <c r="CK163" s="18">
        <f>IF(AS163="","",--(AS163='Codebook'!$F$38))</f>
        <v>1</v>
      </c>
      <c r="CL163" s="18">
        <f>IF(AT163="","",--(AT163='Codebook'!$F$39))</f>
        <v>0</v>
      </c>
      <c r="CM163" s="18">
        <f>IF(AU163="","",--(AU163='Codebook'!$F$40))</f>
        <v>0</v>
      </c>
      <c r="CN163" s="18">
        <f>IF(AV163="","",--(AV163='Codebook'!$F$41))</f>
        <v>0</v>
      </c>
      <c r="CO163" s="18">
        <f>IF(AW163="","",--(AW163='Codebook'!$F$42))</f>
        <v>0</v>
      </c>
      <c r="CP163" s="18">
        <f>IF(AX163="","",--(AX163='Codebook'!$F$43))</f>
        <v>1</v>
      </c>
      <c r="CQ163" s="18">
        <f>IF(AY163="","",--(AY163='Codebook'!$F$44))</f>
        <v>0</v>
      </c>
      <c r="CR163" s="18">
        <f>IF(AZ163="","",--(AZ163='Codebook'!$F$45))</f>
        <v>1</v>
      </c>
    </row>
    <row r="164" spans="2:96" ht="24" customHeight="1">
      <c r="B164" s="18">
        <v>159</v>
      </c>
      <c r="C164" s="23">
        <v>46285.35573196759</v>
      </c>
      <c r="D164" s="21" t="s">
        <v>270</v>
      </c>
      <c r="E164" s="21" t="s">
        <v>194</v>
      </c>
      <c r="F164" s="21" t="s">
        <v>195</v>
      </c>
      <c r="G164" s="17" t="s">
        <v>224</v>
      </c>
      <c r="H164" s="21" t="s">
        <v>197</v>
      </c>
      <c r="I164" s="18">
        <f>SUM(BL164:BU164)</f>
        <v>4</v>
      </c>
      <c r="J164" s="18">
        <f>IF(COUNT(BV164:CD164)=9,SUM(BV164:CD164),"")</f>
        <v>3</v>
      </c>
      <c r="K164" s="18">
        <f>SUM(BL164:CD164)</f>
        <v>7</v>
      </c>
      <c r="L164" s="18">
        <f>--(K164&gt;='Codebook'!$C$8)</f>
        <v>0</v>
      </c>
      <c r="M164" s="18">
        <f>--(COUNT(BL164:CD164)=19)</f>
        <v>1</v>
      </c>
      <c r="N164" s="18">
        <f>SUM(CE164:CL164)</f>
        <v>7</v>
      </c>
      <c r="O164" s="18">
        <f>SUM(CM164:CR164)</f>
        <v>3</v>
      </c>
      <c r="P164" s="18">
        <f>N164+O164</f>
        <v>10</v>
      </c>
      <c r="Q164" s="21" t="s">
        <v>207</v>
      </c>
      <c r="R164" s="17" t="s">
        <v>155</v>
      </c>
      <c r="S164" s="18">
        <f>--OR(Overview!$B$6="All",E164=Overview!$B$6)*--OR(Overview!$F$6="All",F164=Overview!$F$6)*--OR(Overview!$J$6="All",G164=Overview!$J$6)*--OR(Overview!$N$6="All",H164=Overview!$N$6)</f>
        <v>1</v>
      </c>
      <c r="T164" s="21" t="s">
        <v>22</v>
      </c>
      <c r="U164" s="21" t="s">
        <v>22</v>
      </c>
      <c r="V164" s="21" t="s">
        <v>22</v>
      </c>
      <c r="W164" s="21" t="s">
        <v>22</v>
      </c>
      <c r="X164" s="21" t="s">
        <v>22</v>
      </c>
      <c r="Y164" s="21" t="s">
        <v>22</v>
      </c>
      <c r="Z164" s="21" t="s">
        <v>22</v>
      </c>
      <c r="AA164" s="21" t="s">
        <v>198</v>
      </c>
      <c r="AB164" s="21" t="s">
        <v>22</v>
      </c>
      <c r="AC164" s="21" t="s">
        <v>198</v>
      </c>
      <c r="AD164" s="21" t="s">
        <v>198</v>
      </c>
      <c r="AE164" s="21" t="s">
        <v>198</v>
      </c>
      <c r="AF164" s="21" t="s">
        <v>26</v>
      </c>
      <c r="AG164" s="21" t="s">
        <v>22</v>
      </c>
      <c r="AH164" s="21" t="s">
        <v>198</v>
      </c>
      <c r="AI164" s="21" t="s">
        <v>198</v>
      </c>
      <c r="AJ164" s="21" t="s">
        <v>198</v>
      </c>
      <c r="AK164" s="21" t="s">
        <v>198</v>
      </c>
      <c r="AL164" s="21" t="s">
        <v>26</v>
      </c>
      <c r="AM164" s="21" t="s">
        <v>83</v>
      </c>
      <c r="AN164" s="21" t="s">
        <v>83</v>
      </c>
      <c r="AO164" s="21" t="s">
        <v>83</v>
      </c>
      <c r="AP164" s="21" t="s">
        <v>83</v>
      </c>
      <c r="AQ164" s="21" t="s">
        <v>83</v>
      </c>
      <c r="AR164" s="21" t="s">
        <v>83</v>
      </c>
      <c r="AS164" s="21" t="s">
        <v>83</v>
      </c>
      <c r="AT164" s="21" t="s">
        <v>198</v>
      </c>
      <c r="AU164" s="21" t="s">
        <v>109</v>
      </c>
      <c r="AV164" s="21" t="s">
        <v>198</v>
      </c>
      <c r="AW164" s="21" t="s">
        <v>83</v>
      </c>
      <c r="AX164" s="21" t="s">
        <v>198</v>
      </c>
      <c r="AY164" s="21" t="s">
        <v>109</v>
      </c>
      <c r="AZ164" s="21" t="s">
        <v>109</v>
      </c>
      <c r="BA164" s="17" t="s">
        <v>314</v>
      </c>
      <c r="BB164" s="17" t="s">
        <v>219</v>
      </c>
      <c r="BC164" s="18">
        <f>--ISNUMBER(SEARCH("Radio or television",BA164))</f>
        <v>0</v>
      </c>
      <c r="BD164" s="18">
        <f>--ISNUMBER(SEARCH("Newspapers or print media",BA164))</f>
        <v>0</v>
      </c>
      <c r="BE164" s="18">
        <f>--ISNUMBER(SEARCH("Social media (e.g. Facebook, WhatsApp, YouTube, X/Twitter)",BA164))</f>
        <v>1</v>
      </c>
      <c r="BF164" s="18">
        <f>--ISNUMBER(SEARCH("Family members",BA164))</f>
        <v>1</v>
      </c>
      <c r="BG164" s="18">
        <f>--ISNUMBER(SEARCH("Friends or fellow students",BA164))</f>
        <v>0</v>
      </c>
      <c r="BH164" s="18">
        <f>--ISNUMBER(SEARCH("School coursework or lectures",BA164))</f>
        <v>1</v>
      </c>
      <c r="BI164" s="18">
        <f>--ISNUMBER(SEARCH("NHIMA outreach activities or NHIMA offices",BA164))</f>
        <v>0</v>
      </c>
      <c r="BJ164" s="18">
        <f>--ISNUMBER(SEARCH("Health facility staff",BA164))</f>
        <v>0</v>
      </c>
      <c r="BK164" s="18">
        <f>--ISNUMBER(SEARCH("not received information",BA164))</f>
        <v>0</v>
      </c>
      <c r="BL164" s="18">
        <f>IF(T164="","",--(T164='Codebook'!$F$13))</f>
        <v>1</v>
      </c>
      <c r="BM164" s="18">
        <f>IF(U164="","",--(U164='Codebook'!$F$14))</f>
        <v>0</v>
      </c>
      <c r="BN164" s="18">
        <f>IF(V164="","",--(V164='Codebook'!$F$15))</f>
        <v>0</v>
      </c>
      <c r="BO164" s="18">
        <f>IF(W164="","",--(W164='Codebook'!$F$16))</f>
        <v>1</v>
      </c>
      <c r="BP164" s="18">
        <f>IF(X164="","",--(X164='Codebook'!$F$17))</f>
        <v>1</v>
      </c>
      <c r="BQ164" s="18">
        <f>IF(Y164="","",--(Y164='Codebook'!$F$18))</f>
        <v>0</v>
      </c>
      <c r="BR164" s="18">
        <f>IF(Z164="","",--(Z164='Codebook'!$F$19))</f>
        <v>1</v>
      </c>
      <c r="BS164" s="18">
        <f>IF(AA164="","",--(AA164='Codebook'!$F$20))</f>
        <v>0</v>
      </c>
      <c r="BT164" s="18">
        <f>IF(AB164="","",--(AB164='Codebook'!$F$21))</f>
        <v>0</v>
      </c>
      <c r="BU164" s="18">
        <f>IF(AC164="","",--(AC164='Codebook'!$F$22))</f>
        <v>0</v>
      </c>
      <c r="BV164" s="18">
        <f>IF(AD164="","",--(AD164='Codebook'!$F$23))</f>
        <v>0</v>
      </c>
      <c r="BW164" s="18">
        <f>IF(AE164="","",--(AE164='Codebook'!$F$24))</f>
        <v>0</v>
      </c>
      <c r="BX164" s="18">
        <f>IF(AF164="","",--(AF164='Codebook'!$F$25))</f>
        <v>1</v>
      </c>
      <c r="BY164" s="18">
        <f>IF(AG164="","",--(AG164='Codebook'!$F$26))</f>
        <v>1</v>
      </c>
      <c r="BZ164" s="18">
        <f>IF(AH164="","",--(AH164='Codebook'!$F$27))</f>
        <v>0</v>
      </c>
      <c r="CA164" s="18">
        <f>IF(AI164="","",--(AI164='Codebook'!$F$28))</f>
        <v>0</v>
      </c>
      <c r="CB164" s="18">
        <f>IF(AJ164="","",--(AJ164='Codebook'!$F$29))</f>
        <v>0</v>
      </c>
      <c r="CC164" s="18">
        <f>IF(AK164="","",--(AK164='Codebook'!$F$30))</f>
        <v>0</v>
      </c>
      <c r="CD164" s="18">
        <f>IF(AL164="","",--(AL164='Codebook'!$F$31))</f>
        <v>1</v>
      </c>
      <c r="CE164" s="18">
        <f>IF(AM164="","",--(AM164='Codebook'!$F$32))</f>
        <v>1</v>
      </c>
      <c r="CF164" s="18">
        <f>IF(AN164="","",--(AN164='Codebook'!$F$33))</f>
        <v>1</v>
      </c>
      <c r="CG164" s="18">
        <f>IF(AO164="","",--(AO164='Codebook'!$F$34))</f>
        <v>1</v>
      </c>
      <c r="CH164" s="18">
        <f>IF(AP164="","",--(AP164='Codebook'!$F$35))</f>
        <v>1</v>
      </c>
      <c r="CI164" s="18">
        <f>IF(AQ164="","",--(AQ164='Codebook'!$F$36))</f>
        <v>1</v>
      </c>
      <c r="CJ164" s="18">
        <f>IF(AR164="","",--(AR164='Codebook'!$F$37))</f>
        <v>1</v>
      </c>
      <c r="CK164" s="18">
        <f>IF(AS164="","",--(AS164='Codebook'!$F$38))</f>
        <v>1</v>
      </c>
      <c r="CL164" s="18">
        <f>IF(AT164="","",--(AT164='Codebook'!$F$39))</f>
        <v>0</v>
      </c>
      <c r="CM164" s="18">
        <f>IF(AU164="","",--(AU164='Codebook'!$F$40))</f>
        <v>1</v>
      </c>
      <c r="CN164" s="18">
        <f>IF(AV164="","",--(AV164='Codebook'!$F$41))</f>
        <v>0</v>
      </c>
      <c r="CO164" s="18">
        <f>IF(AW164="","",--(AW164='Codebook'!$F$42))</f>
        <v>0</v>
      </c>
      <c r="CP164" s="18">
        <f>IF(AX164="","",--(AX164='Codebook'!$F$43))</f>
        <v>0</v>
      </c>
      <c r="CQ164" s="18">
        <f>IF(AY164="","",--(AY164='Codebook'!$F$44))</f>
        <v>1</v>
      </c>
      <c r="CR164" s="18">
        <f>IF(AZ164="","",--(AZ164='Codebook'!$F$45))</f>
        <v>1</v>
      </c>
    </row>
    <row r="165" spans="2:96" ht="24" customHeight="1">
      <c r="B165" s="18">
        <v>160</v>
      </c>
      <c r="C165" s="23">
        <v>46285.35742813657</v>
      </c>
      <c r="D165" s="21" t="s">
        <v>268</v>
      </c>
      <c r="E165" s="21" t="s">
        <v>206</v>
      </c>
      <c r="F165" s="21" t="s">
        <v>201</v>
      </c>
      <c r="G165" s="17" t="s">
        <v>196</v>
      </c>
      <c r="H165" s="21" t="s">
        <v>197</v>
      </c>
      <c r="I165" s="18">
        <f>SUM(BL165:BU165)</f>
        <v>6</v>
      </c>
      <c r="J165" s="18">
        <f>IF(COUNT(BV165:CD165)=9,SUM(BV165:CD165),"")</f>
        <v>5</v>
      </c>
      <c r="K165" s="18">
        <f>SUM(BL165:CD165)</f>
        <v>11</v>
      </c>
      <c r="L165" s="18">
        <f>--(K165&gt;='Codebook'!$C$8)</f>
        <v>0</v>
      </c>
      <c r="M165" s="18">
        <f>--(COUNT(BL165:CD165)=19)</f>
        <v>1</v>
      </c>
      <c r="N165" s="18">
        <f>SUM(CE165:CL165)</f>
        <v>7</v>
      </c>
      <c r="O165" s="18">
        <f>SUM(CM165:CR165)</f>
        <v>5</v>
      </c>
      <c r="P165" s="18">
        <f>N165+O165</f>
        <v>12</v>
      </c>
      <c r="Q165" s="21" t="s">
        <v>198</v>
      </c>
      <c r="R165" s="17" t="s">
        <v>216</v>
      </c>
      <c r="S165" s="18">
        <f>--OR(Overview!$B$6="All",E165=Overview!$B$6)*--OR(Overview!$F$6="All",F165=Overview!$F$6)*--OR(Overview!$J$6="All",G165=Overview!$J$6)*--OR(Overview!$N$6="All",H165=Overview!$N$6)</f>
        <v>1</v>
      </c>
      <c r="T165" s="21" t="s">
        <v>22</v>
      </c>
      <c r="U165" s="21" t="s">
        <v>22</v>
      </c>
      <c r="V165" s="21" t="s">
        <v>22</v>
      </c>
      <c r="W165" s="21" t="s">
        <v>22</v>
      </c>
      <c r="X165" s="21" t="s">
        <v>22</v>
      </c>
      <c r="Y165" s="21" t="s">
        <v>22</v>
      </c>
      <c r="Z165" s="21" t="s">
        <v>22</v>
      </c>
      <c r="AA165" s="21" t="s">
        <v>22</v>
      </c>
      <c r="AB165" s="21" t="s">
        <v>26</v>
      </c>
      <c r="AC165" s="21" t="s">
        <v>198</v>
      </c>
      <c r="AD165" s="21" t="s">
        <v>198</v>
      </c>
      <c r="AE165" s="21" t="s">
        <v>198</v>
      </c>
      <c r="AF165" s="21" t="s">
        <v>26</v>
      </c>
      <c r="AG165" s="21" t="s">
        <v>22</v>
      </c>
      <c r="AH165" s="21" t="s">
        <v>22</v>
      </c>
      <c r="AI165" s="21" t="s">
        <v>26</v>
      </c>
      <c r="AJ165" s="21" t="s">
        <v>22</v>
      </c>
      <c r="AK165" s="21" t="s">
        <v>22</v>
      </c>
      <c r="AL165" s="21" t="s">
        <v>22</v>
      </c>
      <c r="AM165" s="21" t="s">
        <v>83</v>
      </c>
      <c r="AN165" s="21" t="s">
        <v>83</v>
      </c>
      <c r="AO165" s="21" t="s">
        <v>83</v>
      </c>
      <c r="AP165" s="21" t="s">
        <v>83</v>
      </c>
      <c r="AQ165" s="21" t="s">
        <v>83</v>
      </c>
      <c r="AR165" s="21" t="s">
        <v>83</v>
      </c>
      <c r="AS165" s="21" t="s">
        <v>83</v>
      </c>
      <c r="AT165" s="21" t="s">
        <v>198</v>
      </c>
      <c r="AU165" s="21" t="s">
        <v>109</v>
      </c>
      <c r="AV165" s="21" t="s">
        <v>109</v>
      </c>
      <c r="AW165" s="21" t="s">
        <v>198</v>
      </c>
      <c r="AX165" s="21" t="s">
        <v>109</v>
      </c>
      <c r="AY165" s="21" t="s">
        <v>109</v>
      </c>
      <c r="AZ165" s="21" t="s">
        <v>109</v>
      </c>
      <c r="BA165" s="17" t="s">
        <v>159</v>
      </c>
      <c r="BB165" s="17" t="s">
        <v>315</v>
      </c>
      <c r="BC165" s="18">
        <f>--ISNUMBER(SEARCH("Radio or television",BA165))</f>
        <v>0</v>
      </c>
      <c r="BD165" s="18">
        <f>--ISNUMBER(SEARCH("Newspapers or print media",BA165))</f>
        <v>0</v>
      </c>
      <c r="BE165" s="18">
        <f>--ISNUMBER(SEARCH("Social media (e.g. Facebook, WhatsApp, YouTube, X/Twitter)",BA165))</f>
        <v>0</v>
      </c>
      <c r="BF165" s="18">
        <f>--ISNUMBER(SEARCH("Family members",BA165))</f>
        <v>0</v>
      </c>
      <c r="BG165" s="18">
        <f>--ISNUMBER(SEARCH("Friends or fellow students",BA165))</f>
        <v>0</v>
      </c>
      <c r="BH165" s="18">
        <f>--ISNUMBER(SEARCH("School coursework or lectures",BA165))</f>
        <v>0</v>
      </c>
      <c r="BI165" s="18">
        <f>--ISNUMBER(SEARCH("NHIMA outreach activities or NHIMA offices",BA165))</f>
        <v>0</v>
      </c>
      <c r="BJ165" s="18">
        <f>--ISNUMBER(SEARCH("Health facility staff",BA165))</f>
        <v>1</v>
      </c>
      <c r="BK165" s="18">
        <f>--ISNUMBER(SEARCH("not received information",BA165))</f>
        <v>0</v>
      </c>
      <c r="BL165" s="18">
        <f>IF(T165="","",--(T165='Codebook'!$F$13))</f>
        <v>1</v>
      </c>
      <c r="BM165" s="18">
        <f>IF(U165="","",--(U165='Codebook'!$F$14))</f>
        <v>0</v>
      </c>
      <c r="BN165" s="18">
        <f>IF(V165="","",--(V165='Codebook'!$F$15))</f>
        <v>0</v>
      </c>
      <c r="BO165" s="18">
        <f>IF(W165="","",--(W165='Codebook'!$F$16))</f>
        <v>1</v>
      </c>
      <c r="BP165" s="18">
        <f>IF(X165="","",--(X165='Codebook'!$F$17))</f>
        <v>1</v>
      </c>
      <c r="BQ165" s="18">
        <f>IF(Y165="","",--(Y165='Codebook'!$F$18))</f>
        <v>0</v>
      </c>
      <c r="BR165" s="18">
        <f>IF(Z165="","",--(Z165='Codebook'!$F$19))</f>
        <v>1</v>
      </c>
      <c r="BS165" s="18">
        <f>IF(AA165="","",--(AA165='Codebook'!$F$20))</f>
        <v>1</v>
      </c>
      <c r="BT165" s="18">
        <f>IF(AB165="","",--(AB165='Codebook'!$F$21))</f>
        <v>1</v>
      </c>
      <c r="BU165" s="18">
        <f>IF(AC165="","",--(AC165='Codebook'!$F$22))</f>
        <v>0</v>
      </c>
      <c r="BV165" s="18">
        <f>IF(AD165="","",--(AD165='Codebook'!$F$23))</f>
        <v>0</v>
      </c>
      <c r="BW165" s="18">
        <f>IF(AE165="","",--(AE165='Codebook'!$F$24))</f>
        <v>0</v>
      </c>
      <c r="BX165" s="18">
        <f>IF(AF165="","",--(AF165='Codebook'!$F$25))</f>
        <v>1</v>
      </c>
      <c r="BY165" s="18">
        <f>IF(AG165="","",--(AG165='Codebook'!$F$26))</f>
        <v>1</v>
      </c>
      <c r="BZ165" s="18">
        <f>IF(AH165="","",--(AH165='Codebook'!$F$27))</f>
        <v>1</v>
      </c>
      <c r="CA165" s="18">
        <f>IF(AI165="","",--(AI165='Codebook'!$F$28))</f>
        <v>1</v>
      </c>
      <c r="CB165" s="18">
        <f>IF(AJ165="","",--(AJ165='Codebook'!$F$29))</f>
        <v>0</v>
      </c>
      <c r="CC165" s="18">
        <f>IF(AK165="","",--(AK165='Codebook'!$F$30))</f>
        <v>1</v>
      </c>
      <c r="CD165" s="18">
        <f>IF(AL165="","",--(AL165='Codebook'!$F$31))</f>
        <v>0</v>
      </c>
      <c r="CE165" s="18">
        <f>IF(AM165="","",--(AM165='Codebook'!$F$32))</f>
        <v>1</v>
      </c>
      <c r="CF165" s="18">
        <f>IF(AN165="","",--(AN165='Codebook'!$F$33))</f>
        <v>1</v>
      </c>
      <c r="CG165" s="18">
        <f>IF(AO165="","",--(AO165='Codebook'!$F$34))</f>
        <v>1</v>
      </c>
      <c r="CH165" s="18">
        <f>IF(AP165="","",--(AP165='Codebook'!$F$35))</f>
        <v>1</v>
      </c>
      <c r="CI165" s="18">
        <f>IF(AQ165="","",--(AQ165='Codebook'!$F$36))</f>
        <v>1</v>
      </c>
      <c r="CJ165" s="18">
        <f>IF(AR165="","",--(AR165='Codebook'!$F$37))</f>
        <v>1</v>
      </c>
      <c r="CK165" s="18">
        <f>IF(AS165="","",--(AS165='Codebook'!$F$38))</f>
        <v>1</v>
      </c>
      <c r="CL165" s="18">
        <f>IF(AT165="","",--(AT165='Codebook'!$F$39))</f>
        <v>0</v>
      </c>
      <c r="CM165" s="18">
        <f>IF(AU165="","",--(AU165='Codebook'!$F$40))</f>
        <v>1</v>
      </c>
      <c r="CN165" s="18">
        <f>IF(AV165="","",--(AV165='Codebook'!$F$41))</f>
        <v>1</v>
      </c>
      <c r="CO165" s="18">
        <f>IF(AW165="","",--(AW165='Codebook'!$F$42))</f>
        <v>0</v>
      </c>
      <c r="CP165" s="18">
        <f>IF(AX165="","",--(AX165='Codebook'!$F$43))</f>
        <v>1</v>
      </c>
      <c r="CQ165" s="18">
        <f>IF(AY165="","",--(AY165='Codebook'!$F$44))</f>
        <v>1</v>
      </c>
      <c r="CR165" s="18">
        <f>IF(AZ165="","",--(AZ165='Codebook'!$F$45))</f>
        <v>1</v>
      </c>
    </row>
    <row r="166" spans="2:96" ht="24" customHeight="1">
      <c r="B166" s="18">
        <v>161</v>
      </c>
      <c r="C166" s="23">
        <v>46285.3628056713</v>
      </c>
      <c r="D166" s="21" t="s">
        <v>270</v>
      </c>
      <c r="E166" s="21" t="s">
        <v>206</v>
      </c>
      <c r="F166" s="21" t="s">
        <v>212</v>
      </c>
      <c r="G166" s="17" t="s">
        <v>202</v>
      </c>
      <c r="H166" s="21" t="s">
        <v>207</v>
      </c>
      <c r="I166" s="18">
        <f>SUM(BL166:BU166)</f>
        <v>9</v>
      </c>
      <c r="J166" s="18">
        <f>IF(COUNT(BV166:CD166)=9,SUM(BV166:CD166),"")</f>
        <v>8</v>
      </c>
      <c r="K166" s="18">
        <f>SUM(BL166:CD166)</f>
        <v>17</v>
      </c>
      <c r="L166" s="18">
        <f>--(K166&gt;='Codebook'!$C$8)</f>
        <v>1</v>
      </c>
      <c r="M166" s="18">
        <f>--(COUNT(BL166:CD166)=19)</f>
        <v>1</v>
      </c>
      <c r="N166" s="18">
        <f>SUM(CE166:CL166)</f>
        <v>7</v>
      </c>
      <c r="O166" s="18">
        <f>SUM(CM166:CR166)</f>
        <v>0</v>
      </c>
      <c r="P166" s="18">
        <f>N166+O166</f>
        <v>7</v>
      </c>
      <c r="Q166" s="21" t="s">
        <v>207</v>
      </c>
      <c r="R166" s="17" t="s">
        <v>216</v>
      </c>
      <c r="S166" s="18">
        <f>--OR(Overview!$B$6="All",E166=Overview!$B$6)*--OR(Overview!$F$6="All",F166=Overview!$F$6)*--OR(Overview!$J$6="All",G166=Overview!$J$6)*--OR(Overview!$N$6="All",H166=Overview!$N$6)</f>
        <v>1</v>
      </c>
      <c r="T166" s="21" t="s">
        <v>22</v>
      </c>
      <c r="U166" s="21" t="s">
        <v>22</v>
      </c>
      <c r="V166" s="21" t="s">
        <v>26</v>
      </c>
      <c r="W166" s="21" t="s">
        <v>22</v>
      </c>
      <c r="X166" s="21" t="s">
        <v>22</v>
      </c>
      <c r="Y166" s="21" t="s">
        <v>26</v>
      </c>
      <c r="Z166" s="21" t="s">
        <v>22</v>
      </c>
      <c r="AA166" s="21" t="s">
        <v>22</v>
      </c>
      <c r="AB166" s="21" t="s">
        <v>26</v>
      </c>
      <c r="AC166" s="21" t="s">
        <v>22</v>
      </c>
      <c r="AD166" s="21" t="s">
        <v>22</v>
      </c>
      <c r="AE166" s="21" t="s">
        <v>198</v>
      </c>
      <c r="AF166" s="21" t="s">
        <v>26</v>
      </c>
      <c r="AG166" s="21" t="s">
        <v>22</v>
      </c>
      <c r="AH166" s="21" t="s">
        <v>22</v>
      </c>
      <c r="AI166" s="21" t="s">
        <v>26</v>
      </c>
      <c r="AJ166" s="21" t="s">
        <v>26</v>
      </c>
      <c r="AK166" s="21" t="s">
        <v>22</v>
      </c>
      <c r="AL166" s="21" t="s">
        <v>26</v>
      </c>
      <c r="AM166" s="21" t="s">
        <v>83</v>
      </c>
      <c r="AN166" s="21" t="s">
        <v>83</v>
      </c>
      <c r="AO166" s="21" t="s">
        <v>83</v>
      </c>
      <c r="AP166" s="21" t="s">
        <v>83</v>
      </c>
      <c r="AQ166" s="21" t="s">
        <v>83</v>
      </c>
      <c r="AR166" s="21" t="s">
        <v>83</v>
      </c>
      <c r="AS166" s="21" t="s">
        <v>83</v>
      </c>
      <c r="AT166" s="21" t="s">
        <v>198</v>
      </c>
      <c r="AU166" s="21" t="s">
        <v>198</v>
      </c>
      <c r="AV166" s="21" t="s">
        <v>198</v>
      </c>
      <c r="AW166" s="21" t="s">
        <v>198</v>
      </c>
      <c r="AX166" s="21" t="s">
        <v>198</v>
      </c>
      <c r="AY166" s="21" t="s">
        <v>198</v>
      </c>
      <c r="AZ166" s="21" t="s">
        <v>198</v>
      </c>
      <c r="BA166" s="17" t="s">
        <v>252</v>
      </c>
      <c r="BB166" s="17" t="s">
        <v>285</v>
      </c>
      <c r="BC166" s="18">
        <f>--ISNUMBER(SEARCH("Radio or television",BA166))</f>
        <v>1</v>
      </c>
      <c r="BD166" s="18">
        <f>--ISNUMBER(SEARCH("Newspapers or print media",BA166))</f>
        <v>0</v>
      </c>
      <c r="BE166" s="18">
        <f>--ISNUMBER(SEARCH("Social media (e.g. Facebook, WhatsApp, YouTube, X/Twitter)",BA166))</f>
        <v>1</v>
      </c>
      <c r="BF166" s="18">
        <f>--ISNUMBER(SEARCH("Family members",BA166))</f>
        <v>1</v>
      </c>
      <c r="BG166" s="18">
        <f>--ISNUMBER(SEARCH("Friends or fellow students",BA166))</f>
        <v>0</v>
      </c>
      <c r="BH166" s="18">
        <f>--ISNUMBER(SEARCH("School coursework or lectures",BA166))</f>
        <v>0</v>
      </c>
      <c r="BI166" s="18">
        <f>--ISNUMBER(SEARCH("NHIMA outreach activities or NHIMA offices",BA166))</f>
        <v>0</v>
      </c>
      <c r="BJ166" s="18">
        <f>--ISNUMBER(SEARCH("Health facility staff",BA166))</f>
        <v>0</v>
      </c>
      <c r="BK166" s="18">
        <f>--ISNUMBER(SEARCH("not received information",BA166))</f>
        <v>0</v>
      </c>
      <c r="BL166" s="18">
        <f>IF(T166="","",--(T166='Codebook'!$F$13))</f>
        <v>1</v>
      </c>
      <c r="BM166" s="18">
        <f>IF(U166="","",--(U166='Codebook'!$F$14))</f>
        <v>0</v>
      </c>
      <c r="BN166" s="18">
        <f>IF(V166="","",--(V166='Codebook'!$F$15))</f>
        <v>1</v>
      </c>
      <c r="BO166" s="18">
        <f>IF(W166="","",--(W166='Codebook'!$F$16))</f>
        <v>1</v>
      </c>
      <c r="BP166" s="18">
        <f>IF(X166="","",--(X166='Codebook'!$F$17))</f>
        <v>1</v>
      </c>
      <c r="BQ166" s="18">
        <f>IF(Y166="","",--(Y166='Codebook'!$F$18))</f>
        <v>1</v>
      </c>
      <c r="BR166" s="18">
        <f>IF(Z166="","",--(Z166='Codebook'!$F$19))</f>
        <v>1</v>
      </c>
      <c r="BS166" s="18">
        <f>IF(AA166="","",--(AA166='Codebook'!$F$20))</f>
        <v>1</v>
      </c>
      <c r="BT166" s="18">
        <f>IF(AB166="","",--(AB166='Codebook'!$F$21))</f>
        <v>1</v>
      </c>
      <c r="BU166" s="18">
        <f>IF(AC166="","",--(AC166='Codebook'!$F$22))</f>
        <v>1</v>
      </c>
      <c r="BV166" s="18">
        <f>IF(AD166="","",--(AD166='Codebook'!$F$23))</f>
        <v>1</v>
      </c>
      <c r="BW166" s="18">
        <f>IF(AE166="","",--(AE166='Codebook'!$F$24))</f>
        <v>0</v>
      </c>
      <c r="BX166" s="18">
        <f>IF(AF166="","",--(AF166='Codebook'!$F$25))</f>
        <v>1</v>
      </c>
      <c r="BY166" s="18">
        <f>IF(AG166="","",--(AG166='Codebook'!$F$26))</f>
        <v>1</v>
      </c>
      <c r="BZ166" s="18">
        <f>IF(AH166="","",--(AH166='Codebook'!$F$27))</f>
        <v>1</v>
      </c>
      <c r="CA166" s="18">
        <f>IF(AI166="","",--(AI166='Codebook'!$F$28))</f>
        <v>1</v>
      </c>
      <c r="CB166" s="18">
        <f>IF(AJ166="","",--(AJ166='Codebook'!$F$29))</f>
        <v>1</v>
      </c>
      <c r="CC166" s="18">
        <f>IF(AK166="","",--(AK166='Codebook'!$F$30))</f>
        <v>1</v>
      </c>
      <c r="CD166" s="18">
        <f>IF(AL166="","",--(AL166='Codebook'!$F$31))</f>
        <v>1</v>
      </c>
      <c r="CE166" s="18">
        <f>IF(AM166="","",--(AM166='Codebook'!$F$32))</f>
        <v>1</v>
      </c>
      <c r="CF166" s="18">
        <f>IF(AN166="","",--(AN166='Codebook'!$F$33))</f>
        <v>1</v>
      </c>
      <c r="CG166" s="18">
        <f>IF(AO166="","",--(AO166='Codebook'!$F$34))</f>
        <v>1</v>
      </c>
      <c r="CH166" s="18">
        <f>IF(AP166="","",--(AP166='Codebook'!$F$35))</f>
        <v>1</v>
      </c>
      <c r="CI166" s="18">
        <f>IF(AQ166="","",--(AQ166='Codebook'!$F$36))</f>
        <v>1</v>
      </c>
      <c r="CJ166" s="18">
        <f>IF(AR166="","",--(AR166='Codebook'!$F$37))</f>
        <v>1</v>
      </c>
      <c r="CK166" s="18">
        <f>IF(AS166="","",--(AS166='Codebook'!$F$38))</f>
        <v>1</v>
      </c>
      <c r="CL166" s="18">
        <f>IF(AT166="","",--(AT166='Codebook'!$F$39))</f>
        <v>0</v>
      </c>
      <c r="CM166" s="18">
        <f>IF(AU166="","",--(AU166='Codebook'!$F$40))</f>
        <v>0</v>
      </c>
      <c r="CN166" s="18">
        <f>IF(AV166="","",--(AV166='Codebook'!$F$41))</f>
        <v>0</v>
      </c>
      <c r="CO166" s="18">
        <f>IF(AW166="","",--(AW166='Codebook'!$F$42))</f>
        <v>0</v>
      </c>
      <c r="CP166" s="18">
        <f>IF(AX166="","",--(AX166='Codebook'!$F$43))</f>
        <v>0</v>
      </c>
      <c r="CQ166" s="18">
        <f>IF(AY166="","",--(AY166='Codebook'!$F$44))</f>
        <v>0</v>
      </c>
      <c r="CR166" s="18">
        <f>IF(AZ166="","",--(AZ166='Codebook'!$F$45))</f>
        <v>0</v>
      </c>
    </row>
    <row r="167" spans="2:96" ht="24" customHeight="1">
      <c r="B167" s="18">
        <v>162</v>
      </c>
      <c r="C167" s="23">
        <v>46285.36434256945</v>
      </c>
      <c r="D167" s="21" t="s">
        <v>270</v>
      </c>
      <c r="E167" s="21" t="s">
        <v>194</v>
      </c>
      <c r="F167" s="21" t="s">
        <v>195</v>
      </c>
      <c r="G167" s="17" t="s">
        <v>215</v>
      </c>
      <c r="H167" s="21" t="s">
        <v>207</v>
      </c>
      <c r="I167" s="18">
        <f>SUM(BL167:BU167)</f>
        <v>7</v>
      </c>
      <c r="J167" s="18">
        <f>IF(COUNT(BV167:CD167)=9,SUM(BV167:CD167),"")</f>
        <v>4</v>
      </c>
      <c r="K167" s="18">
        <f>SUM(BL167:CD167)</f>
        <v>11</v>
      </c>
      <c r="L167" s="18">
        <f>--(K167&gt;='Codebook'!$C$8)</f>
        <v>0</v>
      </c>
      <c r="M167" s="18">
        <f>--(COUNT(BL167:CD167)=19)</f>
        <v>1</v>
      </c>
      <c r="N167" s="18">
        <f>SUM(CE167:CL167)</f>
        <v>7</v>
      </c>
      <c r="O167" s="18">
        <f>SUM(CM167:CR167)</f>
        <v>5</v>
      </c>
      <c r="P167" s="18">
        <f>N167+O167</f>
        <v>12</v>
      </c>
      <c r="Q167" s="21" t="s">
        <v>198</v>
      </c>
      <c r="R167" s="17" t="s">
        <v>154</v>
      </c>
      <c r="S167" s="18">
        <f>--OR(Overview!$B$6="All",E167=Overview!$B$6)*--OR(Overview!$F$6="All",F167=Overview!$F$6)*--OR(Overview!$J$6="All",G167=Overview!$J$6)*--OR(Overview!$N$6="All",H167=Overview!$N$6)</f>
        <v>1</v>
      </c>
      <c r="T167" s="21" t="s">
        <v>22</v>
      </c>
      <c r="U167" s="21" t="s">
        <v>22</v>
      </c>
      <c r="V167" s="21" t="s">
        <v>26</v>
      </c>
      <c r="W167" s="21" t="s">
        <v>22</v>
      </c>
      <c r="X167" s="21" t="s">
        <v>22</v>
      </c>
      <c r="Y167" s="21" t="s">
        <v>26</v>
      </c>
      <c r="Z167" s="21" t="s">
        <v>22</v>
      </c>
      <c r="AA167" s="21" t="s">
        <v>198</v>
      </c>
      <c r="AB167" s="21" t="s">
        <v>198</v>
      </c>
      <c r="AC167" s="21" t="s">
        <v>22</v>
      </c>
      <c r="AD167" s="21" t="s">
        <v>22</v>
      </c>
      <c r="AE167" s="21" t="s">
        <v>198</v>
      </c>
      <c r="AF167" s="21" t="s">
        <v>26</v>
      </c>
      <c r="AG167" s="21" t="s">
        <v>22</v>
      </c>
      <c r="AH167" s="21" t="s">
        <v>198</v>
      </c>
      <c r="AI167" s="21" t="s">
        <v>22</v>
      </c>
      <c r="AJ167" s="21" t="s">
        <v>198</v>
      </c>
      <c r="AK167" s="21" t="s">
        <v>198</v>
      </c>
      <c r="AL167" s="21" t="s">
        <v>26</v>
      </c>
      <c r="AM167" s="21" t="s">
        <v>83</v>
      </c>
      <c r="AN167" s="21" t="s">
        <v>83</v>
      </c>
      <c r="AO167" s="21" t="s">
        <v>83</v>
      </c>
      <c r="AP167" s="21" t="s">
        <v>83</v>
      </c>
      <c r="AQ167" s="21" t="s">
        <v>83</v>
      </c>
      <c r="AR167" s="21" t="s">
        <v>83</v>
      </c>
      <c r="AS167" s="21" t="s">
        <v>83</v>
      </c>
      <c r="AT167" s="21" t="s">
        <v>198</v>
      </c>
      <c r="AU167" s="21" t="s">
        <v>109</v>
      </c>
      <c r="AV167" s="21" t="s">
        <v>109</v>
      </c>
      <c r="AW167" s="21" t="s">
        <v>198</v>
      </c>
      <c r="AX167" s="21" t="s">
        <v>109</v>
      </c>
      <c r="AY167" s="21" t="s">
        <v>109</v>
      </c>
      <c r="AZ167" s="21" t="s">
        <v>109</v>
      </c>
      <c r="BA167" s="17" t="s">
        <v>258</v>
      </c>
      <c r="BB167" s="17" t="s">
        <v>250</v>
      </c>
      <c r="BC167" s="18">
        <f>--ISNUMBER(SEARCH("Radio or television",BA167))</f>
        <v>0</v>
      </c>
      <c r="BD167" s="18">
        <f>--ISNUMBER(SEARCH("Newspapers or print media",BA167))</f>
        <v>0</v>
      </c>
      <c r="BE167" s="18">
        <f>--ISNUMBER(SEARCH("Social media (e.g. Facebook, WhatsApp, YouTube, X/Twitter)",BA167))</f>
        <v>1</v>
      </c>
      <c r="BF167" s="18">
        <f>--ISNUMBER(SEARCH("Family members",BA167))</f>
        <v>1</v>
      </c>
      <c r="BG167" s="18">
        <f>--ISNUMBER(SEARCH("Friends or fellow students",BA167))</f>
        <v>1</v>
      </c>
      <c r="BH167" s="18">
        <f>--ISNUMBER(SEARCH("School coursework or lectures",BA167))</f>
        <v>0</v>
      </c>
      <c r="BI167" s="18">
        <f>--ISNUMBER(SEARCH("NHIMA outreach activities or NHIMA offices",BA167))</f>
        <v>0</v>
      </c>
      <c r="BJ167" s="18">
        <f>--ISNUMBER(SEARCH("Health facility staff",BA167))</f>
        <v>0</v>
      </c>
      <c r="BK167" s="18">
        <f>--ISNUMBER(SEARCH("not received information",BA167))</f>
        <v>0</v>
      </c>
      <c r="BL167" s="18">
        <f>IF(T167="","",--(T167='Codebook'!$F$13))</f>
        <v>1</v>
      </c>
      <c r="BM167" s="18">
        <f>IF(U167="","",--(U167='Codebook'!$F$14))</f>
        <v>0</v>
      </c>
      <c r="BN167" s="18">
        <f>IF(V167="","",--(V167='Codebook'!$F$15))</f>
        <v>1</v>
      </c>
      <c r="BO167" s="18">
        <f>IF(W167="","",--(W167='Codebook'!$F$16))</f>
        <v>1</v>
      </c>
      <c r="BP167" s="18">
        <f>IF(X167="","",--(X167='Codebook'!$F$17))</f>
        <v>1</v>
      </c>
      <c r="BQ167" s="18">
        <f>IF(Y167="","",--(Y167='Codebook'!$F$18))</f>
        <v>1</v>
      </c>
      <c r="BR167" s="18">
        <f>IF(Z167="","",--(Z167='Codebook'!$F$19))</f>
        <v>1</v>
      </c>
      <c r="BS167" s="18">
        <f>IF(AA167="","",--(AA167='Codebook'!$F$20))</f>
        <v>0</v>
      </c>
      <c r="BT167" s="18">
        <f>IF(AB167="","",--(AB167='Codebook'!$F$21))</f>
        <v>0</v>
      </c>
      <c r="BU167" s="18">
        <f>IF(AC167="","",--(AC167='Codebook'!$F$22))</f>
        <v>1</v>
      </c>
      <c r="BV167" s="18">
        <f>IF(AD167="","",--(AD167='Codebook'!$F$23))</f>
        <v>1</v>
      </c>
      <c r="BW167" s="18">
        <f>IF(AE167="","",--(AE167='Codebook'!$F$24))</f>
        <v>0</v>
      </c>
      <c r="BX167" s="18">
        <f>IF(AF167="","",--(AF167='Codebook'!$F$25))</f>
        <v>1</v>
      </c>
      <c r="BY167" s="18">
        <f>IF(AG167="","",--(AG167='Codebook'!$F$26))</f>
        <v>1</v>
      </c>
      <c r="BZ167" s="18">
        <f>IF(AH167="","",--(AH167='Codebook'!$F$27))</f>
        <v>0</v>
      </c>
      <c r="CA167" s="18">
        <f>IF(AI167="","",--(AI167='Codebook'!$F$28))</f>
        <v>0</v>
      </c>
      <c r="CB167" s="18">
        <f>IF(AJ167="","",--(AJ167='Codebook'!$F$29))</f>
        <v>0</v>
      </c>
      <c r="CC167" s="18">
        <f>IF(AK167="","",--(AK167='Codebook'!$F$30))</f>
        <v>0</v>
      </c>
      <c r="CD167" s="18">
        <f>IF(AL167="","",--(AL167='Codebook'!$F$31))</f>
        <v>1</v>
      </c>
      <c r="CE167" s="18">
        <f>IF(AM167="","",--(AM167='Codebook'!$F$32))</f>
        <v>1</v>
      </c>
      <c r="CF167" s="18">
        <f>IF(AN167="","",--(AN167='Codebook'!$F$33))</f>
        <v>1</v>
      </c>
      <c r="CG167" s="18">
        <f>IF(AO167="","",--(AO167='Codebook'!$F$34))</f>
        <v>1</v>
      </c>
      <c r="CH167" s="18">
        <f>IF(AP167="","",--(AP167='Codebook'!$F$35))</f>
        <v>1</v>
      </c>
      <c r="CI167" s="18">
        <f>IF(AQ167="","",--(AQ167='Codebook'!$F$36))</f>
        <v>1</v>
      </c>
      <c r="CJ167" s="18">
        <f>IF(AR167="","",--(AR167='Codebook'!$F$37))</f>
        <v>1</v>
      </c>
      <c r="CK167" s="18">
        <f>IF(AS167="","",--(AS167='Codebook'!$F$38))</f>
        <v>1</v>
      </c>
      <c r="CL167" s="18">
        <f>IF(AT167="","",--(AT167='Codebook'!$F$39))</f>
        <v>0</v>
      </c>
      <c r="CM167" s="18">
        <f>IF(AU167="","",--(AU167='Codebook'!$F$40))</f>
        <v>1</v>
      </c>
      <c r="CN167" s="18">
        <f>IF(AV167="","",--(AV167='Codebook'!$F$41))</f>
        <v>1</v>
      </c>
      <c r="CO167" s="18">
        <f>IF(AW167="","",--(AW167='Codebook'!$F$42))</f>
        <v>0</v>
      </c>
      <c r="CP167" s="18">
        <f>IF(AX167="","",--(AX167='Codebook'!$F$43))</f>
        <v>1</v>
      </c>
      <c r="CQ167" s="18">
        <f>IF(AY167="","",--(AY167='Codebook'!$F$44))</f>
        <v>1</v>
      </c>
      <c r="CR167" s="18">
        <f>IF(AZ167="","",--(AZ167='Codebook'!$F$45))</f>
        <v>1</v>
      </c>
    </row>
    <row r="168" spans="2:96" ht="24" customHeight="1">
      <c r="B168" s="18">
        <v>163</v>
      </c>
      <c r="C168" s="23">
        <v>46285.45025517361</v>
      </c>
      <c r="D168" s="21" t="s">
        <v>275</v>
      </c>
      <c r="E168" s="21" t="s">
        <v>194</v>
      </c>
      <c r="F168" s="21" t="s">
        <v>195</v>
      </c>
      <c r="G168" s="17" t="s">
        <v>224</v>
      </c>
      <c r="H168" s="21" t="s">
        <v>207</v>
      </c>
      <c r="I168" s="18">
        <f>SUM(BL168:BU168)</f>
        <v>6</v>
      </c>
      <c r="J168" s="18">
        <f>IF(COUNT(BV168:CD168)=9,SUM(BV168:CD168),"")</f>
        <v>3</v>
      </c>
      <c r="K168" s="18">
        <f>SUM(BL168:CD168)</f>
        <v>9</v>
      </c>
      <c r="L168" s="18">
        <f>--(K168&gt;='Codebook'!$C$8)</f>
        <v>0</v>
      </c>
      <c r="M168" s="18">
        <f>--(COUNT(BL168:CD168)=19)</f>
        <v>1</v>
      </c>
      <c r="N168" s="18">
        <f>SUM(CE168:CL168)</f>
        <v>2</v>
      </c>
      <c r="O168" s="18">
        <f>SUM(CM168:CR168)</f>
        <v>1</v>
      </c>
      <c r="P168" s="18">
        <f>N168+O168</f>
        <v>3</v>
      </c>
      <c r="Q168" s="21" t="s">
        <v>207</v>
      </c>
      <c r="R168" s="17" t="s">
        <v>153</v>
      </c>
      <c r="S168" s="18">
        <f>--OR(Overview!$B$6="All",E168=Overview!$B$6)*--OR(Overview!$F$6="All",F168=Overview!$F$6)*--OR(Overview!$J$6="All",G168=Overview!$J$6)*--OR(Overview!$N$6="All",H168=Overview!$N$6)</f>
        <v>1</v>
      </c>
      <c r="T168" s="21" t="s">
        <v>22</v>
      </c>
      <c r="U168" s="21" t="s">
        <v>22</v>
      </c>
      <c r="V168" s="21" t="s">
        <v>22</v>
      </c>
      <c r="W168" s="21" t="s">
        <v>22</v>
      </c>
      <c r="X168" s="21" t="s">
        <v>22</v>
      </c>
      <c r="Y168" s="21" t="s">
        <v>22</v>
      </c>
      <c r="Z168" s="21" t="s">
        <v>22</v>
      </c>
      <c r="AA168" s="21" t="s">
        <v>22</v>
      </c>
      <c r="AB168" s="21" t="s">
        <v>22</v>
      </c>
      <c r="AC168" s="21" t="s">
        <v>22</v>
      </c>
      <c r="AD168" s="21" t="s">
        <v>22</v>
      </c>
      <c r="AE168" s="21" t="s">
        <v>22</v>
      </c>
      <c r="AF168" s="21" t="s">
        <v>22</v>
      </c>
      <c r="AG168" s="21" t="s">
        <v>198</v>
      </c>
      <c r="AH168" s="21" t="s">
        <v>22</v>
      </c>
      <c r="AI168" s="21" t="s">
        <v>198</v>
      </c>
      <c r="AJ168" s="21" t="s">
        <v>22</v>
      </c>
      <c r="AK168" s="21" t="s">
        <v>198</v>
      </c>
      <c r="AL168" s="21" t="s">
        <v>22</v>
      </c>
      <c r="AM168" s="21" t="s">
        <v>83</v>
      </c>
      <c r="AN168" s="21" t="s">
        <v>109</v>
      </c>
      <c r="AO168" s="21" t="s">
        <v>198</v>
      </c>
      <c r="AP168" s="21" t="s">
        <v>109</v>
      </c>
      <c r="AQ168" s="21" t="s">
        <v>198</v>
      </c>
      <c r="AR168" s="21" t="s">
        <v>198</v>
      </c>
      <c r="AS168" s="21" t="s">
        <v>83</v>
      </c>
      <c r="AT168" s="21" t="s">
        <v>198</v>
      </c>
      <c r="AU168" s="21" t="s">
        <v>198</v>
      </c>
      <c r="AV168" s="21" t="s">
        <v>198</v>
      </c>
      <c r="AW168" s="21" t="s">
        <v>83</v>
      </c>
      <c r="AX168" s="21" t="s">
        <v>109</v>
      </c>
      <c r="AY168" s="21" t="s">
        <v>198</v>
      </c>
      <c r="AZ168" s="21" t="s">
        <v>198</v>
      </c>
      <c r="BA168" s="17" t="s">
        <v>316</v>
      </c>
      <c r="BB168" s="17" t="s">
        <v>277</v>
      </c>
      <c r="BC168" s="18">
        <f>--ISNUMBER(SEARCH("Radio or television",BA168))</f>
        <v>0</v>
      </c>
      <c r="BD168" s="18">
        <f>--ISNUMBER(SEARCH("Newspapers or print media",BA168))</f>
        <v>1</v>
      </c>
      <c r="BE168" s="18">
        <f>--ISNUMBER(SEARCH("Social media (e.g. Facebook, WhatsApp, YouTube, X/Twitter)",BA168))</f>
        <v>0</v>
      </c>
      <c r="BF168" s="18">
        <f>--ISNUMBER(SEARCH("Family members",BA168))</f>
        <v>1</v>
      </c>
      <c r="BG168" s="18">
        <f>--ISNUMBER(SEARCH("Friends or fellow students",BA168))</f>
        <v>0</v>
      </c>
      <c r="BH168" s="18">
        <f>--ISNUMBER(SEARCH("School coursework or lectures",BA168))</f>
        <v>0</v>
      </c>
      <c r="BI168" s="18">
        <f>--ISNUMBER(SEARCH("NHIMA outreach activities or NHIMA offices",BA168))</f>
        <v>0</v>
      </c>
      <c r="BJ168" s="18">
        <f>--ISNUMBER(SEARCH("Health facility staff",BA168))</f>
        <v>0</v>
      </c>
      <c r="BK168" s="18">
        <f>--ISNUMBER(SEARCH("not received information",BA168))</f>
        <v>0</v>
      </c>
      <c r="BL168" s="18">
        <f>IF(T168="","",--(T168='Codebook'!$F$13))</f>
        <v>1</v>
      </c>
      <c r="BM168" s="18">
        <f>IF(U168="","",--(U168='Codebook'!$F$14))</f>
        <v>0</v>
      </c>
      <c r="BN168" s="18">
        <f>IF(V168="","",--(V168='Codebook'!$F$15))</f>
        <v>0</v>
      </c>
      <c r="BO168" s="18">
        <f>IF(W168="","",--(W168='Codebook'!$F$16))</f>
        <v>1</v>
      </c>
      <c r="BP168" s="18">
        <f>IF(X168="","",--(X168='Codebook'!$F$17))</f>
        <v>1</v>
      </c>
      <c r="BQ168" s="18">
        <f>IF(Y168="","",--(Y168='Codebook'!$F$18))</f>
        <v>0</v>
      </c>
      <c r="BR168" s="18">
        <f>IF(Z168="","",--(Z168='Codebook'!$F$19))</f>
        <v>1</v>
      </c>
      <c r="BS168" s="18">
        <f>IF(AA168="","",--(AA168='Codebook'!$F$20))</f>
        <v>1</v>
      </c>
      <c r="BT168" s="18">
        <f>IF(AB168="","",--(AB168='Codebook'!$F$21))</f>
        <v>0</v>
      </c>
      <c r="BU168" s="18">
        <f>IF(AC168="","",--(AC168='Codebook'!$F$22))</f>
        <v>1</v>
      </c>
      <c r="BV168" s="18">
        <f>IF(AD168="","",--(AD168='Codebook'!$F$23))</f>
        <v>1</v>
      </c>
      <c r="BW168" s="18">
        <f>IF(AE168="","",--(AE168='Codebook'!$F$24))</f>
        <v>1</v>
      </c>
      <c r="BX168" s="18">
        <f>IF(AF168="","",--(AF168='Codebook'!$F$25))</f>
        <v>0</v>
      </c>
      <c r="BY168" s="18">
        <f>IF(AG168="","",--(AG168='Codebook'!$F$26))</f>
        <v>0</v>
      </c>
      <c r="BZ168" s="18">
        <f>IF(AH168="","",--(AH168='Codebook'!$F$27))</f>
        <v>1</v>
      </c>
      <c r="CA168" s="18">
        <f>IF(AI168="","",--(AI168='Codebook'!$F$28))</f>
        <v>0</v>
      </c>
      <c r="CB168" s="18">
        <f>IF(AJ168="","",--(AJ168='Codebook'!$F$29))</f>
        <v>0</v>
      </c>
      <c r="CC168" s="18">
        <f>IF(AK168="","",--(AK168='Codebook'!$F$30))</f>
        <v>0</v>
      </c>
      <c r="CD168" s="18">
        <f>IF(AL168="","",--(AL168='Codebook'!$F$31))</f>
        <v>0</v>
      </c>
      <c r="CE168" s="18">
        <f>IF(AM168="","",--(AM168='Codebook'!$F$32))</f>
        <v>1</v>
      </c>
      <c r="CF168" s="18">
        <f>IF(AN168="","",--(AN168='Codebook'!$F$33))</f>
        <v>0</v>
      </c>
      <c r="CG168" s="18">
        <f>IF(AO168="","",--(AO168='Codebook'!$F$34))</f>
        <v>0</v>
      </c>
      <c r="CH168" s="18">
        <f>IF(AP168="","",--(AP168='Codebook'!$F$35))</f>
        <v>0</v>
      </c>
      <c r="CI168" s="18">
        <f>IF(AQ168="","",--(AQ168='Codebook'!$F$36))</f>
        <v>0</v>
      </c>
      <c r="CJ168" s="18">
        <f>IF(AR168="","",--(AR168='Codebook'!$F$37))</f>
        <v>0</v>
      </c>
      <c r="CK168" s="18">
        <f>IF(AS168="","",--(AS168='Codebook'!$F$38))</f>
        <v>1</v>
      </c>
      <c r="CL168" s="18">
        <f>IF(AT168="","",--(AT168='Codebook'!$F$39))</f>
        <v>0</v>
      </c>
      <c r="CM168" s="18">
        <f>IF(AU168="","",--(AU168='Codebook'!$F$40))</f>
        <v>0</v>
      </c>
      <c r="CN168" s="18">
        <f>IF(AV168="","",--(AV168='Codebook'!$F$41))</f>
        <v>0</v>
      </c>
      <c r="CO168" s="18">
        <f>IF(AW168="","",--(AW168='Codebook'!$F$42))</f>
        <v>0</v>
      </c>
      <c r="CP168" s="18">
        <f>IF(AX168="","",--(AX168='Codebook'!$F$43))</f>
        <v>1</v>
      </c>
      <c r="CQ168" s="18">
        <f>IF(AY168="","",--(AY168='Codebook'!$F$44))</f>
        <v>0</v>
      </c>
      <c r="CR168" s="18">
        <f>IF(AZ168="","",--(AZ168='Codebook'!$F$45))</f>
        <v>0</v>
      </c>
    </row>
    <row r="169" spans="2:96" ht="24" customHeight="1">
      <c r="B169" s="18">
        <v>164</v>
      </c>
      <c r="C169" s="23">
        <v>46285.4509984375</v>
      </c>
      <c r="D169" s="21" t="s">
        <v>275</v>
      </c>
      <c r="E169" s="21" t="s">
        <v>194</v>
      </c>
      <c r="F169" s="21" t="s">
        <v>201</v>
      </c>
      <c r="G169" s="17" t="s">
        <v>202</v>
      </c>
      <c r="H169" s="21" t="s">
        <v>207</v>
      </c>
      <c r="I169" s="18">
        <f>SUM(BL169:BU169)</f>
        <v>6</v>
      </c>
      <c r="J169" s="18">
        <f>IF(COUNT(BV169:CD169)=9,SUM(BV169:CD169),"")</f>
        <v>5</v>
      </c>
      <c r="K169" s="18">
        <f>SUM(BL169:CD169)</f>
        <v>11</v>
      </c>
      <c r="L169" s="18">
        <f>--(K169&gt;='Codebook'!$C$8)</f>
        <v>0</v>
      </c>
      <c r="M169" s="18">
        <f>--(COUNT(BL169:CD169)=19)</f>
        <v>1</v>
      </c>
      <c r="N169" s="18">
        <f>SUM(CE169:CL169)</f>
        <v>8</v>
      </c>
      <c r="O169" s="18">
        <f>SUM(CM169:CR169)</f>
        <v>2</v>
      </c>
      <c r="P169" s="18">
        <f>N169+O169</f>
        <v>10</v>
      </c>
      <c r="Q169" s="21" t="s">
        <v>198</v>
      </c>
      <c r="R169" s="17" t="s">
        <v>216</v>
      </c>
      <c r="S169" s="18">
        <f>--OR(Overview!$B$6="All",E169=Overview!$B$6)*--OR(Overview!$F$6="All",F169=Overview!$F$6)*--OR(Overview!$J$6="All",G169=Overview!$J$6)*--OR(Overview!$N$6="All",H169=Overview!$N$6)</f>
        <v>1</v>
      </c>
      <c r="T169" s="21" t="s">
        <v>22</v>
      </c>
      <c r="U169" s="21" t="s">
        <v>22</v>
      </c>
      <c r="V169" s="21" t="s">
        <v>22</v>
      </c>
      <c r="W169" s="21" t="s">
        <v>22</v>
      </c>
      <c r="X169" s="21" t="s">
        <v>22</v>
      </c>
      <c r="Y169" s="21" t="s">
        <v>22</v>
      </c>
      <c r="Z169" s="21" t="s">
        <v>22</v>
      </c>
      <c r="AA169" s="21" t="s">
        <v>22</v>
      </c>
      <c r="AB169" s="21" t="s">
        <v>22</v>
      </c>
      <c r="AC169" s="21" t="s">
        <v>22</v>
      </c>
      <c r="AD169" s="21" t="s">
        <v>22</v>
      </c>
      <c r="AE169" s="21" t="s">
        <v>22</v>
      </c>
      <c r="AF169" s="21" t="s">
        <v>22</v>
      </c>
      <c r="AG169" s="21" t="s">
        <v>22</v>
      </c>
      <c r="AH169" s="21" t="s">
        <v>22</v>
      </c>
      <c r="AI169" s="21" t="s">
        <v>22</v>
      </c>
      <c r="AJ169" s="21" t="s">
        <v>22</v>
      </c>
      <c r="AK169" s="21" t="s">
        <v>22</v>
      </c>
      <c r="AL169" s="21" t="s">
        <v>22</v>
      </c>
      <c r="AM169" s="21" t="s">
        <v>83</v>
      </c>
      <c r="AN169" s="21" t="s">
        <v>83</v>
      </c>
      <c r="AO169" s="21" t="s">
        <v>83</v>
      </c>
      <c r="AP169" s="21" t="s">
        <v>83</v>
      </c>
      <c r="AQ169" s="21" t="s">
        <v>83</v>
      </c>
      <c r="AR169" s="21" t="s">
        <v>83</v>
      </c>
      <c r="AS169" s="21" t="s">
        <v>83</v>
      </c>
      <c r="AT169" s="21" t="s">
        <v>83</v>
      </c>
      <c r="AU169" s="21" t="s">
        <v>83</v>
      </c>
      <c r="AV169" s="21" t="s">
        <v>109</v>
      </c>
      <c r="AW169" s="21" t="s">
        <v>198</v>
      </c>
      <c r="AX169" s="21" t="s">
        <v>198</v>
      </c>
      <c r="AY169" s="21" t="s">
        <v>109</v>
      </c>
      <c r="AZ169" s="21" t="s">
        <v>198</v>
      </c>
      <c r="BA169" s="17" t="s">
        <v>274</v>
      </c>
      <c r="BB169" s="17" t="s">
        <v>271</v>
      </c>
      <c r="BC169" s="18">
        <f>--ISNUMBER(SEARCH("Radio or television",BA169))</f>
        <v>1</v>
      </c>
      <c r="BD169" s="18">
        <f>--ISNUMBER(SEARCH("Newspapers or print media",BA169))</f>
        <v>1</v>
      </c>
      <c r="BE169" s="18">
        <f>--ISNUMBER(SEARCH("Social media (e.g. Facebook, WhatsApp, YouTube, X/Twitter)",BA169))</f>
        <v>1</v>
      </c>
      <c r="BF169" s="18">
        <f>--ISNUMBER(SEARCH("Family members",BA169))</f>
        <v>1</v>
      </c>
      <c r="BG169" s="18">
        <f>--ISNUMBER(SEARCH("Friends or fellow students",BA169))</f>
        <v>0</v>
      </c>
      <c r="BH169" s="18">
        <f>--ISNUMBER(SEARCH("School coursework or lectures",BA169))</f>
        <v>0</v>
      </c>
      <c r="BI169" s="18">
        <f>--ISNUMBER(SEARCH("NHIMA outreach activities or NHIMA offices",BA169))</f>
        <v>0</v>
      </c>
      <c r="BJ169" s="18">
        <f>--ISNUMBER(SEARCH("Health facility staff",BA169))</f>
        <v>0</v>
      </c>
      <c r="BK169" s="18">
        <f>--ISNUMBER(SEARCH("not received information",BA169))</f>
        <v>0</v>
      </c>
      <c r="BL169" s="18">
        <f>IF(T169="","",--(T169='Codebook'!$F$13))</f>
        <v>1</v>
      </c>
      <c r="BM169" s="18">
        <f>IF(U169="","",--(U169='Codebook'!$F$14))</f>
        <v>0</v>
      </c>
      <c r="BN169" s="18">
        <f>IF(V169="","",--(V169='Codebook'!$F$15))</f>
        <v>0</v>
      </c>
      <c r="BO169" s="18">
        <f>IF(W169="","",--(W169='Codebook'!$F$16))</f>
        <v>1</v>
      </c>
      <c r="BP169" s="18">
        <f>IF(X169="","",--(X169='Codebook'!$F$17))</f>
        <v>1</v>
      </c>
      <c r="BQ169" s="18">
        <f>IF(Y169="","",--(Y169='Codebook'!$F$18))</f>
        <v>0</v>
      </c>
      <c r="BR169" s="18">
        <f>IF(Z169="","",--(Z169='Codebook'!$F$19))</f>
        <v>1</v>
      </c>
      <c r="BS169" s="18">
        <f>IF(AA169="","",--(AA169='Codebook'!$F$20))</f>
        <v>1</v>
      </c>
      <c r="BT169" s="18">
        <f>IF(AB169="","",--(AB169='Codebook'!$F$21))</f>
        <v>0</v>
      </c>
      <c r="BU169" s="18">
        <f>IF(AC169="","",--(AC169='Codebook'!$F$22))</f>
        <v>1</v>
      </c>
      <c r="BV169" s="18">
        <f>IF(AD169="","",--(AD169='Codebook'!$F$23))</f>
        <v>1</v>
      </c>
      <c r="BW169" s="18">
        <f>IF(AE169="","",--(AE169='Codebook'!$F$24))</f>
        <v>1</v>
      </c>
      <c r="BX169" s="18">
        <f>IF(AF169="","",--(AF169='Codebook'!$F$25))</f>
        <v>0</v>
      </c>
      <c r="BY169" s="18">
        <f>IF(AG169="","",--(AG169='Codebook'!$F$26))</f>
        <v>1</v>
      </c>
      <c r="BZ169" s="18">
        <f>IF(AH169="","",--(AH169='Codebook'!$F$27))</f>
        <v>1</v>
      </c>
      <c r="CA169" s="18">
        <f>IF(AI169="","",--(AI169='Codebook'!$F$28))</f>
        <v>0</v>
      </c>
      <c r="CB169" s="18">
        <f>IF(AJ169="","",--(AJ169='Codebook'!$F$29))</f>
        <v>0</v>
      </c>
      <c r="CC169" s="18">
        <f>IF(AK169="","",--(AK169='Codebook'!$F$30))</f>
        <v>1</v>
      </c>
      <c r="CD169" s="18">
        <f>IF(AL169="","",--(AL169='Codebook'!$F$31))</f>
        <v>0</v>
      </c>
      <c r="CE169" s="18">
        <f>IF(AM169="","",--(AM169='Codebook'!$F$32))</f>
        <v>1</v>
      </c>
      <c r="CF169" s="18">
        <f>IF(AN169="","",--(AN169='Codebook'!$F$33))</f>
        <v>1</v>
      </c>
      <c r="CG169" s="18">
        <f>IF(AO169="","",--(AO169='Codebook'!$F$34))</f>
        <v>1</v>
      </c>
      <c r="CH169" s="18">
        <f>IF(AP169="","",--(AP169='Codebook'!$F$35))</f>
        <v>1</v>
      </c>
      <c r="CI169" s="18">
        <f>IF(AQ169="","",--(AQ169='Codebook'!$F$36))</f>
        <v>1</v>
      </c>
      <c r="CJ169" s="18">
        <f>IF(AR169="","",--(AR169='Codebook'!$F$37))</f>
        <v>1</v>
      </c>
      <c r="CK169" s="18">
        <f>IF(AS169="","",--(AS169='Codebook'!$F$38))</f>
        <v>1</v>
      </c>
      <c r="CL169" s="18">
        <f>IF(AT169="","",--(AT169='Codebook'!$F$39))</f>
        <v>1</v>
      </c>
      <c r="CM169" s="18">
        <f>IF(AU169="","",--(AU169='Codebook'!$F$40))</f>
        <v>0</v>
      </c>
      <c r="CN169" s="18">
        <f>IF(AV169="","",--(AV169='Codebook'!$F$41))</f>
        <v>1</v>
      </c>
      <c r="CO169" s="18">
        <f>IF(AW169="","",--(AW169='Codebook'!$F$42))</f>
        <v>0</v>
      </c>
      <c r="CP169" s="18">
        <f>IF(AX169="","",--(AX169='Codebook'!$F$43))</f>
        <v>0</v>
      </c>
      <c r="CQ169" s="18">
        <f>IF(AY169="","",--(AY169='Codebook'!$F$44))</f>
        <v>1</v>
      </c>
      <c r="CR169" s="18">
        <f>IF(AZ169="","",--(AZ169='Codebook'!$F$45))</f>
        <v>0</v>
      </c>
    </row>
    <row r="170" spans="2:96" ht="24" customHeight="1">
      <c r="B170" s="18">
        <v>165</v>
      </c>
      <c r="C170" s="23">
        <v>46285.45487327546</v>
      </c>
      <c r="D170" s="21" t="s">
        <v>275</v>
      </c>
      <c r="E170" s="21" t="s">
        <v>194</v>
      </c>
      <c r="F170" s="21" t="s">
        <v>195</v>
      </c>
      <c r="G170" s="17" t="s">
        <v>196</v>
      </c>
      <c r="H170" s="21" t="s">
        <v>207</v>
      </c>
      <c r="I170" s="18">
        <f>SUM(BL170:BU170)</f>
        <v>6</v>
      </c>
      <c r="J170" s="18">
        <f>IF(COUNT(BV170:CD170)=9,SUM(BV170:CD170),"")</f>
        <v>6</v>
      </c>
      <c r="K170" s="18">
        <f>SUM(BL170:CD170)</f>
        <v>12</v>
      </c>
      <c r="L170" s="18">
        <f>--(K170&gt;='Codebook'!$C$8)</f>
        <v>1</v>
      </c>
      <c r="M170" s="18">
        <f>--(COUNT(BL170:CD170)=19)</f>
        <v>1</v>
      </c>
      <c r="N170" s="18">
        <f>SUM(CE170:CL170)</f>
        <v>8</v>
      </c>
      <c r="O170" s="18">
        <f>SUM(CM170:CR170)</f>
        <v>0</v>
      </c>
      <c r="P170" s="18">
        <f>N170+O170</f>
        <v>8</v>
      </c>
      <c r="Q170" s="21" t="s">
        <v>198</v>
      </c>
      <c r="R170" s="17" t="s">
        <v>216</v>
      </c>
      <c r="S170" s="18">
        <f>--OR(Overview!$B$6="All",E170=Overview!$B$6)*--OR(Overview!$F$6="All",F170=Overview!$F$6)*--OR(Overview!$J$6="All",G170=Overview!$J$6)*--OR(Overview!$N$6="All",H170=Overview!$N$6)</f>
        <v>1</v>
      </c>
      <c r="T170" s="21" t="s">
        <v>22</v>
      </c>
      <c r="U170" s="21" t="s">
        <v>22</v>
      </c>
      <c r="V170" s="21" t="s">
        <v>22</v>
      </c>
      <c r="W170" s="21" t="s">
        <v>22</v>
      </c>
      <c r="X170" s="21" t="s">
        <v>22</v>
      </c>
      <c r="Y170" s="21" t="s">
        <v>22</v>
      </c>
      <c r="Z170" s="21" t="s">
        <v>22</v>
      </c>
      <c r="AA170" s="21" t="s">
        <v>22</v>
      </c>
      <c r="AB170" s="21" t="s">
        <v>22</v>
      </c>
      <c r="AC170" s="21" t="s">
        <v>22</v>
      </c>
      <c r="AD170" s="21" t="s">
        <v>22</v>
      </c>
      <c r="AE170" s="21" t="s">
        <v>22</v>
      </c>
      <c r="AF170" s="21" t="s">
        <v>22</v>
      </c>
      <c r="AG170" s="21" t="s">
        <v>22</v>
      </c>
      <c r="AH170" s="21" t="s">
        <v>22</v>
      </c>
      <c r="AI170" s="21" t="s">
        <v>22</v>
      </c>
      <c r="AJ170" s="21" t="s">
        <v>22</v>
      </c>
      <c r="AK170" s="21" t="s">
        <v>22</v>
      </c>
      <c r="AL170" s="21" t="s">
        <v>26</v>
      </c>
      <c r="AM170" s="21" t="s">
        <v>83</v>
      </c>
      <c r="AN170" s="21" t="s">
        <v>83</v>
      </c>
      <c r="AO170" s="21" t="s">
        <v>83</v>
      </c>
      <c r="AP170" s="21" t="s">
        <v>83</v>
      </c>
      <c r="AQ170" s="21" t="s">
        <v>83</v>
      </c>
      <c r="AR170" s="21" t="s">
        <v>83</v>
      </c>
      <c r="AS170" s="21" t="s">
        <v>83</v>
      </c>
      <c r="AT170" s="21" t="s">
        <v>83</v>
      </c>
      <c r="AU170" s="21" t="s">
        <v>83</v>
      </c>
      <c r="AV170" s="21" t="s">
        <v>198</v>
      </c>
      <c r="AW170" s="21" t="s">
        <v>83</v>
      </c>
      <c r="AX170" s="21" t="s">
        <v>198</v>
      </c>
      <c r="AY170" s="21" t="s">
        <v>198</v>
      </c>
      <c r="AZ170" s="21" t="s">
        <v>198</v>
      </c>
      <c r="BA170" s="17" t="s">
        <v>278</v>
      </c>
      <c r="BB170" s="17" t="s">
        <v>246</v>
      </c>
      <c r="BC170" s="18">
        <f>--ISNUMBER(SEARCH("Radio or television",BA170))</f>
        <v>1</v>
      </c>
      <c r="BD170" s="18">
        <f>--ISNUMBER(SEARCH("Newspapers or print media",BA170))</f>
        <v>1</v>
      </c>
      <c r="BE170" s="18">
        <f>--ISNUMBER(SEARCH("Social media (e.g. Facebook, WhatsApp, YouTube, X/Twitter)",BA170))</f>
        <v>1</v>
      </c>
      <c r="BF170" s="18">
        <f>--ISNUMBER(SEARCH("Family members",BA170))</f>
        <v>0</v>
      </c>
      <c r="BG170" s="18">
        <f>--ISNUMBER(SEARCH("Friends or fellow students",BA170))</f>
        <v>1</v>
      </c>
      <c r="BH170" s="18">
        <f>--ISNUMBER(SEARCH("School coursework or lectures",BA170))</f>
        <v>1</v>
      </c>
      <c r="BI170" s="18">
        <f>--ISNUMBER(SEARCH("NHIMA outreach activities or NHIMA offices",BA170))</f>
        <v>0</v>
      </c>
      <c r="BJ170" s="18">
        <f>--ISNUMBER(SEARCH("Health facility staff",BA170))</f>
        <v>0</v>
      </c>
      <c r="BK170" s="18">
        <f>--ISNUMBER(SEARCH("not received information",BA170))</f>
        <v>0</v>
      </c>
      <c r="BL170" s="18">
        <f>IF(T170="","",--(T170='Codebook'!$F$13))</f>
        <v>1</v>
      </c>
      <c r="BM170" s="18">
        <f>IF(U170="","",--(U170='Codebook'!$F$14))</f>
        <v>0</v>
      </c>
      <c r="BN170" s="18">
        <f>IF(V170="","",--(V170='Codebook'!$F$15))</f>
        <v>0</v>
      </c>
      <c r="BO170" s="18">
        <f>IF(W170="","",--(W170='Codebook'!$F$16))</f>
        <v>1</v>
      </c>
      <c r="BP170" s="18">
        <f>IF(X170="","",--(X170='Codebook'!$F$17))</f>
        <v>1</v>
      </c>
      <c r="BQ170" s="18">
        <f>IF(Y170="","",--(Y170='Codebook'!$F$18))</f>
        <v>0</v>
      </c>
      <c r="BR170" s="18">
        <f>IF(Z170="","",--(Z170='Codebook'!$F$19))</f>
        <v>1</v>
      </c>
      <c r="BS170" s="18">
        <f>IF(AA170="","",--(AA170='Codebook'!$F$20))</f>
        <v>1</v>
      </c>
      <c r="BT170" s="18">
        <f>IF(AB170="","",--(AB170='Codebook'!$F$21))</f>
        <v>0</v>
      </c>
      <c r="BU170" s="18">
        <f>IF(AC170="","",--(AC170='Codebook'!$F$22))</f>
        <v>1</v>
      </c>
      <c r="BV170" s="18">
        <f>IF(AD170="","",--(AD170='Codebook'!$F$23))</f>
        <v>1</v>
      </c>
      <c r="BW170" s="18">
        <f>IF(AE170="","",--(AE170='Codebook'!$F$24))</f>
        <v>1</v>
      </c>
      <c r="BX170" s="18">
        <f>IF(AF170="","",--(AF170='Codebook'!$F$25))</f>
        <v>0</v>
      </c>
      <c r="BY170" s="18">
        <f>IF(AG170="","",--(AG170='Codebook'!$F$26))</f>
        <v>1</v>
      </c>
      <c r="BZ170" s="18">
        <f>IF(AH170="","",--(AH170='Codebook'!$F$27))</f>
        <v>1</v>
      </c>
      <c r="CA170" s="18">
        <f>IF(AI170="","",--(AI170='Codebook'!$F$28))</f>
        <v>0</v>
      </c>
      <c r="CB170" s="18">
        <f>IF(AJ170="","",--(AJ170='Codebook'!$F$29))</f>
        <v>0</v>
      </c>
      <c r="CC170" s="18">
        <f>IF(AK170="","",--(AK170='Codebook'!$F$30))</f>
        <v>1</v>
      </c>
      <c r="CD170" s="18">
        <f>IF(AL170="","",--(AL170='Codebook'!$F$31))</f>
        <v>1</v>
      </c>
      <c r="CE170" s="18">
        <f>IF(AM170="","",--(AM170='Codebook'!$F$32))</f>
        <v>1</v>
      </c>
      <c r="CF170" s="18">
        <f>IF(AN170="","",--(AN170='Codebook'!$F$33))</f>
        <v>1</v>
      </c>
      <c r="CG170" s="18">
        <f>IF(AO170="","",--(AO170='Codebook'!$F$34))</f>
        <v>1</v>
      </c>
      <c r="CH170" s="18">
        <f>IF(AP170="","",--(AP170='Codebook'!$F$35))</f>
        <v>1</v>
      </c>
      <c r="CI170" s="18">
        <f>IF(AQ170="","",--(AQ170='Codebook'!$F$36))</f>
        <v>1</v>
      </c>
      <c r="CJ170" s="18">
        <f>IF(AR170="","",--(AR170='Codebook'!$F$37))</f>
        <v>1</v>
      </c>
      <c r="CK170" s="18">
        <f>IF(AS170="","",--(AS170='Codebook'!$F$38))</f>
        <v>1</v>
      </c>
      <c r="CL170" s="18">
        <f>IF(AT170="","",--(AT170='Codebook'!$F$39))</f>
        <v>1</v>
      </c>
      <c r="CM170" s="18">
        <f>IF(AU170="","",--(AU170='Codebook'!$F$40))</f>
        <v>0</v>
      </c>
      <c r="CN170" s="18">
        <f>IF(AV170="","",--(AV170='Codebook'!$F$41))</f>
        <v>0</v>
      </c>
      <c r="CO170" s="18">
        <f>IF(AW170="","",--(AW170='Codebook'!$F$42))</f>
        <v>0</v>
      </c>
      <c r="CP170" s="18">
        <f>IF(AX170="","",--(AX170='Codebook'!$F$43))</f>
        <v>0</v>
      </c>
      <c r="CQ170" s="18">
        <f>IF(AY170="","",--(AY170='Codebook'!$F$44))</f>
        <v>0</v>
      </c>
      <c r="CR170" s="18">
        <f>IF(AZ170="","",--(AZ170='Codebook'!$F$45))</f>
        <v>0</v>
      </c>
    </row>
    <row r="171" spans="2:96" ht="24" customHeight="1">
      <c r="B171" s="18">
        <v>166</v>
      </c>
      <c r="C171" s="23">
        <v>46285.45600825232</v>
      </c>
      <c r="D171" s="21" t="s">
        <v>275</v>
      </c>
      <c r="E171" s="21" t="s">
        <v>194</v>
      </c>
      <c r="F171" s="21" t="s">
        <v>195</v>
      </c>
      <c r="G171" s="17" t="s">
        <v>196</v>
      </c>
      <c r="H171" s="21" t="s">
        <v>197</v>
      </c>
      <c r="I171" s="18">
        <f>SUM(BL171:BU171)</f>
        <v>6</v>
      </c>
      <c r="J171" s="18">
        <f>IF(COUNT(BV171:CD171)=9,SUM(BV171:CD171),"")</f>
        <v>5</v>
      </c>
      <c r="K171" s="18">
        <f>SUM(BL171:CD171)</f>
        <v>11</v>
      </c>
      <c r="L171" s="18">
        <f>--(K171&gt;='Codebook'!$C$8)</f>
        <v>0</v>
      </c>
      <c r="M171" s="18">
        <f>--(COUNT(BL171:CD171)=19)</f>
        <v>1</v>
      </c>
      <c r="N171" s="18">
        <f>SUM(CE171:CL171)</f>
        <v>4</v>
      </c>
      <c r="O171" s="18">
        <f>SUM(CM171:CR171)</f>
        <v>2</v>
      </c>
      <c r="P171" s="18">
        <f>N171+O171</f>
        <v>6</v>
      </c>
      <c r="Q171" s="21" t="s">
        <v>198</v>
      </c>
      <c r="R171" s="17" t="s">
        <v>216</v>
      </c>
      <c r="S171" s="18">
        <f>--OR(Overview!$B$6="All",E171=Overview!$B$6)*--OR(Overview!$F$6="All",F171=Overview!$F$6)*--OR(Overview!$J$6="All",G171=Overview!$J$6)*--OR(Overview!$N$6="All",H171=Overview!$N$6)</f>
        <v>1</v>
      </c>
      <c r="T171" s="21" t="s">
        <v>22</v>
      </c>
      <c r="U171" s="21" t="s">
        <v>22</v>
      </c>
      <c r="V171" s="21" t="s">
        <v>22</v>
      </c>
      <c r="W171" s="21" t="s">
        <v>22</v>
      </c>
      <c r="X171" s="21" t="s">
        <v>22</v>
      </c>
      <c r="Y171" s="21" t="s">
        <v>22</v>
      </c>
      <c r="Z171" s="21" t="s">
        <v>22</v>
      </c>
      <c r="AA171" s="21" t="s">
        <v>22</v>
      </c>
      <c r="AB171" s="21" t="s">
        <v>22</v>
      </c>
      <c r="AC171" s="21" t="s">
        <v>22</v>
      </c>
      <c r="AD171" s="21" t="s">
        <v>22</v>
      </c>
      <c r="AE171" s="21" t="s">
        <v>22</v>
      </c>
      <c r="AF171" s="21" t="s">
        <v>22</v>
      </c>
      <c r="AG171" s="21" t="s">
        <v>22</v>
      </c>
      <c r="AH171" s="21" t="s">
        <v>22</v>
      </c>
      <c r="AI171" s="21" t="s">
        <v>198</v>
      </c>
      <c r="AJ171" s="21" t="s">
        <v>22</v>
      </c>
      <c r="AK171" s="21" t="s">
        <v>26</v>
      </c>
      <c r="AL171" s="21" t="s">
        <v>26</v>
      </c>
      <c r="AM171" s="21" t="s">
        <v>198</v>
      </c>
      <c r="AN171" s="21" t="s">
        <v>109</v>
      </c>
      <c r="AO171" s="21" t="s">
        <v>83</v>
      </c>
      <c r="AP171" s="21" t="s">
        <v>109</v>
      </c>
      <c r="AQ171" s="21" t="s">
        <v>83</v>
      </c>
      <c r="AR171" s="21" t="s">
        <v>83</v>
      </c>
      <c r="AS171" s="21" t="s">
        <v>109</v>
      </c>
      <c r="AT171" s="21" t="s">
        <v>83</v>
      </c>
      <c r="AU171" s="21" t="s">
        <v>109</v>
      </c>
      <c r="AV171" s="21" t="s">
        <v>83</v>
      </c>
      <c r="AW171" s="21" t="s">
        <v>83</v>
      </c>
      <c r="AX171" s="21" t="s">
        <v>83</v>
      </c>
      <c r="AY171" s="21" t="s">
        <v>109</v>
      </c>
      <c r="AZ171" s="21" t="s">
        <v>83</v>
      </c>
      <c r="BA171" s="17" t="s">
        <v>274</v>
      </c>
      <c r="BB171" s="17" t="s">
        <v>269</v>
      </c>
      <c r="BC171" s="18">
        <f>--ISNUMBER(SEARCH("Radio or television",BA171))</f>
        <v>1</v>
      </c>
      <c r="BD171" s="18">
        <f>--ISNUMBER(SEARCH("Newspapers or print media",BA171))</f>
        <v>1</v>
      </c>
      <c r="BE171" s="18">
        <f>--ISNUMBER(SEARCH("Social media (e.g. Facebook, WhatsApp, YouTube, X/Twitter)",BA171))</f>
        <v>1</v>
      </c>
      <c r="BF171" s="18">
        <f>--ISNUMBER(SEARCH("Family members",BA171))</f>
        <v>1</v>
      </c>
      <c r="BG171" s="18">
        <f>--ISNUMBER(SEARCH("Friends or fellow students",BA171))</f>
        <v>0</v>
      </c>
      <c r="BH171" s="18">
        <f>--ISNUMBER(SEARCH("School coursework or lectures",BA171))</f>
        <v>0</v>
      </c>
      <c r="BI171" s="18">
        <f>--ISNUMBER(SEARCH("NHIMA outreach activities or NHIMA offices",BA171))</f>
        <v>0</v>
      </c>
      <c r="BJ171" s="18">
        <f>--ISNUMBER(SEARCH("Health facility staff",BA171))</f>
        <v>0</v>
      </c>
      <c r="BK171" s="18">
        <f>--ISNUMBER(SEARCH("not received information",BA171))</f>
        <v>0</v>
      </c>
      <c r="BL171" s="18">
        <f>IF(T171="","",--(T171='Codebook'!$F$13))</f>
        <v>1</v>
      </c>
      <c r="BM171" s="18">
        <f>IF(U171="","",--(U171='Codebook'!$F$14))</f>
        <v>0</v>
      </c>
      <c r="BN171" s="18">
        <f>IF(V171="","",--(V171='Codebook'!$F$15))</f>
        <v>0</v>
      </c>
      <c r="BO171" s="18">
        <f>IF(W171="","",--(W171='Codebook'!$F$16))</f>
        <v>1</v>
      </c>
      <c r="BP171" s="18">
        <f>IF(X171="","",--(X171='Codebook'!$F$17))</f>
        <v>1</v>
      </c>
      <c r="BQ171" s="18">
        <f>IF(Y171="","",--(Y171='Codebook'!$F$18))</f>
        <v>0</v>
      </c>
      <c r="BR171" s="18">
        <f>IF(Z171="","",--(Z171='Codebook'!$F$19))</f>
        <v>1</v>
      </c>
      <c r="BS171" s="18">
        <f>IF(AA171="","",--(AA171='Codebook'!$F$20))</f>
        <v>1</v>
      </c>
      <c r="BT171" s="18">
        <f>IF(AB171="","",--(AB171='Codebook'!$F$21))</f>
        <v>0</v>
      </c>
      <c r="BU171" s="18">
        <f>IF(AC171="","",--(AC171='Codebook'!$F$22))</f>
        <v>1</v>
      </c>
      <c r="BV171" s="18">
        <f>IF(AD171="","",--(AD171='Codebook'!$F$23))</f>
        <v>1</v>
      </c>
      <c r="BW171" s="18">
        <f>IF(AE171="","",--(AE171='Codebook'!$F$24))</f>
        <v>1</v>
      </c>
      <c r="BX171" s="18">
        <f>IF(AF171="","",--(AF171='Codebook'!$F$25))</f>
        <v>0</v>
      </c>
      <c r="BY171" s="18">
        <f>IF(AG171="","",--(AG171='Codebook'!$F$26))</f>
        <v>1</v>
      </c>
      <c r="BZ171" s="18">
        <f>IF(AH171="","",--(AH171='Codebook'!$F$27))</f>
        <v>1</v>
      </c>
      <c r="CA171" s="18">
        <f>IF(AI171="","",--(AI171='Codebook'!$F$28))</f>
        <v>0</v>
      </c>
      <c r="CB171" s="18">
        <f>IF(AJ171="","",--(AJ171='Codebook'!$F$29))</f>
        <v>0</v>
      </c>
      <c r="CC171" s="18">
        <f>IF(AK171="","",--(AK171='Codebook'!$F$30))</f>
        <v>0</v>
      </c>
      <c r="CD171" s="18">
        <f>IF(AL171="","",--(AL171='Codebook'!$F$31))</f>
        <v>1</v>
      </c>
      <c r="CE171" s="18">
        <f>IF(AM171="","",--(AM171='Codebook'!$F$32))</f>
        <v>0</v>
      </c>
      <c r="CF171" s="18">
        <f>IF(AN171="","",--(AN171='Codebook'!$F$33))</f>
        <v>0</v>
      </c>
      <c r="CG171" s="18">
        <f>IF(AO171="","",--(AO171='Codebook'!$F$34))</f>
        <v>1</v>
      </c>
      <c r="CH171" s="18">
        <f>IF(AP171="","",--(AP171='Codebook'!$F$35))</f>
        <v>0</v>
      </c>
      <c r="CI171" s="18">
        <f>IF(AQ171="","",--(AQ171='Codebook'!$F$36))</f>
        <v>1</v>
      </c>
      <c r="CJ171" s="18">
        <f>IF(AR171="","",--(AR171='Codebook'!$F$37))</f>
        <v>1</v>
      </c>
      <c r="CK171" s="18">
        <f>IF(AS171="","",--(AS171='Codebook'!$F$38))</f>
        <v>0</v>
      </c>
      <c r="CL171" s="18">
        <f>IF(AT171="","",--(AT171='Codebook'!$F$39))</f>
        <v>1</v>
      </c>
      <c r="CM171" s="18">
        <f>IF(AU171="","",--(AU171='Codebook'!$F$40))</f>
        <v>1</v>
      </c>
      <c r="CN171" s="18">
        <f>IF(AV171="","",--(AV171='Codebook'!$F$41))</f>
        <v>0</v>
      </c>
      <c r="CO171" s="18">
        <f>IF(AW171="","",--(AW171='Codebook'!$F$42))</f>
        <v>0</v>
      </c>
      <c r="CP171" s="18">
        <f>IF(AX171="","",--(AX171='Codebook'!$F$43))</f>
        <v>0</v>
      </c>
      <c r="CQ171" s="18">
        <f>IF(AY171="","",--(AY171='Codebook'!$F$44))</f>
        <v>1</v>
      </c>
      <c r="CR171" s="18">
        <f>IF(AZ171="","",--(AZ171='Codebook'!$F$45))</f>
        <v>0</v>
      </c>
    </row>
    <row r="172" spans="2:96" ht="24" customHeight="1">
      <c r="B172" s="18">
        <v>167</v>
      </c>
      <c r="C172" s="23">
        <v>46285.45778087963</v>
      </c>
      <c r="D172" s="21" t="s">
        <v>275</v>
      </c>
      <c r="E172" s="21" t="s">
        <v>206</v>
      </c>
      <c r="F172" s="21" t="s">
        <v>201</v>
      </c>
      <c r="G172" s="17" t="s">
        <v>215</v>
      </c>
      <c r="H172" s="21" t="s">
        <v>207</v>
      </c>
      <c r="I172" s="18">
        <f>SUM(BL172:BU172)</f>
        <v>6</v>
      </c>
      <c r="J172" s="18">
        <f>IF(COUNT(BV172:CD172)=9,SUM(BV172:CD172),"")</f>
        <v>5</v>
      </c>
      <c r="K172" s="18">
        <f>SUM(BL172:CD172)</f>
        <v>11</v>
      </c>
      <c r="L172" s="18">
        <f>--(K172&gt;='Codebook'!$C$8)</f>
        <v>0</v>
      </c>
      <c r="M172" s="18">
        <f>--(COUNT(BL172:CD172)=19)</f>
        <v>1</v>
      </c>
      <c r="N172" s="18">
        <f>SUM(CE172:CL172)</f>
        <v>6</v>
      </c>
      <c r="O172" s="18">
        <f>SUM(CM172:CR172)</f>
        <v>0</v>
      </c>
      <c r="P172" s="18">
        <f>N172+O172</f>
        <v>6</v>
      </c>
      <c r="Q172" s="21" t="s">
        <v>198</v>
      </c>
      <c r="R172" s="17" t="s">
        <v>154</v>
      </c>
      <c r="S172" s="18">
        <f>--OR(Overview!$B$6="All",E172=Overview!$B$6)*--OR(Overview!$F$6="All",F172=Overview!$F$6)*--OR(Overview!$J$6="All",G172=Overview!$J$6)*--OR(Overview!$N$6="All",H172=Overview!$N$6)</f>
        <v>1</v>
      </c>
      <c r="T172" s="21" t="s">
        <v>22</v>
      </c>
      <c r="U172" s="21" t="s">
        <v>22</v>
      </c>
      <c r="V172" s="21" t="s">
        <v>22</v>
      </c>
      <c r="W172" s="21" t="s">
        <v>22</v>
      </c>
      <c r="X172" s="21" t="s">
        <v>22</v>
      </c>
      <c r="Y172" s="21" t="s">
        <v>22</v>
      </c>
      <c r="Z172" s="21" t="s">
        <v>22</v>
      </c>
      <c r="AA172" s="21" t="s">
        <v>22</v>
      </c>
      <c r="AB172" s="21" t="s">
        <v>22</v>
      </c>
      <c r="AC172" s="21" t="s">
        <v>22</v>
      </c>
      <c r="AD172" s="21" t="s">
        <v>22</v>
      </c>
      <c r="AE172" s="21" t="s">
        <v>22</v>
      </c>
      <c r="AF172" s="21" t="s">
        <v>22</v>
      </c>
      <c r="AG172" s="21" t="s">
        <v>22</v>
      </c>
      <c r="AH172" s="21" t="s">
        <v>22</v>
      </c>
      <c r="AI172" s="21" t="s">
        <v>22</v>
      </c>
      <c r="AJ172" s="21" t="s">
        <v>22</v>
      </c>
      <c r="AK172" s="21" t="s">
        <v>22</v>
      </c>
      <c r="AL172" s="21" t="s">
        <v>22</v>
      </c>
      <c r="AM172" s="21" t="s">
        <v>109</v>
      </c>
      <c r="AN172" s="21" t="s">
        <v>83</v>
      </c>
      <c r="AO172" s="21" t="s">
        <v>83</v>
      </c>
      <c r="AP172" s="21" t="s">
        <v>83</v>
      </c>
      <c r="AQ172" s="21" t="s">
        <v>83</v>
      </c>
      <c r="AR172" s="21" t="s">
        <v>83</v>
      </c>
      <c r="AS172" s="21" t="s">
        <v>198</v>
      </c>
      <c r="AT172" s="21" t="s">
        <v>83</v>
      </c>
      <c r="AU172" s="21" t="s">
        <v>198</v>
      </c>
      <c r="AV172" s="21" t="s">
        <v>83</v>
      </c>
      <c r="AW172" s="21" t="s">
        <v>83</v>
      </c>
      <c r="AX172" s="21" t="s">
        <v>198</v>
      </c>
      <c r="AY172" s="21" t="s">
        <v>83</v>
      </c>
      <c r="AZ172" s="21" t="s">
        <v>83</v>
      </c>
      <c r="BA172" s="17" t="s">
        <v>264</v>
      </c>
      <c r="BB172" s="17" t="s">
        <v>250</v>
      </c>
      <c r="BC172" s="18">
        <f>--ISNUMBER(SEARCH("Radio or television",BA172))</f>
        <v>1</v>
      </c>
      <c r="BD172" s="18">
        <f>--ISNUMBER(SEARCH("Newspapers or print media",BA172))</f>
        <v>0</v>
      </c>
      <c r="BE172" s="18">
        <f>--ISNUMBER(SEARCH("Social media (e.g. Facebook, WhatsApp, YouTube, X/Twitter)",BA172))</f>
        <v>1</v>
      </c>
      <c r="BF172" s="18">
        <f>--ISNUMBER(SEARCH("Family members",BA172))</f>
        <v>1</v>
      </c>
      <c r="BG172" s="18">
        <f>--ISNUMBER(SEARCH("Friends or fellow students",BA172))</f>
        <v>1</v>
      </c>
      <c r="BH172" s="18">
        <f>--ISNUMBER(SEARCH("School coursework or lectures",BA172))</f>
        <v>0</v>
      </c>
      <c r="BI172" s="18">
        <f>--ISNUMBER(SEARCH("NHIMA outreach activities or NHIMA offices",BA172))</f>
        <v>0</v>
      </c>
      <c r="BJ172" s="18">
        <f>--ISNUMBER(SEARCH("Health facility staff",BA172))</f>
        <v>0</v>
      </c>
      <c r="BK172" s="18">
        <f>--ISNUMBER(SEARCH("not received information",BA172))</f>
        <v>0</v>
      </c>
      <c r="BL172" s="18">
        <f>IF(T172="","",--(T172='Codebook'!$F$13))</f>
        <v>1</v>
      </c>
      <c r="BM172" s="18">
        <f>IF(U172="","",--(U172='Codebook'!$F$14))</f>
        <v>0</v>
      </c>
      <c r="BN172" s="18">
        <f>IF(V172="","",--(V172='Codebook'!$F$15))</f>
        <v>0</v>
      </c>
      <c r="BO172" s="18">
        <f>IF(W172="","",--(W172='Codebook'!$F$16))</f>
        <v>1</v>
      </c>
      <c r="BP172" s="18">
        <f>IF(X172="","",--(X172='Codebook'!$F$17))</f>
        <v>1</v>
      </c>
      <c r="BQ172" s="18">
        <f>IF(Y172="","",--(Y172='Codebook'!$F$18))</f>
        <v>0</v>
      </c>
      <c r="BR172" s="18">
        <f>IF(Z172="","",--(Z172='Codebook'!$F$19))</f>
        <v>1</v>
      </c>
      <c r="BS172" s="18">
        <f>IF(AA172="","",--(AA172='Codebook'!$F$20))</f>
        <v>1</v>
      </c>
      <c r="BT172" s="18">
        <f>IF(AB172="","",--(AB172='Codebook'!$F$21))</f>
        <v>0</v>
      </c>
      <c r="BU172" s="18">
        <f>IF(AC172="","",--(AC172='Codebook'!$F$22))</f>
        <v>1</v>
      </c>
      <c r="BV172" s="18">
        <f>IF(AD172="","",--(AD172='Codebook'!$F$23))</f>
        <v>1</v>
      </c>
      <c r="BW172" s="18">
        <f>IF(AE172="","",--(AE172='Codebook'!$F$24))</f>
        <v>1</v>
      </c>
      <c r="BX172" s="18">
        <f>IF(AF172="","",--(AF172='Codebook'!$F$25))</f>
        <v>0</v>
      </c>
      <c r="BY172" s="18">
        <f>IF(AG172="","",--(AG172='Codebook'!$F$26))</f>
        <v>1</v>
      </c>
      <c r="BZ172" s="18">
        <f>IF(AH172="","",--(AH172='Codebook'!$F$27))</f>
        <v>1</v>
      </c>
      <c r="CA172" s="18">
        <f>IF(AI172="","",--(AI172='Codebook'!$F$28))</f>
        <v>0</v>
      </c>
      <c r="CB172" s="18">
        <f>IF(AJ172="","",--(AJ172='Codebook'!$F$29))</f>
        <v>0</v>
      </c>
      <c r="CC172" s="18">
        <f>IF(AK172="","",--(AK172='Codebook'!$F$30))</f>
        <v>1</v>
      </c>
      <c r="CD172" s="18">
        <f>IF(AL172="","",--(AL172='Codebook'!$F$31))</f>
        <v>0</v>
      </c>
      <c r="CE172" s="18">
        <f>IF(AM172="","",--(AM172='Codebook'!$F$32))</f>
        <v>0</v>
      </c>
      <c r="CF172" s="18">
        <f>IF(AN172="","",--(AN172='Codebook'!$F$33))</f>
        <v>1</v>
      </c>
      <c r="CG172" s="18">
        <f>IF(AO172="","",--(AO172='Codebook'!$F$34))</f>
        <v>1</v>
      </c>
      <c r="CH172" s="18">
        <f>IF(AP172="","",--(AP172='Codebook'!$F$35))</f>
        <v>1</v>
      </c>
      <c r="CI172" s="18">
        <f>IF(AQ172="","",--(AQ172='Codebook'!$F$36))</f>
        <v>1</v>
      </c>
      <c r="CJ172" s="18">
        <f>IF(AR172="","",--(AR172='Codebook'!$F$37))</f>
        <v>1</v>
      </c>
      <c r="CK172" s="18">
        <f>IF(AS172="","",--(AS172='Codebook'!$F$38))</f>
        <v>0</v>
      </c>
      <c r="CL172" s="18">
        <f>IF(AT172="","",--(AT172='Codebook'!$F$39))</f>
        <v>1</v>
      </c>
      <c r="CM172" s="18">
        <f>IF(AU172="","",--(AU172='Codebook'!$F$40))</f>
        <v>0</v>
      </c>
      <c r="CN172" s="18">
        <f>IF(AV172="","",--(AV172='Codebook'!$F$41))</f>
        <v>0</v>
      </c>
      <c r="CO172" s="18">
        <f>IF(AW172="","",--(AW172='Codebook'!$F$42))</f>
        <v>0</v>
      </c>
      <c r="CP172" s="18">
        <f>IF(AX172="","",--(AX172='Codebook'!$F$43))</f>
        <v>0</v>
      </c>
      <c r="CQ172" s="18">
        <f>IF(AY172="","",--(AY172='Codebook'!$F$44))</f>
        <v>0</v>
      </c>
      <c r="CR172" s="18">
        <f>IF(AZ172="","",--(AZ172='Codebook'!$F$45))</f>
        <v>0</v>
      </c>
    </row>
    <row r="173" spans="2:96" ht="24" customHeight="1">
      <c r="B173" s="18">
        <v>168</v>
      </c>
      <c r="C173" s="23">
        <v>46285.45922609953</v>
      </c>
      <c r="D173" s="21" t="s">
        <v>275</v>
      </c>
      <c r="E173" s="21" t="s">
        <v>206</v>
      </c>
      <c r="F173" s="21" t="s">
        <v>195</v>
      </c>
      <c r="G173" s="17" t="s">
        <v>247</v>
      </c>
      <c r="H173" s="21" t="s">
        <v>207</v>
      </c>
      <c r="I173" s="18">
        <f>SUM(BL173:BU173)</f>
        <v>6</v>
      </c>
      <c r="J173" s="18">
        <f>IF(COUNT(BV173:CD173)=9,SUM(BV173:CD173),"")</f>
        <v>4</v>
      </c>
      <c r="K173" s="18">
        <f>SUM(BL173:CD173)</f>
        <v>10</v>
      </c>
      <c r="L173" s="18">
        <f>--(K173&gt;='Codebook'!$C$8)</f>
        <v>0</v>
      </c>
      <c r="M173" s="18">
        <f>--(COUNT(BL173:CD173)=19)</f>
        <v>1</v>
      </c>
      <c r="N173" s="18">
        <f>SUM(CE173:CL173)</f>
        <v>4</v>
      </c>
      <c r="O173" s="18">
        <f>SUM(CM173:CR173)</f>
        <v>1</v>
      </c>
      <c r="P173" s="18">
        <f>N173+O173</f>
        <v>5</v>
      </c>
      <c r="Q173" s="21" t="s">
        <v>198</v>
      </c>
      <c r="R173" s="17" t="s">
        <v>216</v>
      </c>
      <c r="S173" s="18">
        <f>--OR(Overview!$B$6="All",E173=Overview!$B$6)*--OR(Overview!$F$6="All",F173=Overview!$F$6)*--OR(Overview!$J$6="All",G173=Overview!$J$6)*--OR(Overview!$N$6="All",H173=Overview!$N$6)</f>
        <v>1</v>
      </c>
      <c r="T173" s="21" t="s">
        <v>22</v>
      </c>
      <c r="U173" s="21" t="s">
        <v>22</v>
      </c>
      <c r="V173" s="21" t="s">
        <v>22</v>
      </c>
      <c r="W173" s="21" t="s">
        <v>22</v>
      </c>
      <c r="X173" s="21" t="s">
        <v>22</v>
      </c>
      <c r="Y173" s="21" t="s">
        <v>22</v>
      </c>
      <c r="Z173" s="21" t="s">
        <v>22</v>
      </c>
      <c r="AA173" s="21" t="s">
        <v>22</v>
      </c>
      <c r="AB173" s="21" t="s">
        <v>22</v>
      </c>
      <c r="AC173" s="21" t="s">
        <v>22</v>
      </c>
      <c r="AD173" s="21" t="s">
        <v>22</v>
      </c>
      <c r="AE173" s="21" t="s">
        <v>22</v>
      </c>
      <c r="AF173" s="21" t="s">
        <v>22</v>
      </c>
      <c r="AG173" s="21" t="s">
        <v>22</v>
      </c>
      <c r="AH173" s="21" t="s">
        <v>198</v>
      </c>
      <c r="AI173" s="21" t="s">
        <v>26</v>
      </c>
      <c r="AJ173" s="21" t="s">
        <v>22</v>
      </c>
      <c r="AK173" s="21" t="s">
        <v>198</v>
      </c>
      <c r="AL173" s="21" t="s">
        <v>22</v>
      </c>
      <c r="AM173" s="21" t="s">
        <v>198</v>
      </c>
      <c r="AN173" s="21" t="s">
        <v>83</v>
      </c>
      <c r="AO173" s="21" t="s">
        <v>83</v>
      </c>
      <c r="AP173" s="21" t="s">
        <v>109</v>
      </c>
      <c r="AQ173" s="21" t="s">
        <v>198</v>
      </c>
      <c r="AR173" s="21" t="s">
        <v>83</v>
      </c>
      <c r="AS173" s="21" t="s">
        <v>83</v>
      </c>
      <c r="AT173" s="21" t="s">
        <v>198</v>
      </c>
      <c r="AU173" s="21" t="s">
        <v>83</v>
      </c>
      <c r="AV173" s="21" t="s">
        <v>198</v>
      </c>
      <c r="AW173" s="21" t="s">
        <v>83</v>
      </c>
      <c r="AX173" s="21" t="s">
        <v>198</v>
      </c>
      <c r="AY173" s="21" t="s">
        <v>83</v>
      </c>
      <c r="AZ173" s="21" t="s">
        <v>109</v>
      </c>
      <c r="BA173" s="17" t="s">
        <v>232</v>
      </c>
      <c r="BB173" s="17" t="s">
        <v>317</v>
      </c>
      <c r="BC173" s="18">
        <f>--ISNUMBER(SEARCH("Radio or television",BA173))</f>
        <v>1</v>
      </c>
      <c r="BD173" s="18">
        <f>--ISNUMBER(SEARCH("Newspapers or print media",BA173))</f>
        <v>0</v>
      </c>
      <c r="BE173" s="18">
        <f>--ISNUMBER(SEARCH("Social media (e.g. Facebook, WhatsApp, YouTube, X/Twitter)",BA173))</f>
        <v>1</v>
      </c>
      <c r="BF173" s="18">
        <f>--ISNUMBER(SEARCH("Family members",BA173))</f>
        <v>0</v>
      </c>
      <c r="BG173" s="18">
        <f>--ISNUMBER(SEARCH("Friends or fellow students",BA173))</f>
        <v>1</v>
      </c>
      <c r="BH173" s="18">
        <f>--ISNUMBER(SEARCH("School coursework or lectures",BA173))</f>
        <v>1</v>
      </c>
      <c r="BI173" s="18">
        <f>--ISNUMBER(SEARCH("NHIMA outreach activities or NHIMA offices",BA173))</f>
        <v>0</v>
      </c>
      <c r="BJ173" s="18">
        <f>--ISNUMBER(SEARCH("Health facility staff",BA173))</f>
        <v>0</v>
      </c>
      <c r="BK173" s="18">
        <f>--ISNUMBER(SEARCH("not received information",BA173))</f>
        <v>0</v>
      </c>
      <c r="BL173" s="18">
        <f>IF(T173="","",--(T173='Codebook'!$F$13))</f>
        <v>1</v>
      </c>
      <c r="BM173" s="18">
        <f>IF(U173="","",--(U173='Codebook'!$F$14))</f>
        <v>0</v>
      </c>
      <c r="BN173" s="18">
        <f>IF(V173="","",--(V173='Codebook'!$F$15))</f>
        <v>0</v>
      </c>
      <c r="BO173" s="18">
        <f>IF(W173="","",--(W173='Codebook'!$F$16))</f>
        <v>1</v>
      </c>
      <c r="BP173" s="18">
        <f>IF(X173="","",--(X173='Codebook'!$F$17))</f>
        <v>1</v>
      </c>
      <c r="BQ173" s="18">
        <f>IF(Y173="","",--(Y173='Codebook'!$F$18))</f>
        <v>0</v>
      </c>
      <c r="BR173" s="18">
        <f>IF(Z173="","",--(Z173='Codebook'!$F$19))</f>
        <v>1</v>
      </c>
      <c r="BS173" s="18">
        <f>IF(AA173="","",--(AA173='Codebook'!$F$20))</f>
        <v>1</v>
      </c>
      <c r="BT173" s="18">
        <f>IF(AB173="","",--(AB173='Codebook'!$F$21))</f>
        <v>0</v>
      </c>
      <c r="BU173" s="18">
        <f>IF(AC173="","",--(AC173='Codebook'!$F$22))</f>
        <v>1</v>
      </c>
      <c r="BV173" s="18">
        <f>IF(AD173="","",--(AD173='Codebook'!$F$23))</f>
        <v>1</v>
      </c>
      <c r="BW173" s="18">
        <f>IF(AE173="","",--(AE173='Codebook'!$F$24))</f>
        <v>1</v>
      </c>
      <c r="BX173" s="18">
        <f>IF(AF173="","",--(AF173='Codebook'!$F$25))</f>
        <v>0</v>
      </c>
      <c r="BY173" s="18">
        <f>IF(AG173="","",--(AG173='Codebook'!$F$26))</f>
        <v>1</v>
      </c>
      <c r="BZ173" s="18">
        <f>IF(AH173="","",--(AH173='Codebook'!$F$27))</f>
        <v>0</v>
      </c>
      <c r="CA173" s="18">
        <f>IF(AI173="","",--(AI173='Codebook'!$F$28))</f>
        <v>1</v>
      </c>
      <c r="CB173" s="18">
        <f>IF(AJ173="","",--(AJ173='Codebook'!$F$29))</f>
        <v>0</v>
      </c>
      <c r="CC173" s="18">
        <f>IF(AK173="","",--(AK173='Codebook'!$F$30))</f>
        <v>0</v>
      </c>
      <c r="CD173" s="18">
        <f>IF(AL173="","",--(AL173='Codebook'!$F$31))</f>
        <v>0</v>
      </c>
      <c r="CE173" s="18">
        <f>IF(AM173="","",--(AM173='Codebook'!$F$32))</f>
        <v>0</v>
      </c>
      <c r="CF173" s="18">
        <f>IF(AN173="","",--(AN173='Codebook'!$F$33))</f>
        <v>1</v>
      </c>
      <c r="CG173" s="18">
        <f>IF(AO173="","",--(AO173='Codebook'!$F$34))</f>
        <v>1</v>
      </c>
      <c r="CH173" s="18">
        <f>IF(AP173="","",--(AP173='Codebook'!$F$35))</f>
        <v>0</v>
      </c>
      <c r="CI173" s="18">
        <f>IF(AQ173="","",--(AQ173='Codebook'!$F$36))</f>
        <v>0</v>
      </c>
      <c r="CJ173" s="18">
        <f>IF(AR173="","",--(AR173='Codebook'!$F$37))</f>
        <v>1</v>
      </c>
      <c r="CK173" s="18">
        <f>IF(AS173="","",--(AS173='Codebook'!$F$38))</f>
        <v>1</v>
      </c>
      <c r="CL173" s="18">
        <f>IF(AT173="","",--(AT173='Codebook'!$F$39))</f>
        <v>0</v>
      </c>
      <c r="CM173" s="18">
        <f>IF(AU173="","",--(AU173='Codebook'!$F$40))</f>
        <v>0</v>
      </c>
      <c r="CN173" s="18">
        <f>IF(AV173="","",--(AV173='Codebook'!$F$41))</f>
        <v>0</v>
      </c>
      <c r="CO173" s="18">
        <f>IF(AW173="","",--(AW173='Codebook'!$F$42))</f>
        <v>0</v>
      </c>
      <c r="CP173" s="18">
        <f>IF(AX173="","",--(AX173='Codebook'!$F$43))</f>
        <v>0</v>
      </c>
      <c r="CQ173" s="18">
        <f>IF(AY173="","",--(AY173='Codebook'!$F$44))</f>
        <v>0</v>
      </c>
      <c r="CR173" s="18">
        <f>IF(AZ173="","",--(AZ173='Codebook'!$F$45))</f>
        <v>1</v>
      </c>
    </row>
    <row r="174" spans="2:96" ht="24" customHeight="1">
      <c r="B174" s="18">
        <v>169</v>
      </c>
      <c r="C174" s="23">
        <v>46285.46158368055</v>
      </c>
      <c r="D174" s="21" t="s">
        <v>275</v>
      </c>
      <c r="E174" s="21" t="s">
        <v>206</v>
      </c>
      <c r="F174" s="21" t="s">
        <v>226</v>
      </c>
      <c r="G174" s="17" t="s">
        <v>247</v>
      </c>
      <c r="H174" s="21" t="s">
        <v>207</v>
      </c>
      <c r="I174" s="18">
        <f>SUM(BL174:BU174)</f>
        <v>6</v>
      </c>
      <c r="J174" s="18">
        <f>IF(COUNT(BV174:CD174)=9,SUM(BV174:CD174),"")</f>
        <v>3</v>
      </c>
      <c r="K174" s="18">
        <f>SUM(BL174:CD174)</f>
        <v>9</v>
      </c>
      <c r="L174" s="18">
        <f>--(K174&gt;='Codebook'!$C$8)</f>
        <v>0</v>
      </c>
      <c r="M174" s="18">
        <f>--(COUNT(BL174:CD174)=19)</f>
        <v>1</v>
      </c>
      <c r="N174" s="18">
        <f>SUM(CE174:CL174)</f>
        <v>7</v>
      </c>
      <c r="O174" s="18">
        <f>SUM(CM174:CR174)</f>
        <v>0</v>
      </c>
      <c r="P174" s="18">
        <f>N174+O174</f>
        <v>7</v>
      </c>
      <c r="Q174" s="21" t="s">
        <v>197</v>
      </c>
      <c r="R174" s="17" t="s">
        <v>154</v>
      </c>
      <c r="S174" s="18">
        <f>--OR(Overview!$B$6="All",E174=Overview!$B$6)*--OR(Overview!$F$6="All",F174=Overview!$F$6)*--OR(Overview!$J$6="All",G174=Overview!$J$6)*--OR(Overview!$N$6="All",H174=Overview!$N$6)</f>
        <v>1</v>
      </c>
      <c r="T174" s="21" t="s">
        <v>22</v>
      </c>
      <c r="U174" s="21" t="s">
        <v>22</v>
      </c>
      <c r="V174" s="21" t="s">
        <v>22</v>
      </c>
      <c r="W174" s="21" t="s">
        <v>22</v>
      </c>
      <c r="X174" s="21" t="s">
        <v>22</v>
      </c>
      <c r="Y174" s="21" t="s">
        <v>22</v>
      </c>
      <c r="Z174" s="21" t="s">
        <v>22</v>
      </c>
      <c r="AA174" s="21" t="s">
        <v>22</v>
      </c>
      <c r="AB174" s="21" t="s">
        <v>22</v>
      </c>
      <c r="AC174" s="21" t="s">
        <v>22</v>
      </c>
      <c r="AD174" s="21" t="s">
        <v>22</v>
      </c>
      <c r="AE174" s="21" t="s">
        <v>22</v>
      </c>
      <c r="AF174" s="21" t="s">
        <v>22</v>
      </c>
      <c r="AG174" s="21" t="s">
        <v>198</v>
      </c>
      <c r="AH174" s="21" t="s">
        <v>22</v>
      </c>
      <c r="AI174" s="21" t="s">
        <v>198</v>
      </c>
      <c r="AJ174" s="21" t="s">
        <v>22</v>
      </c>
      <c r="AK174" s="21" t="s">
        <v>198</v>
      </c>
      <c r="AL174" s="21" t="s">
        <v>22</v>
      </c>
      <c r="AM174" s="21" t="s">
        <v>198</v>
      </c>
      <c r="AN174" s="21" t="s">
        <v>83</v>
      </c>
      <c r="AO174" s="21" t="s">
        <v>83</v>
      </c>
      <c r="AP174" s="21" t="s">
        <v>83</v>
      </c>
      <c r="AQ174" s="21" t="s">
        <v>83</v>
      </c>
      <c r="AR174" s="21" t="s">
        <v>83</v>
      </c>
      <c r="AS174" s="21" t="s">
        <v>83</v>
      </c>
      <c r="AT174" s="21" t="s">
        <v>83</v>
      </c>
      <c r="AU174" s="21" t="s">
        <v>83</v>
      </c>
      <c r="AV174" s="21" t="s">
        <v>83</v>
      </c>
      <c r="AW174" s="21" t="s">
        <v>83</v>
      </c>
      <c r="AX174" s="21" t="s">
        <v>83</v>
      </c>
      <c r="AY174" s="21" t="s">
        <v>198</v>
      </c>
      <c r="AZ174" s="21" t="s">
        <v>198</v>
      </c>
      <c r="BA174" s="17" t="s">
        <v>248</v>
      </c>
      <c r="BB174" s="17" t="s">
        <v>250</v>
      </c>
      <c r="BC174" s="18">
        <f>--ISNUMBER(SEARCH("Radio or television",BA174))</f>
        <v>1</v>
      </c>
      <c r="BD174" s="18">
        <f>--ISNUMBER(SEARCH("Newspapers or print media",BA174))</f>
        <v>0</v>
      </c>
      <c r="BE174" s="18">
        <f>--ISNUMBER(SEARCH("Social media (e.g. Facebook, WhatsApp, YouTube, X/Twitter)",BA174))</f>
        <v>1</v>
      </c>
      <c r="BF174" s="18">
        <f>--ISNUMBER(SEARCH("Family members",BA174))</f>
        <v>0</v>
      </c>
      <c r="BG174" s="18">
        <f>--ISNUMBER(SEARCH("Friends or fellow students",BA174))</f>
        <v>0</v>
      </c>
      <c r="BH174" s="18">
        <f>--ISNUMBER(SEARCH("School coursework or lectures",BA174))</f>
        <v>1</v>
      </c>
      <c r="BI174" s="18">
        <f>--ISNUMBER(SEARCH("NHIMA outreach activities or NHIMA offices",BA174))</f>
        <v>0</v>
      </c>
      <c r="BJ174" s="18">
        <f>--ISNUMBER(SEARCH("Health facility staff",BA174))</f>
        <v>0</v>
      </c>
      <c r="BK174" s="18">
        <f>--ISNUMBER(SEARCH("not received information",BA174))</f>
        <v>0</v>
      </c>
      <c r="BL174" s="18">
        <f>IF(T174="","",--(T174='Codebook'!$F$13))</f>
        <v>1</v>
      </c>
      <c r="BM174" s="18">
        <f>IF(U174="","",--(U174='Codebook'!$F$14))</f>
        <v>0</v>
      </c>
      <c r="BN174" s="18">
        <f>IF(V174="","",--(V174='Codebook'!$F$15))</f>
        <v>0</v>
      </c>
      <c r="BO174" s="18">
        <f>IF(W174="","",--(W174='Codebook'!$F$16))</f>
        <v>1</v>
      </c>
      <c r="BP174" s="18">
        <f>IF(X174="","",--(X174='Codebook'!$F$17))</f>
        <v>1</v>
      </c>
      <c r="BQ174" s="18">
        <f>IF(Y174="","",--(Y174='Codebook'!$F$18))</f>
        <v>0</v>
      </c>
      <c r="BR174" s="18">
        <f>IF(Z174="","",--(Z174='Codebook'!$F$19))</f>
        <v>1</v>
      </c>
      <c r="BS174" s="18">
        <f>IF(AA174="","",--(AA174='Codebook'!$F$20))</f>
        <v>1</v>
      </c>
      <c r="BT174" s="18">
        <f>IF(AB174="","",--(AB174='Codebook'!$F$21))</f>
        <v>0</v>
      </c>
      <c r="BU174" s="18">
        <f>IF(AC174="","",--(AC174='Codebook'!$F$22))</f>
        <v>1</v>
      </c>
      <c r="BV174" s="18">
        <f>IF(AD174="","",--(AD174='Codebook'!$F$23))</f>
        <v>1</v>
      </c>
      <c r="BW174" s="18">
        <f>IF(AE174="","",--(AE174='Codebook'!$F$24))</f>
        <v>1</v>
      </c>
      <c r="BX174" s="18">
        <f>IF(AF174="","",--(AF174='Codebook'!$F$25))</f>
        <v>0</v>
      </c>
      <c r="BY174" s="18">
        <f>IF(AG174="","",--(AG174='Codebook'!$F$26))</f>
        <v>0</v>
      </c>
      <c r="BZ174" s="18">
        <f>IF(AH174="","",--(AH174='Codebook'!$F$27))</f>
        <v>1</v>
      </c>
      <c r="CA174" s="18">
        <f>IF(AI174="","",--(AI174='Codebook'!$F$28))</f>
        <v>0</v>
      </c>
      <c r="CB174" s="18">
        <f>IF(AJ174="","",--(AJ174='Codebook'!$F$29))</f>
        <v>0</v>
      </c>
      <c r="CC174" s="18">
        <f>IF(AK174="","",--(AK174='Codebook'!$F$30))</f>
        <v>0</v>
      </c>
      <c r="CD174" s="18">
        <f>IF(AL174="","",--(AL174='Codebook'!$F$31))</f>
        <v>0</v>
      </c>
      <c r="CE174" s="18">
        <f>IF(AM174="","",--(AM174='Codebook'!$F$32))</f>
        <v>0</v>
      </c>
      <c r="CF174" s="18">
        <f>IF(AN174="","",--(AN174='Codebook'!$F$33))</f>
        <v>1</v>
      </c>
      <c r="CG174" s="18">
        <f>IF(AO174="","",--(AO174='Codebook'!$F$34))</f>
        <v>1</v>
      </c>
      <c r="CH174" s="18">
        <f>IF(AP174="","",--(AP174='Codebook'!$F$35))</f>
        <v>1</v>
      </c>
      <c r="CI174" s="18">
        <f>IF(AQ174="","",--(AQ174='Codebook'!$F$36))</f>
        <v>1</v>
      </c>
      <c r="CJ174" s="18">
        <f>IF(AR174="","",--(AR174='Codebook'!$F$37))</f>
        <v>1</v>
      </c>
      <c r="CK174" s="18">
        <f>IF(AS174="","",--(AS174='Codebook'!$F$38))</f>
        <v>1</v>
      </c>
      <c r="CL174" s="18">
        <f>IF(AT174="","",--(AT174='Codebook'!$F$39))</f>
        <v>1</v>
      </c>
      <c r="CM174" s="18">
        <f>IF(AU174="","",--(AU174='Codebook'!$F$40))</f>
        <v>0</v>
      </c>
      <c r="CN174" s="18">
        <f>IF(AV174="","",--(AV174='Codebook'!$F$41))</f>
        <v>0</v>
      </c>
      <c r="CO174" s="18">
        <f>IF(AW174="","",--(AW174='Codebook'!$F$42))</f>
        <v>0</v>
      </c>
      <c r="CP174" s="18">
        <f>IF(AX174="","",--(AX174='Codebook'!$F$43))</f>
        <v>0</v>
      </c>
      <c r="CQ174" s="18">
        <f>IF(AY174="","",--(AY174='Codebook'!$F$44))</f>
        <v>0</v>
      </c>
      <c r="CR174" s="18">
        <f>IF(AZ174="","",--(AZ174='Codebook'!$F$45))</f>
        <v>0</v>
      </c>
    </row>
    <row r="175" spans="2:96" ht="24" customHeight="1">
      <c r="B175" s="18">
        <v>170</v>
      </c>
      <c r="C175" s="23">
        <v>46285.46248570602</v>
      </c>
      <c r="D175" s="21" t="s">
        <v>275</v>
      </c>
      <c r="E175" s="21" t="s">
        <v>206</v>
      </c>
      <c r="F175" s="21" t="s">
        <v>195</v>
      </c>
      <c r="G175" s="17" t="s">
        <v>196</v>
      </c>
      <c r="H175" s="21" t="s">
        <v>197</v>
      </c>
      <c r="I175" s="18">
        <f>SUM(BL175:BU175)</f>
        <v>6</v>
      </c>
      <c r="J175" s="18">
        <f>IF(COUNT(BV175:CD175)=9,SUM(BV175:CD175),"")</f>
        <v>4</v>
      </c>
      <c r="K175" s="18">
        <f>SUM(BL175:CD175)</f>
        <v>10</v>
      </c>
      <c r="L175" s="18">
        <f>--(K175&gt;='Codebook'!$C$8)</f>
        <v>0</v>
      </c>
      <c r="M175" s="18">
        <f>--(COUNT(BL175:CD175)=19)</f>
        <v>1</v>
      </c>
      <c r="N175" s="18">
        <f>SUM(CE175:CL175)</f>
        <v>8</v>
      </c>
      <c r="O175" s="18">
        <f>SUM(CM175:CR175)</f>
        <v>0</v>
      </c>
      <c r="P175" s="18">
        <f>N175+O175</f>
        <v>8</v>
      </c>
      <c r="Q175" s="21" t="s">
        <v>197</v>
      </c>
      <c r="R175" s="17" t="s">
        <v>216</v>
      </c>
      <c r="S175" s="18">
        <f>--OR(Overview!$B$6="All",E175=Overview!$B$6)*--OR(Overview!$F$6="All",F175=Overview!$F$6)*--OR(Overview!$J$6="All",G175=Overview!$J$6)*--OR(Overview!$N$6="All",H175=Overview!$N$6)</f>
        <v>1</v>
      </c>
      <c r="T175" s="21" t="s">
        <v>22</v>
      </c>
      <c r="U175" s="21" t="s">
        <v>22</v>
      </c>
      <c r="V175" s="21" t="s">
        <v>22</v>
      </c>
      <c r="W175" s="21" t="s">
        <v>22</v>
      </c>
      <c r="X175" s="21" t="s">
        <v>22</v>
      </c>
      <c r="Y175" s="21" t="s">
        <v>22</v>
      </c>
      <c r="Z175" s="21" t="s">
        <v>22</v>
      </c>
      <c r="AA175" s="21" t="s">
        <v>22</v>
      </c>
      <c r="AB175" s="21" t="s">
        <v>22</v>
      </c>
      <c r="AC175" s="21" t="s">
        <v>22</v>
      </c>
      <c r="AD175" s="21" t="s">
        <v>22</v>
      </c>
      <c r="AE175" s="21" t="s">
        <v>22</v>
      </c>
      <c r="AF175" s="21" t="s">
        <v>22</v>
      </c>
      <c r="AG175" s="21" t="s">
        <v>198</v>
      </c>
      <c r="AH175" s="21" t="s">
        <v>22</v>
      </c>
      <c r="AI175" s="21" t="s">
        <v>22</v>
      </c>
      <c r="AJ175" s="21" t="s">
        <v>198</v>
      </c>
      <c r="AK175" s="21" t="s">
        <v>22</v>
      </c>
      <c r="AL175" s="21" t="s">
        <v>22</v>
      </c>
      <c r="AM175" s="21" t="s">
        <v>83</v>
      </c>
      <c r="AN175" s="21" t="s">
        <v>83</v>
      </c>
      <c r="AO175" s="21" t="s">
        <v>83</v>
      </c>
      <c r="AP175" s="21" t="s">
        <v>83</v>
      </c>
      <c r="AQ175" s="21" t="s">
        <v>83</v>
      </c>
      <c r="AR175" s="21" t="s">
        <v>83</v>
      </c>
      <c r="AS175" s="21" t="s">
        <v>83</v>
      </c>
      <c r="AT175" s="21" t="s">
        <v>83</v>
      </c>
      <c r="AU175" s="21" t="s">
        <v>83</v>
      </c>
      <c r="AV175" s="21" t="s">
        <v>83</v>
      </c>
      <c r="AW175" s="21" t="s">
        <v>83</v>
      </c>
      <c r="AX175" s="21" t="s">
        <v>83</v>
      </c>
      <c r="AY175" s="21" t="s">
        <v>83</v>
      </c>
      <c r="AZ175" s="21" t="s">
        <v>83</v>
      </c>
      <c r="BA175" s="17" t="s">
        <v>300</v>
      </c>
      <c r="BB175" s="17" t="s">
        <v>263</v>
      </c>
      <c r="BC175" s="18">
        <f>--ISNUMBER(SEARCH("Radio or television",BA175))</f>
        <v>0</v>
      </c>
      <c r="BD175" s="18">
        <f>--ISNUMBER(SEARCH("Newspapers or print media",BA175))</f>
        <v>0</v>
      </c>
      <c r="BE175" s="18">
        <f>--ISNUMBER(SEARCH("Social media (e.g. Facebook, WhatsApp, YouTube, X/Twitter)",BA175))</f>
        <v>1</v>
      </c>
      <c r="BF175" s="18">
        <f>--ISNUMBER(SEARCH("Family members",BA175))</f>
        <v>1</v>
      </c>
      <c r="BG175" s="18">
        <f>--ISNUMBER(SEARCH("Friends or fellow students",BA175))</f>
        <v>1</v>
      </c>
      <c r="BH175" s="18">
        <f>--ISNUMBER(SEARCH("School coursework or lectures",BA175))</f>
        <v>1</v>
      </c>
      <c r="BI175" s="18">
        <f>--ISNUMBER(SEARCH("NHIMA outreach activities or NHIMA offices",BA175))</f>
        <v>1</v>
      </c>
      <c r="BJ175" s="18">
        <f>--ISNUMBER(SEARCH("Health facility staff",BA175))</f>
        <v>0</v>
      </c>
      <c r="BK175" s="18">
        <f>--ISNUMBER(SEARCH("not received information",BA175))</f>
        <v>0</v>
      </c>
      <c r="BL175" s="18">
        <f>IF(T175="","",--(T175='Codebook'!$F$13))</f>
        <v>1</v>
      </c>
      <c r="BM175" s="18">
        <f>IF(U175="","",--(U175='Codebook'!$F$14))</f>
        <v>0</v>
      </c>
      <c r="BN175" s="18">
        <f>IF(V175="","",--(V175='Codebook'!$F$15))</f>
        <v>0</v>
      </c>
      <c r="BO175" s="18">
        <f>IF(W175="","",--(W175='Codebook'!$F$16))</f>
        <v>1</v>
      </c>
      <c r="BP175" s="18">
        <f>IF(X175="","",--(X175='Codebook'!$F$17))</f>
        <v>1</v>
      </c>
      <c r="BQ175" s="18">
        <f>IF(Y175="","",--(Y175='Codebook'!$F$18))</f>
        <v>0</v>
      </c>
      <c r="BR175" s="18">
        <f>IF(Z175="","",--(Z175='Codebook'!$F$19))</f>
        <v>1</v>
      </c>
      <c r="BS175" s="18">
        <f>IF(AA175="","",--(AA175='Codebook'!$F$20))</f>
        <v>1</v>
      </c>
      <c r="BT175" s="18">
        <f>IF(AB175="","",--(AB175='Codebook'!$F$21))</f>
        <v>0</v>
      </c>
      <c r="BU175" s="18">
        <f>IF(AC175="","",--(AC175='Codebook'!$F$22))</f>
        <v>1</v>
      </c>
      <c r="BV175" s="18">
        <f>IF(AD175="","",--(AD175='Codebook'!$F$23))</f>
        <v>1</v>
      </c>
      <c r="BW175" s="18">
        <f>IF(AE175="","",--(AE175='Codebook'!$F$24))</f>
        <v>1</v>
      </c>
      <c r="BX175" s="18">
        <f>IF(AF175="","",--(AF175='Codebook'!$F$25))</f>
        <v>0</v>
      </c>
      <c r="BY175" s="18">
        <f>IF(AG175="","",--(AG175='Codebook'!$F$26))</f>
        <v>0</v>
      </c>
      <c r="BZ175" s="18">
        <f>IF(AH175="","",--(AH175='Codebook'!$F$27))</f>
        <v>1</v>
      </c>
      <c r="CA175" s="18">
        <f>IF(AI175="","",--(AI175='Codebook'!$F$28))</f>
        <v>0</v>
      </c>
      <c r="CB175" s="18">
        <f>IF(AJ175="","",--(AJ175='Codebook'!$F$29))</f>
        <v>0</v>
      </c>
      <c r="CC175" s="18">
        <f>IF(AK175="","",--(AK175='Codebook'!$F$30))</f>
        <v>1</v>
      </c>
      <c r="CD175" s="18">
        <f>IF(AL175="","",--(AL175='Codebook'!$F$31))</f>
        <v>0</v>
      </c>
      <c r="CE175" s="18">
        <f>IF(AM175="","",--(AM175='Codebook'!$F$32))</f>
        <v>1</v>
      </c>
      <c r="CF175" s="18">
        <f>IF(AN175="","",--(AN175='Codebook'!$F$33))</f>
        <v>1</v>
      </c>
      <c r="CG175" s="18">
        <f>IF(AO175="","",--(AO175='Codebook'!$F$34))</f>
        <v>1</v>
      </c>
      <c r="CH175" s="18">
        <f>IF(AP175="","",--(AP175='Codebook'!$F$35))</f>
        <v>1</v>
      </c>
      <c r="CI175" s="18">
        <f>IF(AQ175="","",--(AQ175='Codebook'!$F$36))</f>
        <v>1</v>
      </c>
      <c r="CJ175" s="18">
        <f>IF(AR175="","",--(AR175='Codebook'!$F$37))</f>
        <v>1</v>
      </c>
      <c r="CK175" s="18">
        <f>IF(AS175="","",--(AS175='Codebook'!$F$38))</f>
        <v>1</v>
      </c>
      <c r="CL175" s="18">
        <f>IF(AT175="","",--(AT175='Codebook'!$F$39))</f>
        <v>1</v>
      </c>
      <c r="CM175" s="18">
        <f>IF(AU175="","",--(AU175='Codebook'!$F$40))</f>
        <v>0</v>
      </c>
      <c r="CN175" s="18">
        <f>IF(AV175="","",--(AV175='Codebook'!$F$41))</f>
        <v>0</v>
      </c>
      <c r="CO175" s="18">
        <f>IF(AW175="","",--(AW175='Codebook'!$F$42))</f>
        <v>0</v>
      </c>
      <c r="CP175" s="18">
        <f>IF(AX175="","",--(AX175='Codebook'!$F$43))</f>
        <v>0</v>
      </c>
      <c r="CQ175" s="18">
        <f>IF(AY175="","",--(AY175='Codebook'!$F$44))</f>
        <v>0</v>
      </c>
      <c r="CR175" s="18">
        <f>IF(AZ175="","",--(AZ175='Codebook'!$F$45))</f>
        <v>0</v>
      </c>
    </row>
    <row r="176" spans="2:96" ht="24" customHeight="1">
      <c r="B176" s="18">
        <v>171</v>
      </c>
      <c r="C176" s="23">
        <v>46286.44703003472</v>
      </c>
      <c r="D176" s="21" t="s">
        <v>275</v>
      </c>
      <c r="E176" s="21" t="s">
        <v>206</v>
      </c>
      <c r="F176" s="21" t="s">
        <v>195</v>
      </c>
      <c r="G176" s="17" t="s">
        <v>202</v>
      </c>
      <c r="H176" s="21" t="s">
        <v>197</v>
      </c>
      <c r="I176" s="18">
        <f>SUM(BL176:BU176)</f>
        <v>6</v>
      </c>
      <c r="J176" s="18">
        <f>IF(COUNT(BV176:CD176)=9,SUM(BV176:CD176),"")</f>
        <v>5</v>
      </c>
      <c r="K176" s="18">
        <f>SUM(BL176:CD176)</f>
        <v>11</v>
      </c>
      <c r="L176" s="18">
        <f>--(K176&gt;='Codebook'!$C$8)</f>
        <v>0</v>
      </c>
      <c r="M176" s="18">
        <f>--(COUNT(BL176:CD176)=19)</f>
        <v>1</v>
      </c>
      <c r="N176" s="18">
        <f>SUM(CE176:CL176)</f>
        <v>5</v>
      </c>
      <c r="O176" s="18">
        <f>SUM(CM176:CR176)</f>
        <v>2</v>
      </c>
      <c r="P176" s="18">
        <f>N176+O176</f>
        <v>7</v>
      </c>
      <c r="Q176" s="21" t="s">
        <v>198</v>
      </c>
      <c r="R176" s="17" t="s">
        <v>216</v>
      </c>
      <c r="S176" s="18">
        <f>--OR(Overview!$B$6="All",E176=Overview!$B$6)*--OR(Overview!$F$6="All",F176=Overview!$F$6)*--OR(Overview!$J$6="All",G176=Overview!$J$6)*--OR(Overview!$N$6="All",H176=Overview!$N$6)</f>
        <v>1</v>
      </c>
      <c r="T176" s="21" t="s">
        <v>22</v>
      </c>
      <c r="U176" s="21" t="s">
        <v>22</v>
      </c>
      <c r="V176" s="21" t="s">
        <v>22</v>
      </c>
      <c r="W176" s="21" t="s">
        <v>22</v>
      </c>
      <c r="X176" s="21" t="s">
        <v>22</v>
      </c>
      <c r="Y176" s="21" t="s">
        <v>22</v>
      </c>
      <c r="Z176" s="21" t="s">
        <v>22</v>
      </c>
      <c r="AA176" s="21" t="s">
        <v>22</v>
      </c>
      <c r="AB176" s="21" t="s">
        <v>22</v>
      </c>
      <c r="AC176" s="21" t="s">
        <v>22</v>
      </c>
      <c r="AD176" s="21" t="s">
        <v>22</v>
      </c>
      <c r="AE176" s="21" t="s">
        <v>22</v>
      </c>
      <c r="AF176" s="21" t="s">
        <v>22</v>
      </c>
      <c r="AG176" s="21" t="s">
        <v>22</v>
      </c>
      <c r="AH176" s="21" t="s">
        <v>22</v>
      </c>
      <c r="AI176" s="21" t="s">
        <v>22</v>
      </c>
      <c r="AJ176" s="21" t="s">
        <v>22</v>
      </c>
      <c r="AK176" s="21" t="s">
        <v>22</v>
      </c>
      <c r="AL176" s="21" t="s">
        <v>22</v>
      </c>
      <c r="AM176" s="21" t="s">
        <v>109</v>
      </c>
      <c r="AN176" s="21" t="s">
        <v>83</v>
      </c>
      <c r="AO176" s="21" t="s">
        <v>83</v>
      </c>
      <c r="AP176" s="21" t="s">
        <v>83</v>
      </c>
      <c r="AQ176" s="21" t="s">
        <v>83</v>
      </c>
      <c r="AR176" s="21" t="s">
        <v>198</v>
      </c>
      <c r="AS176" s="21" t="s">
        <v>109</v>
      </c>
      <c r="AT176" s="21" t="s">
        <v>83</v>
      </c>
      <c r="AU176" s="21" t="s">
        <v>83</v>
      </c>
      <c r="AV176" s="21" t="s">
        <v>109</v>
      </c>
      <c r="AW176" s="21" t="s">
        <v>109</v>
      </c>
      <c r="AX176" s="21" t="s">
        <v>83</v>
      </c>
      <c r="AY176" s="21" t="s">
        <v>198</v>
      </c>
      <c r="AZ176" s="21" t="s">
        <v>83</v>
      </c>
      <c r="BA176" s="17" t="s">
        <v>232</v>
      </c>
      <c r="BB176" s="17" t="s">
        <v>246</v>
      </c>
      <c r="BC176" s="18">
        <f>--ISNUMBER(SEARCH("Radio or television",BA176))</f>
        <v>1</v>
      </c>
      <c r="BD176" s="18">
        <f>--ISNUMBER(SEARCH("Newspapers or print media",BA176))</f>
        <v>0</v>
      </c>
      <c r="BE176" s="18">
        <f>--ISNUMBER(SEARCH("Social media (e.g. Facebook, WhatsApp, YouTube, X/Twitter)",BA176))</f>
        <v>1</v>
      </c>
      <c r="BF176" s="18">
        <f>--ISNUMBER(SEARCH("Family members",BA176))</f>
        <v>0</v>
      </c>
      <c r="BG176" s="18">
        <f>--ISNUMBER(SEARCH("Friends or fellow students",BA176))</f>
        <v>1</v>
      </c>
      <c r="BH176" s="18">
        <f>--ISNUMBER(SEARCH("School coursework or lectures",BA176))</f>
        <v>1</v>
      </c>
      <c r="BI176" s="18">
        <f>--ISNUMBER(SEARCH("NHIMA outreach activities or NHIMA offices",BA176))</f>
        <v>0</v>
      </c>
      <c r="BJ176" s="18">
        <f>--ISNUMBER(SEARCH("Health facility staff",BA176))</f>
        <v>0</v>
      </c>
      <c r="BK176" s="18">
        <f>--ISNUMBER(SEARCH("not received information",BA176))</f>
        <v>0</v>
      </c>
      <c r="BL176" s="18">
        <f>IF(T176="","",--(T176='Codebook'!$F$13))</f>
        <v>1</v>
      </c>
      <c r="BM176" s="18">
        <f>IF(U176="","",--(U176='Codebook'!$F$14))</f>
        <v>0</v>
      </c>
      <c r="BN176" s="18">
        <f>IF(V176="","",--(V176='Codebook'!$F$15))</f>
        <v>0</v>
      </c>
      <c r="BO176" s="18">
        <f>IF(W176="","",--(W176='Codebook'!$F$16))</f>
        <v>1</v>
      </c>
      <c r="BP176" s="18">
        <f>IF(X176="","",--(X176='Codebook'!$F$17))</f>
        <v>1</v>
      </c>
      <c r="BQ176" s="18">
        <f>IF(Y176="","",--(Y176='Codebook'!$F$18))</f>
        <v>0</v>
      </c>
      <c r="BR176" s="18">
        <f>IF(Z176="","",--(Z176='Codebook'!$F$19))</f>
        <v>1</v>
      </c>
      <c r="BS176" s="18">
        <f>IF(AA176="","",--(AA176='Codebook'!$F$20))</f>
        <v>1</v>
      </c>
      <c r="BT176" s="18">
        <f>IF(AB176="","",--(AB176='Codebook'!$F$21))</f>
        <v>0</v>
      </c>
      <c r="BU176" s="18">
        <f>IF(AC176="","",--(AC176='Codebook'!$F$22))</f>
        <v>1</v>
      </c>
      <c r="BV176" s="18">
        <f>IF(AD176="","",--(AD176='Codebook'!$F$23))</f>
        <v>1</v>
      </c>
      <c r="BW176" s="18">
        <f>IF(AE176="","",--(AE176='Codebook'!$F$24))</f>
        <v>1</v>
      </c>
      <c r="BX176" s="18">
        <f>IF(AF176="","",--(AF176='Codebook'!$F$25))</f>
        <v>0</v>
      </c>
      <c r="BY176" s="18">
        <f>IF(AG176="","",--(AG176='Codebook'!$F$26))</f>
        <v>1</v>
      </c>
      <c r="BZ176" s="18">
        <f>IF(AH176="","",--(AH176='Codebook'!$F$27))</f>
        <v>1</v>
      </c>
      <c r="CA176" s="18">
        <f>IF(AI176="","",--(AI176='Codebook'!$F$28))</f>
        <v>0</v>
      </c>
      <c r="CB176" s="18">
        <f>IF(AJ176="","",--(AJ176='Codebook'!$F$29))</f>
        <v>0</v>
      </c>
      <c r="CC176" s="18">
        <f>IF(AK176="","",--(AK176='Codebook'!$F$30))</f>
        <v>1</v>
      </c>
      <c r="CD176" s="18">
        <f>IF(AL176="","",--(AL176='Codebook'!$F$31))</f>
        <v>0</v>
      </c>
      <c r="CE176" s="18">
        <f>IF(AM176="","",--(AM176='Codebook'!$F$32))</f>
        <v>0</v>
      </c>
      <c r="CF176" s="18">
        <f>IF(AN176="","",--(AN176='Codebook'!$F$33))</f>
        <v>1</v>
      </c>
      <c r="CG176" s="18">
        <f>IF(AO176="","",--(AO176='Codebook'!$F$34))</f>
        <v>1</v>
      </c>
      <c r="CH176" s="18">
        <f>IF(AP176="","",--(AP176='Codebook'!$F$35))</f>
        <v>1</v>
      </c>
      <c r="CI176" s="18">
        <f>IF(AQ176="","",--(AQ176='Codebook'!$F$36))</f>
        <v>1</v>
      </c>
      <c r="CJ176" s="18">
        <f>IF(AR176="","",--(AR176='Codebook'!$F$37))</f>
        <v>0</v>
      </c>
      <c r="CK176" s="18">
        <f>IF(AS176="","",--(AS176='Codebook'!$F$38))</f>
        <v>0</v>
      </c>
      <c r="CL176" s="18">
        <f>IF(AT176="","",--(AT176='Codebook'!$F$39))</f>
        <v>1</v>
      </c>
      <c r="CM176" s="18">
        <f>IF(AU176="","",--(AU176='Codebook'!$F$40))</f>
        <v>0</v>
      </c>
      <c r="CN176" s="18">
        <f>IF(AV176="","",--(AV176='Codebook'!$F$41))</f>
        <v>1</v>
      </c>
      <c r="CO176" s="18">
        <f>IF(AW176="","",--(AW176='Codebook'!$F$42))</f>
        <v>1</v>
      </c>
      <c r="CP176" s="18">
        <f>IF(AX176="","",--(AX176='Codebook'!$F$43))</f>
        <v>0</v>
      </c>
      <c r="CQ176" s="18">
        <f>IF(AY176="","",--(AY176='Codebook'!$F$44))</f>
        <v>0</v>
      </c>
      <c r="CR176" s="18">
        <f>IF(AZ176="","",--(AZ176='Codebook'!$F$45))</f>
        <v>0</v>
      </c>
    </row>
    <row r="177" spans="2:96" ht="24" customHeight="1">
      <c r="B177" s="18">
        <v>172</v>
      </c>
      <c r="C177" s="23">
        <v>46286.44783832176</v>
      </c>
      <c r="D177" s="21" t="s">
        <v>275</v>
      </c>
      <c r="E177" s="21" t="s">
        <v>194</v>
      </c>
      <c r="F177" s="21" t="s">
        <v>201</v>
      </c>
      <c r="G177" s="17" t="s">
        <v>224</v>
      </c>
      <c r="H177" s="21" t="s">
        <v>207</v>
      </c>
      <c r="I177" s="18">
        <f>SUM(BL177:BU177)</f>
        <v>6</v>
      </c>
      <c r="J177" s="18">
        <f>IF(COUNT(BV177:CD177)=9,SUM(BV177:CD177),"")</f>
        <v>6</v>
      </c>
      <c r="K177" s="18">
        <f>SUM(BL177:CD177)</f>
        <v>12</v>
      </c>
      <c r="L177" s="18">
        <f>--(K177&gt;='Codebook'!$C$8)</f>
        <v>1</v>
      </c>
      <c r="M177" s="18">
        <f>--(COUNT(BL177:CD177)=19)</f>
        <v>1</v>
      </c>
      <c r="N177" s="18">
        <f>SUM(CE177:CL177)</f>
        <v>3</v>
      </c>
      <c r="O177" s="18">
        <f>SUM(CM177:CR177)</f>
        <v>0</v>
      </c>
      <c r="P177" s="18">
        <f>N177+O177</f>
        <v>3</v>
      </c>
      <c r="Q177" s="21" t="s">
        <v>198</v>
      </c>
      <c r="R177" s="17" t="s">
        <v>154</v>
      </c>
      <c r="S177" s="18">
        <f>--OR(Overview!$B$6="All",E177=Overview!$B$6)*--OR(Overview!$F$6="All",F177=Overview!$F$6)*--OR(Overview!$J$6="All",G177=Overview!$J$6)*--OR(Overview!$N$6="All",H177=Overview!$N$6)</f>
        <v>1</v>
      </c>
      <c r="T177" s="21" t="s">
        <v>22</v>
      </c>
      <c r="U177" s="21" t="s">
        <v>22</v>
      </c>
      <c r="V177" s="21" t="s">
        <v>22</v>
      </c>
      <c r="W177" s="21" t="s">
        <v>22</v>
      </c>
      <c r="X177" s="21" t="s">
        <v>22</v>
      </c>
      <c r="Y177" s="21" t="s">
        <v>22</v>
      </c>
      <c r="Z177" s="21" t="s">
        <v>22</v>
      </c>
      <c r="AA177" s="21" t="s">
        <v>22</v>
      </c>
      <c r="AB177" s="21" t="s">
        <v>22</v>
      </c>
      <c r="AC177" s="21" t="s">
        <v>22</v>
      </c>
      <c r="AD177" s="21" t="s">
        <v>22</v>
      </c>
      <c r="AE177" s="21" t="s">
        <v>22</v>
      </c>
      <c r="AF177" s="21" t="s">
        <v>26</v>
      </c>
      <c r="AG177" s="21" t="s">
        <v>22</v>
      </c>
      <c r="AH177" s="21" t="s">
        <v>22</v>
      </c>
      <c r="AI177" s="21" t="s">
        <v>22</v>
      </c>
      <c r="AJ177" s="21" t="s">
        <v>198</v>
      </c>
      <c r="AK177" s="21" t="s">
        <v>22</v>
      </c>
      <c r="AL177" s="21" t="s">
        <v>22</v>
      </c>
      <c r="AM177" s="21" t="s">
        <v>198</v>
      </c>
      <c r="AN177" s="21" t="s">
        <v>198</v>
      </c>
      <c r="AO177" s="21" t="s">
        <v>83</v>
      </c>
      <c r="AP177" s="21" t="s">
        <v>198</v>
      </c>
      <c r="AQ177" s="21" t="s">
        <v>83</v>
      </c>
      <c r="AR177" s="21" t="s">
        <v>198</v>
      </c>
      <c r="AS177" s="21" t="s">
        <v>83</v>
      </c>
      <c r="AT177" s="21" t="s">
        <v>109</v>
      </c>
      <c r="AU177" s="21" t="s">
        <v>198</v>
      </c>
      <c r="AV177" s="21" t="s">
        <v>198</v>
      </c>
      <c r="AW177" s="21" t="s">
        <v>198</v>
      </c>
      <c r="AX177" s="21" t="s">
        <v>198</v>
      </c>
      <c r="AY177" s="21" t="s">
        <v>83</v>
      </c>
      <c r="AZ177" s="21" t="s">
        <v>198</v>
      </c>
      <c r="BA177" s="17" t="s">
        <v>246</v>
      </c>
      <c r="BB177" s="17" t="s">
        <v>250</v>
      </c>
      <c r="BC177" s="18">
        <f>--ISNUMBER(SEARCH("Radio or television",BA177))</f>
        <v>1</v>
      </c>
      <c r="BD177" s="18">
        <f>--ISNUMBER(SEARCH("Newspapers or print media",BA177))</f>
        <v>0</v>
      </c>
      <c r="BE177" s="18">
        <f>--ISNUMBER(SEARCH("Social media (e.g. Facebook, WhatsApp, YouTube, X/Twitter)",BA177))</f>
        <v>1</v>
      </c>
      <c r="BF177" s="18">
        <f>--ISNUMBER(SEARCH("Family members",BA177))</f>
        <v>0</v>
      </c>
      <c r="BG177" s="18">
        <f>--ISNUMBER(SEARCH("Friends or fellow students",BA177))</f>
        <v>0</v>
      </c>
      <c r="BH177" s="18">
        <f>--ISNUMBER(SEARCH("School coursework or lectures",BA177))</f>
        <v>0</v>
      </c>
      <c r="BI177" s="18">
        <f>--ISNUMBER(SEARCH("NHIMA outreach activities or NHIMA offices",BA177))</f>
        <v>0</v>
      </c>
      <c r="BJ177" s="18">
        <f>--ISNUMBER(SEARCH("Health facility staff",BA177))</f>
        <v>0</v>
      </c>
      <c r="BK177" s="18">
        <f>--ISNUMBER(SEARCH("not received information",BA177))</f>
        <v>0</v>
      </c>
      <c r="BL177" s="18">
        <f>IF(T177="","",--(T177='Codebook'!$F$13))</f>
        <v>1</v>
      </c>
      <c r="BM177" s="18">
        <f>IF(U177="","",--(U177='Codebook'!$F$14))</f>
        <v>0</v>
      </c>
      <c r="BN177" s="18">
        <f>IF(V177="","",--(V177='Codebook'!$F$15))</f>
        <v>0</v>
      </c>
      <c r="BO177" s="18">
        <f>IF(W177="","",--(W177='Codebook'!$F$16))</f>
        <v>1</v>
      </c>
      <c r="BP177" s="18">
        <f>IF(X177="","",--(X177='Codebook'!$F$17))</f>
        <v>1</v>
      </c>
      <c r="BQ177" s="18">
        <f>IF(Y177="","",--(Y177='Codebook'!$F$18))</f>
        <v>0</v>
      </c>
      <c r="BR177" s="18">
        <f>IF(Z177="","",--(Z177='Codebook'!$F$19))</f>
        <v>1</v>
      </c>
      <c r="BS177" s="18">
        <f>IF(AA177="","",--(AA177='Codebook'!$F$20))</f>
        <v>1</v>
      </c>
      <c r="BT177" s="18">
        <f>IF(AB177="","",--(AB177='Codebook'!$F$21))</f>
        <v>0</v>
      </c>
      <c r="BU177" s="18">
        <f>IF(AC177="","",--(AC177='Codebook'!$F$22))</f>
        <v>1</v>
      </c>
      <c r="BV177" s="18">
        <f>IF(AD177="","",--(AD177='Codebook'!$F$23))</f>
        <v>1</v>
      </c>
      <c r="BW177" s="18">
        <f>IF(AE177="","",--(AE177='Codebook'!$F$24))</f>
        <v>1</v>
      </c>
      <c r="BX177" s="18">
        <f>IF(AF177="","",--(AF177='Codebook'!$F$25))</f>
        <v>1</v>
      </c>
      <c r="BY177" s="18">
        <f>IF(AG177="","",--(AG177='Codebook'!$F$26))</f>
        <v>1</v>
      </c>
      <c r="BZ177" s="18">
        <f>IF(AH177="","",--(AH177='Codebook'!$F$27))</f>
        <v>1</v>
      </c>
      <c r="CA177" s="18">
        <f>IF(AI177="","",--(AI177='Codebook'!$F$28))</f>
        <v>0</v>
      </c>
      <c r="CB177" s="18">
        <f>IF(AJ177="","",--(AJ177='Codebook'!$F$29))</f>
        <v>0</v>
      </c>
      <c r="CC177" s="18">
        <f>IF(AK177="","",--(AK177='Codebook'!$F$30))</f>
        <v>1</v>
      </c>
      <c r="CD177" s="18">
        <f>IF(AL177="","",--(AL177='Codebook'!$F$31))</f>
        <v>0</v>
      </c>
      <c r="CE177" s="18">
        <f>IF(AM177="","",--(AM177='Codebook'!$F$32))</f>
        <v>0</v>
      </c>
      <c r="CF177" s="18">
        <f>IF(AN177="","",--(AN177='Codebook'!$F$33))</f>
        <v>0</v>
      </c>
      <c r="CG177" s="18">
        <f>IF(AO177="","",--(AO177='Codebook'!$F$34))</f>
        <v>1</v>
      </c>
      <c r="CH177" s="18">
        <f>IF(AP177="","",--(AP177='Codebook'!$F$35))</f>
        <v>0</v>
      </c>
      <c r="CI177" s="18">
        <f>IF(AQ177="","",--(AQ177='Codebook'!$F$36))</f>
        <v>1</v>
      </c>
      <c r="CJ177" s="18">
        <f>IF(AR177="","",--(AR177='Codebook'!$F$37))</f>
        <v>0</v>
      </c>
      <c r="CK177" s="18">
        <f>IF(AS177="","",--(AS177='Codebook'!$F$38))</f>
        <v>1</v>
      </c>
      <c r="CL177" s="18">
        <f>IF(AT177="","",--(AT177='Codebook'!$F$39))</f>
        <v>0</v>
      </c>
      <c r="CM177" s="18">
        <f>IF(AU177="","",--(AU177='Codebook'!$F$40))</f>
        <v>0</v>
      </c>
      <c r="CN177" s="18">
        <f>IF(AV177="","",--(AV177='Codebook'!$F$41))</f>
        <v>0</v>
      </c>
      <c r="CO177" s="18">
        <f>IF(AW177="","",--(AW177='Codebook'!$F$42))</f>
        <v>0</v>
      </c>
      <c r="CP177" s="18">
        <f>IF(AX177="","",--(AX177='Codebook'!$F$43))</f>
        <v>0</v>
      </c>
      <c r="CQ177" s="18">
        <f>IF(AY177="","",--(AY177='Codebook'!$F$44))</f>
        <v>0</v>
      </c>
      <c r="CR177" s="18">
        <f>IF(AZ177="","",--(AZ177='Codebook'!$F$45))</f>
        <v>0</v>
      </c>
    </row>
    <row r="178" spans="2:96" ht="24" customHeight="1">
      <c r="B178" s="18">
        <v>173</v>
      </c>
      <c r="C178" s="23">
        <v>46286.44872971065</v>
      </c>
      <c r="D178" s="21" t="s">
        <v>268</v>
      </c>
      <c r="E178" s="21" t="s">
        <v>206</v>
      </c>
      <c r="F178" s="21" t="s">
        <v>201</v>
      </c>
      <c r="G178" s="17" t="s">
        <v>196</v>
      </c>
      <c r="H178" s="21" t="s">
        <v>207</v>
      </c>
      <c r="I178" s="18">
        <f>SUM(BL178:BU178)</f>
        <v>3</v>
      </c>
      <c r="J178" s="18">
        <f>IF(COUNT(BV178:CD178)=9,SUM(BV178:CD178),"")</f>
        <v>5</v>
      </c>
      <c r="K178" s="18">
        <f>SUM(BL178:CD178)</f>
        <v>8</v>
      </c>
      <c r="L178" s="18">
        <f>--(K178&gt;='Codebook'!$C$8)</f>
        <v>0</v>
      </c>
      <c r="M178" s="18">
        <f>--(COUNT(BL178:CD178)=19)</f>
        <v>1</v>
      </c>
      <c r="N178" s="18">
        <f>SUM(CE178:CL178)</f>
        <v>5</v>
      </c>
      <c r="O178" s="18">
        <f>SUM(CM178:CR178)</f>
        <v>0</v>
      </c>
      <c r="P178" s="18">
        <f>N178+O178</f>
        <v>5</v>
      </c>
      <c r="Q178" s="21" t="s">
        <v>198</v>
      </c>
      <c r="R178" s="17" t="s">
        <v>156</v>
      </c>
      <c r="S178" s="18">
        <f>--OR(Overview!$B$6="All",E178=Overview!$B$6)*--OR(Overview!$F$6="All",F178=Overview!$F$6)*--OR(Overview!$J$6="All",G178=Overview!$J$6)*--OR(Overview!$N$6="All",H178=Overview!$N$6)</f>
        <v>1</v>
      </c>
      <c r="T178" s="21" t="s">
        <v>22</v>
      </c>
      <c r="U178" s="21" t="s">
        <v>22</v>
      </c>
      <c r="V178" s="21" t="s">
        <v>22</v>
      </c>
      <c r="W178" s="21" t="s">
        <v>22</v>
      </c>
      <c r="X178" s="21" t="s">
        <v>198</v>
      </c>
      <c r="Y178" s="21" t="s">
        <v>22</v>
      </c>
      <c r="Z178" s="21" t="s">
        <v>22</v>
      </c>
      <c r="AA178" s="21" t="s">
        <v>198</v>
      </c>
      <c r="AB178" s="21" t="s">
        <v>22</v>
      </c>
      <c r="AC178" s="21" t="s">
        <v>198</v>
      </c>
      <c r="AD178" s="21" t="s">
        <v>22</v>
      </c>
      <c r="AE178" s="21" t="s">
        <v>22</v>
      </c>
      <c r="AF178" s="21" t="s">
        <v>22</v>
      </c>
      <c r="AG178" s="21" t="s">
        <v>22</v>
      </c>
      <c r="AH178" s="21" t="s">
        <v>22</v>
      </c>
      <c r="AI178" s="21" t="s">
        <v>22</v>
      </c>
      <c r="AJ178" s="21" t="s">
        <v>22</v>
      </c>
      <c r="AK178" s="21" t="s">
        <v>22</v>
      </c>
      <c r="AL178" s="21" t="s">
        <v>198</v>
      </c>
      <c r="AM178" s="21" t="s">
        <v>83</v>
      </c>
      <c r="AN178" s="21" t="s">
        <v>109</v>
      </c>
      <c r="AO178" s="21" t="s">
        <v>83</v>
      </c>
      <c r="AP178" s="21" t="s">
        <v>198</v>
      </c>
      <c r="AQ178" s="21" t="s">
        <v>83</v>
      </c>
      <c r="AR178" s="21" t="s">
        <v>83</v>
      </c>
      <c r="AS178" s="21" t="s">
        <v>83</v>
      </c>
      <c r="AT178" s="21" t="s">
        <v>198</v>
      </c>
      <c r="AU178" s="21" t="s">
        <v>198</v>
      </c>
      <c r="AV178" s="21" t="s">
        <v>198</v>
      </c>
      <c r="AW178" s="21" t="s">
        <v>198</v>
      </c>
      <c r="AX178" s="21" t="s">
        <v>198</v>
      </c>
      <c r="AY178" s="21" t="s">
        <v>198</v>
      </c>
      <c r="AZ178" s="21" t="s">
        <v>198</v>
      </c>
      <c r="BA178" s="17" t="s">
        <v>313</v>
      </c>
      <c r="BB178" s="17" t="s">
        <v>313</v>
      </c>
      <c r="BC178" s="18">
        <f>--ISNUMBER(SEARCH("Radio or television",BA178))</f>
        <v>0</v>
      </c>
      <c r="BD178" s="18">
        <f>--ISNUMBER(SEARCH("Newspapers or print media",BA178))</f>
        <v>0</v>
      </c>
      <c r="BE178" s="18">
        <f>--ISNUMBER(SEARCH("Social media (e.g. Facebook, WhatsApp, YouTube, X/Twitter)",BA178))</f>
        <v>0</v>
      </c>
      <c r="BF178" s="18">
        <f>--ISNUMBER(SEARCH("Family members",BA178))</f>
        <v>0</v>
      </c>
      <c r="BG178" s="18">
        <f>--ISNUMBER(SEARCH("Friends or fellow students",BA178))</f>
        <v>1</v>
      </c>
      <c r="BH178" s="18">
        <f>--ISNUMBER(SEARCH("School coursework or lectures",BA178))</f>
        <v>0</v>
      </c>
      <c r="BI178" s="18">
        <f>--ISNUMBER(SEARCH("NHIMA outreach activities or NHIMA offices",BA178))</f>
        <v>0</v>
      </c>
      <c r="BJ178" s="18">
        <f>--ISNUMBER(SEARCH("Health facility staff",BA178))</f>
        <v>0</v>
      </c>
      <c r="BK178" s="18">
        <f>--ISNUMBER(SEARCH("not received information",BA178))</f>
        <v>0</v>
      </c>
      <c r="BL178" s="18">
        <f>IF(T178="","",--(T178='Codebook'!$F$13))</f>
        <v>1</v>
      </c>
      <c r="BM178" s="18">
        <f>IF(U178="","",--(U178='Codebook'!$F$14))</f>
        <v>0</v>
      </c>
      <c r="BN178" s="18">
        <f>IF(V178="","",--(V178='Codebook'!$F$15))</f>
        <v>0</v>
      </c>
      <c r="BO178" s="18">
        <f>IF(W178="","",--(W178='Codebook'!$F$16))</f>
        <v>1</v>
      </c>
      <c r="BP178" s="18">
        <f>IF(X178="","",--(X178='Codebook'!$F$17))</f>
        <v>0</v>
      </c>
      <c r="BQ178" s="18">
        <f>IF(Y178="","",--(Y178='Codebook'!$F$18))</f>
        <v>0</v>
      </c>
      <c r="BR178" s="18">
        <f>IF(Z178="","",--(Z178='Codebook'!$F$19))</f>
        <v>1</v>
      </c>
      <c r="BS178" s="18">
        <f>IF(AA178="","",--(AA178='Codebook'!$F$20))</f>
        <v>0</v>
      </c>
      <c r="BT178" s="18">
        <f>IF(AB178="","",--(AB178='Codebook'!$F$21))</f>
        <v>0</v>
      </c>
      <c r="BU178" s="18">
        <f>IF(AC178="","",--(AC178='Codebook'!$F$22))</f>
        <v>0</v>
      </c>
      <c r="BV178" s="18">
        <f>IF(AD178="","",--(AD178='Codebook'!$F$23))</f>
        <v>1</v>
      </c>
      <c r="BW178" s="18">
        <f>IF(AE178="","",--(AE178='Codebook'!$F$24))</f>
        <v>1</v>
      </c>
      <c r="BX178" s="18">
        <f>IF(AF178="","",--(AF178='Codebook'!$F$25))</f>
        <v>0</v>
      </c>
      <c r="BY178" s="18">
        <f>IF(AG178="","",--(AG178='Codebook'!$F$26))</f>
        <v>1</v>
      </c>
      <c r="BZ178" s="18">
        <f>IF(AH178="","",--(AH178='Codebook'!$F$27))</f>
        <v>1</v>
      </c>
      <c r="CA178" s="18">
        <f>IF(AI178="","",--(AI178='Codebook'!$F$28))</f>
        <v>0</v>
      </c>
      <c r="CB178" s="18">
        <f>IF(AJ178="","",--(AJ178='Codebook'!$F$29))</f>
        <v>0</v>
      </c>
      <c r="CC178" s="18">
        <f>IF(AK178="","",--(AK178='Codebook'!$F$30))</f>
        <v>1</v>
      </c>
      <c r="CD178" s="18">
        <f>IF(AL178="","",--(AL178='Codebook'!$F$31))</f>
        <v>0</v>
      </c>
      <c r="CE178" s="18">
        <f>IF(AM178="","",--(AM178='Codebook'!$F$32))</f>
        <v>1</v>
      </c>
      <c r="CF178" s="18">
        <f>IF(AN178="","",--(AN178='Codebook'!$F$33))</f>
        <v>0</v>
      </c>
      <c r="CG178" s="18">
        <f>IF(AO178="","",--(AO178='Codebook'!$F$34))</f>
        <v>1</v>
      </c>
      <c r="CH178" s="18">
        <f>IF(AP178="","",--(AP178='Codebook'!$F$35))</f>
        <v>0</v>
      </c>
      <c r="CI178" s="18">
        <f>IF(AQ178="","",--(AQ178='Codebook'!$F$36))</f>
        <v>1</v>
      </c>
      <c r="CJ178" s="18">
        <f>IF(AR178="","",--(AR178='Codebook'!$F$37))</f>
        <v>1</v>
      </c>
      <c r="CK178" s="18">
        <f>IF(AS178="","",--(AS178='Codebook'!$F$38))</f>
        <v>1</v>
      </c>
      <c r="CL178" s="18">
        <f>IF(AT178="","",--(AT178='Codebook'!$F$39))</f>
        <v>0</v>
      </c>
      <c r="CM178" s="18">
        <f>IF(AU178="","",--(AU178='Codebook'!$F$40))</f>
        <v>0</v>
      </c>
      <c r="CN178" s="18">
        <f>IF(AV178="","",--(AV178='Codebook'!$F$41))</f>
        <v>0</v>
      </c>
      <c r="CO178" s="18">
        <f>IF(AW178="","",--(AW178='Codebook'!$F$42))</f>
        <v>0</v>
      </c>
      <c r="CP178" s="18">
        <f>IF(AX178="","",--(AX178='Codebook'!$F$43))</f>
        <v>0</v>
      </c>
      <c r="CQ178" s="18">
        <f>IF(AY178="","",--(AY178='Codebook'!$F$44))</f>
        <v>0</v>
      </c>
      <c r="CR178" s="18">
        <f>IF(AZ178="","",--(AZ178='Codebook'!$F$45))</f>
        <v>0</v>
      </c>
    </row>
    <row r="179" spans="2:96" ht="24" customHeight="1">
      <c r="B179" s="18">
        <v>174</v>
      </c>
      <c r="C179" s="23">
        <v>46286.44939445602</v>
      </c>
      <c r="D179" s="21" t="s">
        <v>268</v>
      </c>
      <c r="E179" s="21" t="s">
        <v>206</v>
      </c>
      <c r="F179" s="21" t="s">
        <v>226</v>
      </c>
      <c r="G179" s="17" t="s">
        <v>215</v>
      </c>
      <c r="H179" s="21" t="s">
        <v>197</v>
      </c>
      <c r="I179" s="18">
        <f>SUM(BL179:BU179)</f>
        <v>6</v>
      </c>
      <c r="J179" s="18">
        <f>IF(COUNT(BV179:CD179)=9,SUM(BV179:CD179),"")</f>
        <v>5</v>
      </c>
      <c r="K179" s="18">
        <f>SUM(BL179:CD179)</f>
        <v>11</v>
      </c>
      <c r="L179" s="18">
        <f>--(K179&gt;='Codebook'!$C$8)</f>
        <v>0</v>
      </c>
      <c r="M179" s="18">
        <f>--(COUNT(BL179:CD179)=19)</f>
        <v>1</v>
      </c>
      <c r="N179" s="18">
        <f>SUM(CE179:CL179)</f>
        <v>7</v>
      </c>
      <c r="O179" s="18">
        <f>SUM(CM179:CR179)</f>
        <v>0</v>
      </c>
      <c r="P179" s="18">
        <f>N179+O179</f>
        <v>7</v>
      </c>
      <c r="Q179" s="21" t="s">
        <v>198</v>
      </c>
      <c r="R179" s="17" t="s">
        <v>156</v>
      </c>
      <c r="S179" s="18">
        <f>--OR(Overview!$B$6="All",E179=Overview!$B$6)*--OR(Overview!$F$6="All",F179=Overview!$F$6)*--OR(Overview!$J$6="All",G179=Overview!$J$6)*--OR(Overview!$N$6="All",H179=Overview!$N$6)</f>
        <v>1</v>
      </c>
      <c r="T179" s="21" t="s">
        <v>22</v>
      </c>
      <c r="U179" s="21" t="s">
        <v>22</v>
      </c>
      <c r="V179" s="21" t="s">
        <v>22</v>
      </c>
      <c r="W179" s="21" t="s">
        <v>22</v>
      </c>
      <c r="X179" s="21" t="s">
        <v>22</v>
      </c>
      <c r="Y179" s="21" t="s">
        <v>22</v>
      </c>
      <c r="Z179" s="21" t="s">
        <v>22</v>
      </c>
      <c r="AA179" s="21" t="s">
        <v>22</v>
      </c>
      <c r="AB179" s="21" t="s">
        <v>22</v>
      </c>
      <c r="AC179" s="21" t="s">
        <v>22</v>
      </c>
      <c r="AD179" s="21" t="s">
        <v>22</v>
      </c>
      <c r="AE179" s="21" t="s">
        <v>22</v>
      </c>
      <c r="AF179" s="21" t="s">
        <v>22</v>
      </c>
      <c r="AG179" s="21" t="s">
        <v>22</v>
      </c>
      <c r="AH179" s="21" t="s">
        <v>22</v>
      </c>
      <c r="AI179" s="21" t="s">
        <v>22</v>
      </c>
      <c r="AJ179" s="21" t="s">
        <v>22</v>
      </c>
      <c r="AK179" s="21" t="s">
        <v>22</v>
      </c>
      <c r="AL179" s="21" t="s">
        <v>22</v>
      </c>
      <c r="AM179" s="21" t="s">
        <v>83</v>
      </c>
      <c r="AN179" s="21" t="s">
        <v>83</v>
      </c>
      <c r="AO179" s="21" t="s">
        <v>83</v>
      </c>
      <c r="AP179" s="21" t="s">
        <v>83</v>
      </c>
      <c r="AQ179" s="21" t="s">
        <v>83</v>
      </c>
      <c r="AR179" s="21" t="s">
        <v>83</v>
      </c>
      <c r="AS179" s="21" t="s">
        <v>83</v>
      </c>
      <c r="AT179" s="21" t="s">
        <v>198</v>
      </c>
      <c r="AU179" s="21" t="s">
        <v>198</v>
      </c>
      <c r="AV179" s="21" t="s">
        <v>198</v>
      </c>
      <c r="AW179" s="21" t="s">
        <v>198</v>
      </c>
      <c r="AX179" s="21" t="s">
        <v>198</v>
      </c>
      <c r="AY179" s="21" t="s">
        <v>198</v>
      </c>
      <c r="AZ179" s="21" t="s">
        <v>198</v>
      </c>
      <c r="BA179" s="17" t="s">
        <v>291</v>
      </c>
      <c r="BB179" s="17" t="s">
        <v>313</v>
      </c>
      <c r="BC179" s="18">
        <f>--ISNUMBER(SEARCH("Radio or television",BA179))</f>
        <v>0</v>
      </c>
      <c r="BD179" s="18">
        <f>--ISNUMBER(SEARCH("Newspapers or print media",BA179))</f>
        <v>0</v>
      </c>
      <c r="BE179" s="18">
        <f>--ISNUMBER(SEARCH("Social media (e.g. Facebook, WhatsApp, YouTube, X/Twitter)",BA179))</f>
        <v>0</v>
      </c>
      <c r="BF179" s="18">
        <f>--ISNUMBER(SEARCH("Family members",BA179))</f>
        <v>1</v>
      </c>
      <c r="BG179" s="18">
        <f>--ISNUMBER(SEARCH("Friends or fellow students",BA179))</f>
        <v>1</v>
      </c>
      <c r="BH179" s="18">
        <f>--ISNUMBER(SEARCH("School coursework or lectures",BA179))</f>
        <v>0</v>
      </c>
      <c r="BI179" s="18">
        <f>--ISNUMBER(SEARCH("NHIMA outreach activities or NHIMA offices",BA179))</f>
        <v>0</v>
      </c>
      <c r="BJ179" s="18">
        <f>--ISNUMBER(SEARCH("Health facility staff",BA179))</f>
        <v>0</v>
      </c>
      <c r="BK179" s="18">
        <f>--ISNUMBER(SEARCH("not received information",BA179))</f>
        <v>0</v>
      </c>
      <c r="BL179" s="18">
        <f>IF(T179="","",--(T179='Codebook'!$F$13))</f>
        <v>1</v>
      </c>
      <c r="BM179" s="18">
        <f>IF(U179="","",--(U179='Codebook'!$F$14))</f>
        <v>0</v>
      </c>
      <c r="BN179" s="18">
        <f>IF(V179="","",--(V179='Codebook'!$F$15))</f>
        <v>0</v>
      </c>
      <c r="BO179" s="18">
        <f>IF(W179="","",--(W179='Codebook'!$F$16))</f>
        <v>1</v>
      </c>
      <c r="BP179" s="18">
        <f>IF(X179="","",--(X179='Codebook'!$F$17))</f>
        <v>1</v>
      </c>
      <c r="BQ179" s="18">
        <f>IF(Y179="","",--(Y179='Codebook'!$F$18))</f>
        <v>0</v>
      </c>
      <c r="BR179" s="18">
        <f>IF(Z179="","",--(Z179='Codebook'!$F$19))</f>
        <v>1</v>
      </c>
      <c r="BS179" s="18">
        <f>IF(AA179="","",--(AA179='Codebook'!$F$20))</f>
        <v>1</v>
      </c>
      <c r="BT179" s="18">
        <f>IF(AB179="","",--(AB179='Codebook'!$F$21))</f>
        <v>0</v>
      </c>
      <c r="BU179" s="18">
        <f>IF(AC179="","",--(AC179='Codebook'!$F$22))</f>
        <v>1</v>
      </c>
      <c r="BV179" s="18">
        <f>IF(AD179="","",--(AD179='Codebook'!$F$23))</f>
        <v>1</v>
      </c>
      <c r="BW179" s="18">
        <f>IF(AE179="","",--(AE179='Codebook'!$F$24))</f>
        <v>1</v>
      </c>
      <c r="BX179" s="18">
        <f>IF(AF179="","",--(AF179='Codebook'!$F$25))</f>
        <v>0</v>
      </c>
      <c r="BY179" s="18">
        <f>IF(AG179="","",--(AG179='Codebook'!$F$26))</f>
        <v>1</v>
      </c>
      <c r="BZ179" s="18">
        <f>IF(AH179="","",--(AH179='Codebook'!$F$27))</f>
        <v>1</v>
      </c>
      <c r="CA179" s="18">
        <f>IF(AI179="","",--(AI179='Codebook'!$F$28))</f>
        <v>0</v>
      </c>
      <c r="CB179" s="18">
        <f>IF(AJ179="","",--(AJ179='Codebook'!$F$29))</f>
        <v>0</v>
      </c>
      <c r="CC179" s="18">
        <f>IF(AK179="","",--(AK179='Codebook'!$F$30))</f>
        <v>1</v>
      </c>
      <c r="CD179" s="18">
        <f>IF(AL179="","",--(AL179='Codebook'!$F$31))</f>
        <v>0</v>
      </c>
      <c r="CE179" s="18">
        <f>IF(AM179="","",--(AM179='Codebook'!$F$32))</f>
        <v>1</v>
      </c>
      <c r="CF179" s="18">
        <f>IF(AN179="","",--(AN179='Codebook'!$F$33))</f>
        <v>1</v>
      </c>
      <c r="CG179" s="18">
        <f>IF(AO179="","",--(AO179='Codebook'!$F$34))</f>
        <v>1</v>
      </c>
      <c r="CH179" s="18">
        <f>IF(AP179="","",--(AP179='Codebook'!$F$35))</f>
        <v>1</v>
      </c>
      <c r="CI179" s="18">
        <f>IF(AQ179="","",--(AQ179='Codebook'!$F$36))</f>
        <v>1</v>
      </c>
      <c r="CJ179" s="18">
        <f>IF(AR179="","",--(AR179='Codebook'!$F$37))</f>
        <v>1</v>
      </c>
      <c r="CK179" s="18">
        <f>IF(AS179="","",--(AS179='Codebook'!$F$38))</f>
        <v>1</v>
      </c>
      <c r="CL179" s="18">
        <f>IF(AT179="","",--(AT179='Codebook'!$F$39))</f>
        <v>0</v>
      </c>
      <c r="CM179" s="18">
        <f>IF(AU179="","",--(AU179='Codebook'!$F$40))</f>
        <v>0</v>
      </c>
      <c r="CN179" s="18">
        <f>IF(AV179="","",--(AV179='Codebook'!$F$41))</f>
        <v>0</v>
      </c>
      <c r="CO179" s="18">
        <f>IF(AW179="","",--(AW179='Codebook'!$F$42))</f>
        <v>0</v>
      </c>
      <c r="CP179" s="18">
        <f>IF(AX179="","",--(AX179='Codebook'!$F$43))</f>
        <v>0</v>
      </c>
      <c r="CQ179" s="18">
        <f>IF(AY179="","",--(AY179='Codebook'!$F$44))</f>
        <v>0</v>
      </c>
      <c r="CR179" s="18">
        <f>IF(AZ179="","",--(AZ179='Codebook'!$F$45))</f>
        <v>0</v>
      </c>
    </row>
    <row r="180" spans="2:96" ht="24" customHeight="1">
      <c r="B180" s="18">
        <v>175</v>
      </c>
      <c r="C180" s="23">
        <v>46286.45009671296</v>
      </c>
      <c r="D180" s="21" t="s">
        <v>275</v>
      </c>
      <c r="E180" s="21" t="s">
        <v>206</v>
      </c>
      <c r="F180" s="21" t="s">
        <v>201</v>
      </c>
      <c r="G180" s="17" t="s">
        <v>247</v>
      </c>
      <c r="H180" s="21" t="s">
        <v>197</v>
      </c>
      <c r="I180" s="18">
        <f>SUM(BL180:BU180)</f>
        <v>6</v>
      </c>
      <c r="J180" s="18">
        <f>IF(COUNT(BV180:CD180)=9,SUM(BV180:CD180),"")</f>
        <v>4</v>
      </c>
      <c r="K180" s="18">
        <f>SUM(BL180:CD180)</f>
        <v>10</v>
      </c>
      <c r="L180" s="18">
        <f>--(K180&gt;='Codebook'!$C$8)</f>
        <v>0</v>
      </c>
      <c r="M180" s="18">
        <f>--(COUNT(BL180:CD180)=19)</f>
        <v>1</v>
      </c>
      <c r="N180" s="18">
        <f>SUM(CE180:CL180)</f>
        <v>2</v>
      </c>
      <c r="O180" s="18">
        <f>SUM(CM180:CR180)</f>
        <v>0</v>
      </c>
      <c r="P180" s="18">
        <f>N180+O180</f>
        <v>2</v>
      </c>
      <c r="Q180" s="21" t="s">
        <v>198</v>
      </c>
      <c r="R180" s="17" t="s">
        <v>156</v>
      </c>
      <c r="S180" s="18">
        <f>--OR(Overview!$B$6="All",E180=Overview!$B$6)*--OR(Overview!$F$6="All",F180=Overview!$F$6)*--OR(Overview!$J$6="All",G180=Overview!$J$6)*--OR(Overview!$N$6="All",H180=Overview!$N$6)</f>
        <v>1</v>
      </c>
      <c r="T180" s="21" t="s">
        <v>22</v>
      </c>
      <c r="U180" s="21" t="s">
        <v>22</v>
      </c>
      <c r="V180" s="21" t="s">
        <v>22</v>
      </c>
      <c r="W180" s="21" t="s">
        <v>22</v>
      </c>
      <c r="X180" s="21" t="s">
        <v>22</v>
      </c>
      <c r="Y180" s="21" t="s">
        <v>22</v>
      </c>
      <c r="Z180" s="21" t="s">
        <v>22</v>
      </c>
      <c r="AA180" s="21" t="s">
        <v>22</v>
      </c>
      <c r="AB180" s="21" t="s">
        <v>22</v>
      </c>
      <c r="AC180" s="21" t="s">
        <v>22</v>
      </c>
      <c r="AD180" s="21" t="s">
        <v>22</v>
      </c>
      <c r="AE180" s="21" t="s">
        <v>22</v>
      </c>
      <c r="AF180" s="21" t="s">
        <v>22</v>
      </c>
      <c r="AG180" s="21" t="s">
        <v>22</v>
      </c>
      <c r="AH180" s="21" t="s">
        <v>198</v>
      </c>
      <c r="AI180" s="21" t="s">
        <v>22</v>
      </c>
      <c r="AJ180" s="21" t="s">
        <v>198</v>
      </c>
      <c r="AK180" s="21" t="s">
        <v>22</v>
      </c>
      <c r="AL180" s="21" t="s">
        <v>22</v>
      </c>
      <c r="AM180" s="21" t="s">
        <v>198</v>
      </c>
      <c r="AN180" s="21" t="s">
        <v>198</v>
      </c>
      <c r="AO180" s="21" t="s">
        <v>198</v>
      </c>
      <c r="AP180" s="21" t="s">
        <v>83</v>
      </c>
      <c r="AQ180" s="21" t="s">
        <v>198</v>
      </c>
      <c r="AR180" s="21" t="s">
        <v>198</v>
      </c>
      <c r="AS180" s="21" t="s">
        <v>83</v>
      </c>
      <c r="AT180" s="21" t="s">
        <v>109</v>
      </c>
      <c r="AU180" s="21" t="s">
        <v>83</v>
      </c>
      <c r="AV180" s="21" t="s">
        <v>198</v>
      </c>
      <c r="AW180" s="21" t="s">
        <v>83</v>
      </c>
      <c r="AX180" s="21" t="s">
        <v>83</v>
      </c>
      <c r="AY180" s="21" t="s">
        <v>83</v>
      </c>
      <c r="AZ180" s="21" t="s">
        <v>198</v>
      </c>
      <c r="BA180" s="17" t="s">
        <v>313</v>
      </c>
      <c r="BB180" s="17" t="s">
        <v>313</v>
      </c>
      <c r="BC180" s="18">
        <f>--ISNUMBER(SEARCH("Radio or television",BA180))</f>
        <v>0</v>
      </c>
      <c r="BD180" s="18">
        <f>--ISNUMBER(SEARCH("Newspapers or print media",BA180))</f>
        <v>0</v>
      </c>
      <c r="BE180" s="18">
        <f>--ISNUMBER(SEARCH("Social media (e.g. Facebook, WhatsApp, YouTube, X/Twitter)",BA180))</f>
        <v>0</v>
      </c>
      <c r="BF180" s="18">
        <f>--ISNUMBER(SEARCH("Family members",BA180))</f>
        <v>0</v>
      </c>
      <c r="BG180" s="18">
        <f>--ISNUMBER(SEARCH("Friends or fellow students",BA180))</f>
        <v>1</v>
      </c>
      <c r="BH180" s="18">
        <f>--ISNUMBER(SEARCH("School coursework or lectures",BA180))</f>
        <v>0</v>
      </c>
      <c r="BI180" s="18">
        <f>--ISNUMBER(SEARCH("NHIMA outreach activities or NHIMA offices",BA180))</f>
        <v>0</v>
      </c>
      <c r="BJ180" s="18">
        <f>--ISNUMBER(SEARCH("Health facility staff",BA180))</f>
        <v>0</v>
      </c>
      <c r="BK180" s="18">
        <f>--ISNUMBER(SEARCH("not received information",BA180))</f>
        <v>0</v>
      </c>
      <c r="BL180" s="18">
        <f>IF(T180="","",--(T180='Codebook'!$F$13))</f>
        <v>1</v>
      </c>
      <c r="BM180" s="18">
        <f>IF(U180="","",--(U180='Codebook'!$F$14))</f>
        <v>0</v>
      </c>
      <c r="BN180" s="18">
        <f>IF(V180="","",--(V180='Codebook'!$F$15))</f>
        <v>0</v>
      </c>
      <c r="BO180" s="18">
        <f>IF(W180="","",--(W180='Codebook'!$F$16))</f>
        <v>1</v>
      </c>
      <c r="BP180" s="18">
        <f>IF(X180="","",--(X180='Codebook'!$F$17))</f>
        <v>1</v>
      </c>
      <c r="BQ180" s="18">
        <f>IF(Y180="","",--(Y180='Codebook'!$F$18))</f>
        <v>0</v>
      </c>
      <c r="BR180" s="18">
        <f>IF(Z180="","",--(Z180='Codebook'!$F$19))</f>
        <v>1</v>
      </c>
      <c r="BS180" s="18">
        <f>IF(AA180="","",--(AA180='Codebook'!$F$20))</f>
        <v>1</v>
      </c>
      <c r="BT180" s="18">
        <f>IF(AB180="","",--(AB180='Codebook'!$F$21))</f>
        <v>0</v>
      </c>
      <c r="BU180" s="18">
        <f>IF(AC180="","",--(AC180='Codebook'!$F$22))</f>
        <v>1</v>
      </c>
      <c r="BV180" s="18">
        <f>IF(AD180="","",--(AD180='Codebook'!$F$23))</f>
        <v>1</v>
      </c>
      <c r="BW180" s="18">
        <f>IF(AE180="","",--(AE180='Codebook'!$F$24))</f>
        <v>1</v>
      </c>
      <c r="BX180" s="18">
        <f>IF(AF180="","",--(AF180='Codebook'!$F$25))</f>
        <v>0</v>
      </c>
      <c r="BY180" s="18">
        <f>IF(AG180="","",--(AG180='Codebook'!$F$26))</f>
        <v>1</v>
      </c>
      <c r="BZ180" s="18">
        <f>IF(AH180="","",--(AH180='Codebook'!$F$27))</f>
        <v>0</v>
      </c>
      <c r="CA180" s="18">
        <f>IF(AI180="","",--(AI180='Codebook'!$F$28))</f>
        <v>0</v>
      </c>
      <c r="CB180" s="18">
        <f>IF(AJ180="","",--(AJ180='Codebook'!$F$29))</f>
        <v>0</v>
      </c>
      <c r="CC180" s="18">
        <f>IF(AK180="","",--(AK180='Codebook'!$F$30))</f>
        <v>1</v>
      </c>
      <c r="CD180" s="18">
        <f>IF(AL180="","",--(AL180='Codebook'!$F$31))</f>
        <v>0</v>
      </c>
      <c r="CE180" s="18">
        <f>IF(AM180="","",--(AM180='Codebook'!$F$32))</f>
        <v>0</v>
      </c>
      <c r="CF180" s="18">
        <f>IF(AN180="","",--(AN180='Codebook'!$F$33))</f>
        <v>0</v>
      </c>
      <c r="CG180" s="18">
        <f>IF(AO180="","",--(AO180='Codebook'!$F$34))</f>
        <v>0</v>
      </c>
      <c r="CH180" s="18">
        <f>IF(AP180="","",--(AP180='Codebook'!$F$35))</f>
        <v>1</v>
      </c>
      <c r="CI180" s="18">
        <f>IF(AQ180="","",--(AQ180='Codebook'!$F$36))</f>
        <v>0</v>
      </c>
      <c r="CJ180" s="18">
        <f>IF(AR180="","",--(AR180='Codebook'!$F$37))</f>
        <v>0</v>
      </c>
      <c r="CK180" s="18">
        <f>IF(AS180="","",--(AS180='Codebook'!$F$38))</f>
        <v>1</v>
      </c>
      <c r="CL180" s="18">
        <f>IF(AT180="","",--(AT180='Codebook'!$F$39))</f>
        <v>0</v>
      </c>
      <c r="CM180" s="18">
        <f>IF(AU180="","",--(AU180='Codebook'!$F$40))</f>
        <v>0</v>
      </c>
      <c r="CN180" s="18">
        <f>IF(AV180="","",--(AV180='Codebook'!$F$41))</f>
        <v>0</v>
      </c>
      <c r="CO180" s="18">
        <f>IF(AW180="","",--(AW180='Codebook'!$F$42))</f>
        <v>0</v>
      </c>
      <c r="CP180" s="18">
        <f>IF(AX180="","",--(AX180='Codebook'!$F$43))</f>
        <v>0</v>
      </c>
      <c r="CQ180" s="18">
        <f>IF(AY180="","",--(AY180='Codebook'!$F$44))</f>
        <v>0</v>
      </c>
      <c r="CR180" s="18">
        <f>IF(AZ180="","",--(AZ180='Codebook'!$F$45))</f>
        <v>0</v>
      </c>
    </row>
    <row r="181" spans="2:96" ht="24" customHeight="1">
      <c r="B181" s="18">
        <v>176</v>
      </c>
      <c r="C181" s="23">
        <v>46286.45081770833</v>
      </c>
      <c r="D181" s="21" t="s">
        <v>275</v>
      </c>
      <c r="E181" s="21" t="s">
        <v>206</v>
      </c>
      <c r="F181" s="21" t="s">
        <v>195</v>
      </c>
      <c r="G181" s="17" t="s">
        <v>196</v>
      </c>
      <c r="H181" s="21" t="s">
        <v>197</v>
      </c>
      <c r="I181" s="18">
        <f>SUM(BL181:BU181)</f>
        <v>6</v>
      </c>
      <c r="J181" s="18">
        <f>IF(COUNT(BV181:CD181)=9,SUM(BV181:CD181),"")</f>
        <v>5</v>
      </c>
      <c r="K181" s="18">
        <f>SUM(BL181:CD181)</f>
        <v>11</v>
      </c>
      <c r="L181" s="18">
        <f>--(K181&gt;='Codebook'!$C$8)</f>
        <v>0</v>
      </c>
      <c r="M181" s="18">
        <f>--(COUNT(BL181:CD181)=19)</f>
        <v>1</v>
      </c>
      <c r="N181" s="18">
        <f>SUM(CE181:CL181)</f>
        <v>4</v>
      </c>
      <c r="O181" s="18">
        <f>SUM(CM181:CR181)</f>
        <v>0</v>
      </c>
      <c r="P181" s="18">
        <f>N181+O181</f>
        <v>4</v>
      </c>
      <c r="Q181" s="21" t="s">
        <v>207</v>
      </c>
      <c r="R181" s="17" t="s">
        <v>216</v>
      </c>
      <c r="S181" s="18">
        <f>--OR(Overview!$B$6="All",E181=Overview!$B$6)*--OR(Overview!$F$6="All",F181=Overview!$F$6)*--OR(Overview!$J$6="All",G181=Overview!$J$6)*--OR(Overview!$N$6="All",H181=Overview!$N$6)</f>
        <v>1</v>
      </c>
      <c r="T181" s="21" t="s">
        <v>22</v>
      </c>
      <c r="U181" s="21" t="s">
        <v>198</v>
      </c>
      <c r="V181" s="21" t="s">
        <v>22</v>
      </c>
      <c r="W181" s="21" t="s">
        <v>22</v>
      </c>
      <c r="X181" s="21" t="s">
        <v>22</v>
      </c>
      <c r="Y181" s="21" t="s">
        <v>22</v>
      </c>
      <c r="Z181" s="21" t="s">
        <v>22</v>
      </c>
      <c r="AA181" s="21" t="s">
        <v>22</v>
      </c>
      <c r="AB181" s="21" t="s">
        <v>22</v>
      </c>
      <c r="AC181" s="21" t="s">
        <v>22</v>
      </c>
      <c r="AD181" s="21" t="s">
        <v>22</v>
      </c>
      <c r="AE181" s="21" t="s">
        <v>22</v>
      </c>
      <c r="AF181" s="21" t="s">
        <v>22</v>
      </c>
      <c r="AG181" s="21" t="s">
        <v>22</v>
      </c>
      <c r="AH181" s="21" t="s">
        <v>22</v>
      </c>
      <c r="AI181" s="21" t="s">
        <v>22</v>
      </c>
      <c r="AJ181" s="21" t="s">
        <v>22</v>
      </c>
      <c r="AK181" s="21" t="s">
        <v>22</v>
      </c>
      <c r="AL181" s="21" t="s">
        <v>22</v>
      </c>
      <c r="AM181" s="21" t="s">
        <v>83</v>
      </c>
      <c r="AN181" s="21" t="s">
        <v>109</v>
      </c>
      <c r="AO181" s="21" t="s">
        <v>83</v>
      </c>
      <c r="AP181" s="21" t="s">
        <v>83</v>
      </c>
      <c r="AQ181" s="21" t="s">
        <v>83</v>
      </c>
      <c r="AR181" s="21" t="s">
        <v>198</v>
      </c>
      <c r="AS181" s="21" t="s">
        <v>109</v>
      </c>
      <c r="AT181" s="21" t="s">
        <v>198</v>
      </c>
      <c r="AU181" s="21" t="s">
        <v>198</v>
      </c>
      <c r="AV181" s="21" t="s">
        <v>198</v>
      </c>
      <c r="AW181" s="21" t="s">
        <v>198</v>
      </c>
      <c r="AX181" s="21" t="s">
        <v>83</v>
      </c>
      <c r="AY181" s="21" t="s">
        <v>198</v>
      </c>
      <c r="AZ181" s="21" t="s">
        <v>83</v>
      </c>
      <c r="BA181" s="17" t="s">
        <v>318</v>
      </c>
      <c r="BB181" s="17" t="s">
        <v>315</v>
      </c>
      <c r="BC181" s="18">
        <f>--ISNUMBER(SEARCH("Radio or television",BA181))</f>
        <v>0</v>
      </c>
      <c r="BD181" s="18">
        <f>--ISNUMBER(SEARCH("Newspapers or print media",BA181))</f>
        <v>0</v>
      </c>
      <c r="BE181" s="18">
        <f>--ISNUMBER(SEARCH("Social media (e.g. Facebook, WhatsApp, YouTube, X/Twitter)",BA181))</f>
        <v>1</v>
      </c>
      <c r="BF181" s="18">
        <f>--ISNUMBER(SEARCH("Family members",BA181))</f>
        <v>0</v>
      </c>
      <c r="BG181" s="18">
        <f>--ISNUMBER(SEARCH("Friends or fellow students",BA181))</f>
        <v>1</v>
      </c>
      <c r="BH181" s="18">
        <f>--ISNUMBER(SEARCH("School coursework or lectures",BA181))</f>
        <v>1</v>
      </c>
      <c r="BI181" s="18">
        <f>--ISNUMBER(SEARCH("NHIMA outreach activities or NHIMA offices",BA181))</f>
        <v>1</v>
      </c>
      <c r="BJ181" s="18">
        <f>--ISNUMBER(SEARCH("Health facility staff",BA181))</f>
        <v>0</v>
      </c>
      <c r="BK181" s="18">
        <f>--ISNUMBER(SEARCH("not received information",BA181))</f>
        <v>0</v>
      </c>
      <c r="BL181" s="18">
        <f>IF(T181="","",--(T181='Codebook'!$F$13))</f>
        <v>1</v>
      </c>
      <c r="BM181" s="18">
        <f>IF(U181="","",--(U181='Codebook'!$F$14))</f>
        <v>0</v>
      </c>
      <c r="BN181" s="18">
        <f>IF(V181="","",--(V181='Codebook'!$F$15))</f>
        <v>0</v>
      </c>
      <c r="BO181" s="18">
        <f>IF(W181="","",--(W181='Codebook'!$F$16))</f>
        <v>1</v>
      </c>
      <c r="BP181" s="18">
        <f>IF(X181="","",--(X181='Codebook'!$F$17))</f>
        <v>1</v>
      </c>
      <c r="BQ181" s="18">
        <f>IF(Y181="","",--(Y181='Codebook'!$F$18))</f>
        <v>0</v>
      </c>
      <c r="BR181" s="18">
        <f>IF(Z181="","",--(Z181='Codebook'!$F$19))</f>
        <v>1</v>
      </c>
      <c r="BS181" s="18">
        <f>IF(AA181="","",--(AA181='Codebook'!$F$20))</f>
        <v>1</v>
      </c>
      <c r="BT181" s="18">
        <f>IF(AB181="","",--(AB181='Codebook'!$F$21))</f>
        <v>0</v>
      </c>
      <c r="BU181" s="18">
        <f>IF(AC181="","",--(AC181='Codebook'!$F$22))</f>
        <v>1</v>
      </c>
      <c r="BV181" s="18">
        <f>IF(AD181="","",--(AD181='Codebook'!$F$23))</f>
        <v>1</v>
      </c>
      <c r="BW181" s="18">
        <f>IF(AE181="","",--(AE181='Codebook'!$F$24))</f>
        <v>1</v>
      </c>
      <c r="BX181" s="18">
        <f>IF(AF181="","",--(AF181='Codebook'!$F$25))</f>
        <v>0</v>
      </c>
      <c r="BY181" s="18">
        <f>IF(AG181="","",--(AG181='Codebook'!$F$26))</f>
        <v>1</v>
      </c>
      <c r="BZ181" s="18">
        <f>IF(AH181="","",--(AH181='Codebook'!$F$27))</f>
        <v>1</v>
      </c>
      <c r="CA181" s="18">
        <f>IF(AI181="","",--(AI181='Codebook'!$F$28))</f>
        <v>0</v>
      </c>
      <c r="CB181" s="18">
        <f>IF(AJ181="","",--(AJ181='Codebook'!$F$29))</f>
        <v>0</v>
      </c>
      <c r="CC181" s="18">
        <f>IF(AK181="","",--(AK181='Codebook'!$F$30))</f>
        <v>1</v>
      </c>
      <c r="CD181" s="18">
        <f>IF(AL181="","",--(AL181='Codebook'!$F$31))</f>
        <v>0</v>
      </c>
      <c r="CE181" s="18">
        <f>IF(AM181="","",--(AM181='Codebook'!$F$32))</f>
        <v>1</v>
      </c>
      <c r="CF181" s="18">
        <f>IF(AN181="","",--(AN181='Codebook'!$F$33))</f>
        <v>0</v>
      </c>
      <c r="CG181" s="18">
        <f>IF(AO181="","",--(AO181='Codebook'!$F$34))</f>
        <v>1</v>
      </c>
      <c r="CH181" s="18">
        <f>IF(AP181="","",--(AP181='Codebook'!$F$35))</f>
        <v>1</v>
      </c>
      <c r="CI181" s="18">
        <f>IF(AQ181="","",--(AQ181='Codebook'!$F$36))</f>
        <v>1</v>
      </c>
      <c r="CJ181" s="18">
        <f>IF(AR181="","",--(AR181='Codebook'!$F$37))</f>
        <v>0</v>
      </c>
      <c r="CK181" s="18">
        <f>IF(AS181="","",--(AS181='Codebook'!$F$38))</f>
        <v>0</v>
      </c>
      <c r="CL181" s="18">
        <f>IF(AT181="","",--(AT181='Codebook'!$F$39))</f>
        <v>0</v>
      </c>
      <c r="CM181" s="18">
        <f>IF(AU181="","",--(AU181='Codebook'!$F$40))</f>
        <v>0</v>
      </c>
      <c r="CN181" s="18">
        <f>IF(AV181="","",--(AV181='Codebook'!$F$41))</f>
        <v>0</v>
      </c>
      <c r="CO181" s="18">
        <f>IF(AW181="","",--(AW181='Codebook'!$F$42))</f>
        <v>0</v>
      </c>
      <c r="CP181" s="18">
        <f>IF(AX181="","",--(AX181='Codebook'!$F$43))</f>
        <v>0</v>
      </c>
      <c r="CQ181" s="18">
        <f>IF(AY181="","",--(AY181='Codebook'!$F$44))</f>
        <v>0</v>
      </c>
      <c r="CR181" s="18">
        <f>IF(AZ181="","",--(AZ181='Codebook'!$F$45))</f>
        <v>0</v>
      </c>
    </row>
    <row r="182" spans="2:96" ht="24" customHeight="1">
      <c r="B182" s="18">
        <v>177</v>
      </c>
      <c r="C182" s="23">
        <v>46286.45154050926</v>
      </c>
      <c r="D182" s="21" t="s">
        <v>275</v>
      </c>
      <c r="E182" s="21" t="s">
        <v>206</v>
      </c>
      <c r="F182" s="21" t="s">
        <v>195</v>
      </c>
      <c r="G182" s="17" t="s">
        <v>196</v>
      </c>
      <c r="H182" s="21" t="s">
        <v>198</v>
      </c>
      <c r="I182" s="18">
        <f>SUM(BL182:BU182)</f>
        <v>4</v>
      </c>
      <c r="J182" s="18">
        <f>IF(COUNT(BV182:CD182)=9,SUM(BV182:CD182),"")</f>
        <v>4</v>
      </c>
      <c r="K182" s="18">
        <f>SUM(BL182:CD182)</f>
        <v>8</v>
      </c>
      <c r="L182" s="18">
        <f>--(K182&gt;='Codebook'!$C$8)</f>
        <v>0</v>
      </c>
      <c r="M182" s="18">
        <f>--(COUNT(BL182:CD182)=19)</f>
        <v>1</v>
      </c>
      <c r="N182" s="18">
        <f>SUM(CE182:CL182)</f>
        <v>6</v>
      </c>
      <c r="O182" s="18">
        <f>SUM(CM182:CR182)</f>
        <v>0</v>
      </c>
      <c r="P182" s="18">
        <f>N182+O182</f>
        <v>6</v>
      </c>
      <c r="Q182" s="21" t="s">
        <v>197</v>
      </c>
      <c r="R182" s="17" t="s">
        <v>153</v>
      </c>
      <c r="S182" s="18">
        <f>--OR(Overview!$B$6="All",E182=Overview!$B$6)*--OR(Overview!$F$6="All",F182=Overview!$F$6)*--OR(Overview!$J$6="All",G182=Overview!$J$6)*--OR(Overview!$N$6="All",H182=Overview!$N$6)</f>
        <v>1</v>
      </c>
      <c r="T182" s="21" t="s">
        <v>26</v>
      </c>
      <c r="U182" s="21" t="s">
        <v>198</v>
      </c>
      <c r="V182" s="21" t="s">
        <v>22</v>
      </c>
      <c r="W182" s="21" t="s">
        <v>22</v>
      </c>
      <c r="X182" s="21" t="s">
        <v>22</v>
      </c>
      <c r="Y182" s="21" t="s">
        <v>22</v>
      </c>
      <c r="Z182" s="21" t="s">
        <v>22</v>
      </c>
      <c r="AA182" s="21" t="s">
        <v>26</v>
      </c>
      <c r="AB182" s="21" t="s">
        <v>22</v>
      </c>
      <c r="AC182" s="21" t="s">
        <v>22</v>
      </c>
      <c r="AD182" s="21" t="s">
        <v>22</v>
      </c>
      <c r="AE182" s="21" t="s">
        <v>22</v>
      </c>
      <c r="AF182" s="21" t="s">
        <v>198</v>
      </c>
      <c r="AG182" s="21" t="s">
        <v>22</v>
      </c>
      <c r="AH182" s="21" t="s">
        <v>198</v>
      </c>
      <c r="AI182" s="21" t="s">
        <v>22</v>
      </c>
      <c r="AJ182" s="21" t="s">
        <v>198</v>
      </c>
      <c r="AK182" s="21" t="s">
        <v>26</v>
      </c>
      <c r="AL182" s="21" t="s">
        <v>26</v>
      </c>
      <c r="AM182" s="21" t="s">
        <v>83</v>
      </c>
      <c r="AN182" s="21" t="s">
        <v>198</v>
      </c>
      <c r="AO182" s="21" t="s">
        <v>109</v>
      </c>
      <c r="AP182" s="21" t="s">
        <v>83</v>
      </c>
      <c r="AQ182" s="21" t="s">
        <v>83</v>
      </c>
      <c r="AR182" s="21" t="s">
        <v>83</v>
      </c>
      <c r="AS182" s="21" t="s">
        <v>83</v>
      </c>
      <c r="AT182" s="21" t="s">
        <v>83</v>
      </c>
      <c r="AU182" s="21" t="s">
        <v>83</v>
      </c>
      <c r="AV182" s="21" t="s">
        <v>83</v>
      </c>
      <c r="AW182" s="21" t="s">
        <v>83</v>
      </c>
      <c r="AX182" s="21" t="s">
        <v>83</v>
      </c>
      <c r="AY182" s="21" t="s">
        <v>83</v>
      </c>
      <c r="AZ182" s="21" t="s">
        <v>83</v>
      </c>
      <c r="BA182" s="17" t="s">
        <v>283</v>
      </c>
      <c r="BB182" s="17" t="s">
        <v>277</v>
      </c>
      <c r="BC182" s="18">
        <f>--ISNUMBER(SEARCH("Radio or television",BA182))</f>
        <v>0</v>
      </c>
      <c r="BD182" s="18">
        <f>--ISNUMBER(SEARCH("Newspapers or print media",BA182))</f>
        <v>1</v>
      </c>
      <c r="BE182" s="18">
        <f>--ISNUMBER(SEARCH("Social media (e.g. Facebook, WhatsApp, YouTube, X/Twitter)",BA182))</f>
        <v>1</v>
      </c>
      <c r="BF182" s="18">
        <f>--ISNUMBER(SEARCH("Family members",BA182))</f>
        <v>0</v>
      </c>
      <c r="BG182" s="18">
        <f>--ISNUMBER(SEARCH("Friends or fellow students",BA182))</f>
        <v>0</v>
      </c>
      <c r="BH182" s="18">
        <f>--ISNUMBER(SEARCH("School coursework or lectures",BA182))</f>
        <v>0</v>
      </c>
      <c r="BI182" s="18">
        <f>--ISNUMBER(SEARCH("NHIMA outreach activities or NHIMA offices",BA182))</f>
        <v>0</v>
      </c>
      <c r="BJ182" s="18">
        <f>--ISNUMBER(SEARCH("Health facility staff",BA182))</f>
        <v>0</v>
      </c>
      <c r="BK182" s="18">
        <f>--ISNUMBER(SEARCH("not received information",BA182))</f>
        <v>0</v>
      </c>
      <c r="BL182" s="18">
        <f>IF(T182="","",--(T182='Codebook'!$F$13))</f>
        <v>0</v>
      </c>
      <c r="BM182" s="18">
        <f>IF(U182="","",--(U182='Codebook'!$F$14))</f>
        <v>0</v>
      </c>
      <c r="BN182" s="18">
        <f>IF(V182="","",--(V182='Codebook'!$F$15))</f>
        <v>0</v>
      </c>
      <c r="BO182" s="18">
        <f>IF(W182="","",--(W182='Codebook'!$F$16))</f>
        <v>1</v>
      </c>
      <c r="BP182" s="18">
        <f>IF(X182="","",--(X182='Codebook'!$F$17))</f>
        <v>1</v>
      </c>
      <c r="BQ182" s="18">
        <f>IF(Y182="","",--(Y182='Codebook'!$F$18))</f>
        <v>0</v>
      </c>
      <c r="BR182" s="18">
        <f>IF(Z182="","",--(Z182='Codebook'!$F$19))</f>
        <v>1</v>
      </c>
      <c r="BS182" s="18">
        <f>IF(AA182="","",--(AA182='Codebook'!$F$20))</f>
        <v>0</v>
      </c>
      <c r="BT182" s="18">
        <f>IF(AB182="","",--(AB182='Codebook'!$F$21))</f>
        <v>0</v>
      </c>
      <c r="BU182" s="18">
        <f>IF(AC182="","",--(AC182='Codebook'!$F$22))</f>
        <v>1</v>
      </c>
      <c r="BV182" s="18">
        <f>IF(AD182="","",--(AD182='Codebook'!$F$23))</f>
        <v>1</v>
      </c>
      <c r="BW182" s="18">
        <f>IF(AE182="","",--(AE182='Codebook'!$F$24))</f>
        <v>1</v>
      </c>
      <c r="BX182" s="18">
        <f>IF(AF182="","",--(AF182='Codebook'!$F$25))</f>
        <v>0</v>
      </c>
      <c r="BY182" s="18">
        <f>IF(AG182="","",--(AG182='Codebook'!$F$26))</f>
        <v>1</v>
      </c>
      <c r="BZ182" s="18">
        <f>IF(AH182="","",--(AH182='Codebook'!$F$27))</f>
        <v>0</v>
      </c>
      <c r="CA182" s="18">
        <f>IF(AI182="","",--(AI182='Codebook'!$F$28))</f>
        <v>0</v>
      </c>
      <c r="CB182" s="18">
        <f>IF(AJ182="","",--(AJ182='Codebook'!$F$29))</f>
        <v>0</v>
      </c>
      <c r="CC182" s="18">
        <f>IF(AK182="","",--(AK182='Codebook'!$F$30))</f>
        <v>0</v>
      </c>
      <c r="CD182" s="18">
        <f>IF(AL182="","",--(AL182='Codebook'!$F$31))</f>
        <v>1</v>
      </c>
      <c r="CE182" s="18">
        <f>IF(AM182="","",--(AM182='Codebook'!$F$32))</f>
        <v>1</v>
      </c>
      <c r="CF182" s="18">
        <f>IF(AN182="","",--(AN182='Codebook'!$F$33))</f>
        <v>0</v>
      </c>
      <c r="CG182" s="18">
        <f>IF(AO182="","",--(AO182='Codebook'!$F$34))</f>
        <v>0</v>
      </c>
      <c r="CH182" s="18">
        <f>IF(AP182="","",--(AP182='Codebook'!$F$35))</f>
        <v>1</v>
      </c>
      <c r="CI182" s="18">
        <f>IF(AQ182="","",--(AQ182='Codebook'!$F$36))</f>
        <v>1</v>
      </c>
      <c r="CJ182" s="18">
        <f>IF(AR182="","",--(AR182='Codebook'!$F$37))</f>
        <v>1</v>
      </c>
      <c r="CK182" s="18">
        <f>IF(AS182="","",--(AS182='Codebook'!$F$38))</f>
        <v>1</v>
      </c>
      <c r="CL182" s="18">
        <f>IF(AT182="","",--(AT182='Codebook'!$F$39))</f>
        <v>1</v>
      </c>
      <c r="CM182" s="18">
        <f>IF(AU182="","",--(AU182='Codebook'!$F$40))</f>
        <v>0</v>
      </c>
      <c r="CN182" s="18">
        <f>IF(AV182="","",--(AV182='Codebook'!$F$41))</f>
        <v>0</v>
      </c>
      <c r="CO182" s="18">
        <f>IF(AW182="","",--(AW182='Codebook'!$F$42))</f>
        <v>0</v>
      </c>
      <c r="CP182" s="18">
        <f>IF(AX182="","",--(AX182='Codebook'!$F$43))</f>
        <v>0</v>
      </c>
      <c r="CQ182" s="18">
        <f>IF(AY182="","",--(AY182='Codebook'!$F$44))</f>
        <v>0</v>
      </c>
      <c r="CR182" s="18">
        <f>IF(AZ182="","",--(AZ182='Codebook'!$F$45))</f>
        <v>0</v>
      </c>
    </row>
    <row r="183" spans="2:96" ht="24" customHeight="1">
      <c r="B183" s="18">
        <v>178</v>
      </c>
      <c r="C183" s="23">
        <v>46286.50223899305</v>
      </c>
      <c r="D183" s="21" t="s">
        <v>270</v>
      </c>
      <c r="E183" s="21" t="s">
        <v>194</v>
      </c>
      <c r="F183" s="21" t="s">
        <v>212</v>
      </c>
      <c r="G183" s="17" t="s">
        <v>202</v>
      </c>
      <c r="H183" s="21" t="s">
        <v>207</v>
      </c>
      <c r="I183" s="18">
        <f>SUM(BL183:BU183)</f>
        <v>6</v>
      </c>
      <c r="J183" s="18">
        <f>IF(COUNT(BV183:CD183)=9,SUM(BV183:CD183),"")</f>
        <v>4</v>
      </c>
      <c r="K183" s="18">
        <f>SUM(BL183:CD183)</f>
        <v>10</v>
      </c>
      <c r="L183" s="18">
        <f>--(K183&gt;='Codebook'!$C$8)</f>
        <v>0</v>
      </c>
      <c r="M183" s="18">
        <f>--(COUNT(BL183:CD183)=19)</f>
        <v>1</v>
      </c>
      <c r="N183" s="18">
        <f>SUM(CE183:CL183)</f>
        <v>7</v>
      </c>
      <c r="O183" s="18">
        <f>SUM(CM183:CR183)</f>
        <v>4</v>
      </c>
      <c r="P183" s="18">
        <f>N183+O183</f>
        <v>11</v>
      </c>
      <c r="Q183" s="21" t="s">
        <v>198</v>
      </c>
      <c r="R183" s="17" t="s">
        <v>155</v>
      </c>
      <c r="S183" s="18">
        <f>--OR(Overview!$B$6="All",E183=Overview!$B$6)*--OR(Overview!$F$6="All",F183=Overview!$F$6)*--OR(Overview!$J$6="All",G183=Overview!$J$6)*--OR(Overview!$N$6="All",H183=Overview!$N$6)</f>
        <v>1</v>
      </c>
      <c r="T183" s="21" t="s">
        <v>22</v>
      </c>
      <c r="U183" s="21" t="s">
        <v>198</v>
      </c>
      <c r="V183" s="21" t="s">
        <v>22</v>
      </c>
      <c r="W183" s="21" t="s">
        <v>22</v>
      </c>
      <c r="X183" s="21" t="s">
        <v>22</v>
      </c>
      <c r="Y183" s="21" t="s">
        <v>198</v>
      </c>
      <c r="Z183" s="21" t="s">
        <v>22</v>
      </c>
      <c r="AA183" s="21" t="s">
        <v>22</v>
      </c>
      <c r="AB183" s="21" t="s">
        <v>198</v>
      </c>
      <c r="AC183" s="21" t="s">
        <v>22</v>
      </c>
      <c r="AD183" s="21" t="s">
        <v>22</v>
      </c>
      <c r="AE183" s="21" t="s">
        <v>198</v>
      </c>
      <c r="AF183" s="21" t="s">
        <v>26</v>
      </c>
      <c r="AG183" s="21" t="s">
        <v>198</v>
      </c>
      <c r="AH183" s="21" t="s">
        <v>22</v>
      </c>
      <c r="AI183" s="21" t="s">
        <v>22</v>
      </c>
      <c r="AJ183" s="21" t="s">
        <v>22</v>
      </c>
      <c r="AK183" s="21" t="s">
        <v>198</v>
      </c>
      <c r="AL183" s="21" t="s">
        <v>26</v>
      </c>
      <c r="AM183" s="21" t="s">
        <v>198</v>
      </c>
      <c r="AN183" s="21" t="s">
        <v>83</v>
      </c>
      <c r="AO183" s="21" t="s">
        <v>83</v>
      </c>
      <c r="AP183" s="21" t="s">
        <v>83</v>
      </c>
      <c r="AQ183" s="21" t="s">
        <v>83</v>
      </c>
      <c r="AR183" s="21" t="s">
        <v>83</v>
      </c>
      <c r="AS183" s="21" t="s">
        <v>83</v>
      </c>
      <c r="AT183" s="21" t="s">
        <v>83</v>
      </c>
      <c r="AU183" s="21" t="s">
        <v>109</v>
      </c>
      <c r="AV183" s="21" t="s">
        <v>109</v>
      </c>
      <c r="AW183" s="21" t="s">
        <v>198</v>
      </c>
      <c r="AX183" s="21" t="s">
        <v>109</v>
      </c>
      <c r="AY183" s="21" t="s">
        <v>198</v>
      </c>
      <c r="AZ183" s="21" t="s">
        <v>109</v>
      </c>
      <c r="BA183" s="17" t="s">
        <v>264</v>
      </c>
      <c r="BB183" s="17" t="s">
        <v>219</v>
      </c>
      <c r="BC183" s="18">
        <f>--ISNUMBER(SEARCH("Radio or television",BA183))</f>
        <v>1</v>
      </c>
      <c r="BD183" s="18">
        <f>--ISNUMBER(SEARCH("Newspapers or print media",BA183))</f>
        <v>0</v>
      </c>
      <c r="BE183" s="18">
        <f>--ISNUMBER(SEARCH("Social media (e.g. Facebook, WhatsApp, YouTube, X/Twitter)",BA183))</f>
        <v>1</v>
      </c>
      <c r="BF183" s="18">
        <f>--ISNUMBER(SEARCH("Family members",BA183))</f>
        <v>1</v>
      </c>
      <c r="BG183" s="18">
        <f>--ISNUMBER(SEARCH("Friends or fellow students",BA183))</f>
        <v>1</v>
      </c>
      <c r="BH183" s="18">
        <f>--ISNUMBER(SEARCH("School coursework or lectures",BA183))</f>
        <v>0</v>
      </c>
      <c r="BI183" s="18">
        <f>--ISNUMBER(SEARCH("NHIMA outreach activities or NHIMA offices",BA183))</f>
        <v>0</v>
      </c>
      <c r="BJ183" s="18">
        <f>--ISNUMBER(SEARCH("Health facility staff",BA183))</f>
        <v>0</v>
      </c>
      <c r="BK183" s="18">
        <f>--ISNUMBER(SEARCH("not received information",BA183))</f>
        <v>0</v>
      </c>
      <c r="BL183" s="18">
        <f>IF(T183="","",--(T183='Codebook'!$F$13))</f>
        <v>1</v>
      </c>
      <c r="BM183" s="18">
        <f>IF(U183="","",--(U183='Codebook'!$F$14))</f>
        <v>0</v>
      </c>
      <c r="BN183" s="18">
        <f>IF(V183="","",--(V183='Codebook'!$F$15))</f>
        <v>0</v>
      </c>
      <c r="BO183" s="18">
        <f>IF(W183="","",--(W183='Codebook'!$F$16))</f>
        <v>1</v>
      </c>
      <c r="BP183" s="18">
        <f>IF(X183="","",--(X183='Codebook'!$F$17))</f>
        <v>1</v>
      </c>
      <c r="BQ183" s="18">
        <f>IF(Y183="","",--(Y183='Codebook'!$F$18))</f>
        <v>0</v>
      </c>
      <c r="BR183" s="18">
        <f>IF(Z183="","",--(Z183='Codebook'!$F$19))</f>
        <v>1</v>
      </c>
      <c r="BS183" s="18">
        <f>IF(AA183="","",--(AA183='Codebook'!$F$20))</f>
        <v>1</v>
      </c>
      <c r="BT183" s="18">
        <f>IF(AB183="","",--(AB183='Codebook'!$F$21))</f>
        <v>0</v>
      </c>
      <c r="BU183" s="18">
        <f>IF(AC183="","",--(AC183='Codebook'!$F$22))</f>
        <v>1</v>
      </c>
      <c r="BV183" s="18">
        <f>IF(AD183="","",--(AD183='Codebook'!$F$23))</f>
        <v>1</v>
      </c>
      <c r="BW183" s="18">
        <f>IF(AE183="","",--(AE183='Codebook'!$F$24))</f>
        <v>0</v>
      </c>
      <c r="BX183" s="18">
        <f>IF(AF183="","",--(AF183='Codebook'!$F$25))</f>
        <v>1</v>
      </c>
      <c r="BY183" s="18">
        <f>IF(AG183="","",--(AG183='Codebook'!$F$26))</f>
        <v>0</v>
      </c>
      <c r="BZ183" s="18">
        <f>IF(AH183="","",--(AH183='Codebook'!$F$27))</f>
        <v>1</v>
      </c>
      <c r="CA183" s="18">
        <f>IF(AI183="","",--(AI183='Codebook'!$F$28))</f>
        <v>0</v>
      </c>
      <c r="CB183" s="18">
        <f>IF(AJ183="","",--(AJ183='Codebook'!$F$29))</f>
        <v>0</v>
      </c>
      <c r="CC183" s="18">
        <f>IF(AK183="","",--(AK183='Codebook'!$F$30))</f>
        <v>0</v>
      </c>
      <c r="CD183" s="18">
        <f>IF(AL183="","",--(AL183='Codebook'!$F$31))</f>
        <v>1</v>
      </c>
      <c r="CE183" s="18">
        <f>IF(AM183="","",--(AM183='Codebook'!$F$32))</f>
        <v>0</v>
      </c>
      <c r="CF183" s="18">
        <f>IF(AN183="","",--(AN183='Codebook'!$F$33))</f>
        <v>1</v>
      </c>
      <c r="CG183" s="18">
        <f>IF(AO183="","",--(AO183='Codebook'!$F$34))</f>
        <v>1</v>
      </c>
      <c r="CH183" s="18">
        <f>IF(AP183="","",--(AP183='Codebook'!$F$35))</f>
        <v>1</v>
      </c>
      <c r="CI183" s="18">
        <f>IF(AQ183="","",--(AQ183='Codebook'!$F$36))</f>
        <v>1</v>
      </c>
      <c r="CJ183" s="18">
        <f>IF(AR183="","",--(AR183='Codebook'!$F$37))</f>
        <v>1</v>
      </c>
      <c r="CK183" s="18">
        <f>IF(AS183="","",--(AS183='Codebook'!$F$38))</f>
        <v>1</v>
      </c>
      <c r="CL183" s="18">
        <f>IF(AT183="","",--(AT183='Codebook'!$F$39))</f>
        <v>1</v>
      </c>
      <c r="CM183" s="18">
        <f>IF(AU183="","",--(AU183='Codebook'!$F$40))</f>
        <v>1</v>
      </c>
      <c r="CN183" s="18">
        <f>IF(AV183="","",--(AV183='Codebook'!$F$41))</f>
        <v>1</v>
      </c>
      <c r="CO183" s="18">
        <f>IF(AW183="","",--(AW183='Codebook'!$F$42))</f>
        <v>0</v>
      </c>
      <c r="CP183" s="18">
        <f>IF(AX183="","",--(AX183='Codebook'!$F$43))</f>
        <v>1</v>
      </c>
      <c r="CQ183" s="18">
        <f>IF(AY183="","",--(AY183='Codebook'!$F$44))</f>
        <v>0</v>
      </c>
      <c r="CR183" s="18">
        <f>IF(AZ183="","",--(AZ183='Codebook'!$F$45))</f>
        <v>1</v>
      </c>
    </row>
    <row r="184" spans="2:96" ht="24" customHeight="1">
      <c r="B184" s="18">
        <v>179</v>
      </c>
      <c r="C184" s="23">
        <v>46286.50651996527</v>
      </c>
      <c r="D184" s="21" t="s">
        <v>268</v>
      </c>
      <c r="E184" s="21" t="s">
        <v>194</v>
      </c>
      <c r="F184" s="21" t="s">
        <v>195</v>
      </c>
      <c r="G184" s="17" t="s">
        <v>202</v>
      </c>
      <c r="H184" s="21" t="s">
        <v>207</v>
      </c>
      <c r="I184" s="18">
        <f>SUM(BL184:BU184)</f>
        <v>9</v>
      </c>
      <c r="J184" s="18">
        <f>IF(COUNT(BV184:CD184)=9,SUM(BV184:CD184),"")</f>
        <v>5</v>
      </c>
      <c r="K184" s="18">
        <f>SUM(BL184:CD184)</f>
        <v>14</v>
      </c>
      <c r="L184" s="18">
        <f>--(K184&gt;='Codebook'!$C$8)</f>
        <v>1</v>
      </c>
      <c r="M184" s="18">
        <f>--(COUNT(BL184:CD184)=19)</f>
        <v>1</v>
      </c>
      <c r="N184" s="18">
        <f>SUM(CE184:CL184)</f>
        <v>8</v>
      </c>
      <c r="O184" s="18">
        <f>SUM(CM184:CR184)</f>
        <v>6</v>
      </c>
      <c r="P184" s="18">
        <f>N184+O184</f>
        <v>14</v>
      </c>
      <c r="Q184" s="21" t="s">
        <v>197</v>
      </c>
      <c r="R184" s="17" t="s">
        <v>158</v>
      </c>
      <c r="S184" s="18">
        <f>--OR(Overview!$B$6="All",E184=Overview!$B$6)*--OR(Overview!$F$6="All",F184=Overview!$F$6)*--OR(Overview!$J$6="All",G184=Overview!$J$6)*--OR(Overview!$N$6="All",H184=Overview!$N$6)</f>
        <v>1</v>
      </c>
      <c r="T184" s="21" t="s">
        <v>22</v>
      </c>
      <c r="U184" s="21" t="s">
        <v>22</v>
      </c>
      <c r="V184" s="21" t="s">
        <v>26</v>
      </c>
      <c r="W184" s="21" t="s">
        <v>22</v>
      </c>
      <c r="X184" s="21" t="s">
        <v>22</v>
      </c>
      <c r="Y184" s="21" t="s">
        <v>26</v>
      </c>
      <c r="Z184" s="21" t="s">
        <v>22</v>
      </c>
      <c r="AA184" s="21" t="s">
        <v>22</v>
      </c>
      <c r="AB184" s="21" t="s">
        <v>26</v>
      </c>
      <c r="AC184" s="21" t="s">
        <v>22</v>
      </c>
      <c r="AD184" s="21" t="s">
        <v>22</v>
      </c>
      <c r="AE184" s="21" t="s">
        <v>198</v>
      </c>
      <c r="AF184" s="21" t="s">
        <v>26</v>
      </c>
      <c r="AG184" s="21" t="s">
        <v>26</v>
      </c>
      <c r="AH184" s="21" t="s">
        <v>26</v>
      </c>
      <c r="AI184" s="21" t="s">
        <v>26</v>
      </c>
      <c r="AJ184" s="21" t="s">
        <v>22</v>
      </c>
      <c r="AK184" s="21" t="s">
        <v>22</v>
      </c>
      <c r="AL184" s="21" t="s">
        <v>26</v>
      </c>
      <c r="AM184" s="21" t="s">
        <v>83</v>
      </c>
      <c r="AN184" s="21" t="s">
        <v>83</v>
      </c>
      <c r="AO184" s="21" t="s">
        <v>83</v>
      </c>
      <c r="AP184" s="21" t="s">
        <v>83</v>
      </c>
      <c r="AQ184" s="21" t="s">
        <v>83</v>
      </c>
      <c r="AR184" s="21" t="s">
        <v>83</v>
      </c>
      <c r="AS184" s="21" t="s">
        <v>83</v>
      </c>
      <c r="AT184" s="21" t="s">
        <v>83</v>
      </c>
      <c r="AU184" s="21" t="s">
        <v>109</v>
      </c>
      <c r="AV184" s="21" t="s">
        <v>109</v>
      </c>
      <c r="AW184" s="21" t="s">
        <v>109</v>
      </c>
      <c r="AX184" s="21" t="s">
        <v>109</v>
      </c>
      <c r="AY184" s="21" t="s">
        <v>109</v>
      </c>
      <c r="AZ184" s="21" t="s">
        <v>109</v>
      </c>
      <c r="BA184" s="17" t="s">
        <v>319</v>
      </c>
      <c r="BB184" s="17" t="s">
        <v>225</v>
      </c>
      <c r="BC184" s="18">
        <f>--ISNUMBER(SEARCH("Radio or television",BA184))</f>
        <v>1</v>
      </c>
      <c r="BD184" s="18">
        <f>--ISNUMBER(SEARCH("Newspapers or print media",BA184))</f>
        <v>1</v>
      </c>
      <c r="BE184" s="18">
        <f>--ISNUMBER(SEARCH("Social media (e.g. Facebook, WhatsApp, YouTube, X/Twitter)",BA184))</f>
        <v>1</v>
      </c>
      <c r="BF184" s="18">
        <f>--ISNUMBER(SEARCH("Family members",BA184))</f>
        <v>1</v>
      </c>
      <c r="BG184" s="18">
        <f>--ISNUMBER(SEARCH("Friends or fellow students",BA184))</f>
        <v>1</v>
      </c>
      <c r="BH184" s="18">
        <f>--ISNUMBER(SEARCH("School coursework or lectures",BA184))</f>
        <v>0</v>
      </c>
      <c r="BI184" s="18">
        <f>--ISNUMBER(SEARCH("NHIMA outreach activities or NHIMA offices",BA184))</f>
        <v>1</v>
      </c>
      <c r="BJ184" s="18">
        <f>--ISNUMBER(SEARCH("Health facility staff",BA184))</f>
        <v>1</v>
      </c>
      <c r="BK184" s="18">
        <f>--ISNUMBER(SEARCH("not received information",BA184))</f>
        <v>0</v>
      </c>
      <c r="BL184" s="18">
        <f>IF(T184="","",--(T184='Codebook'!$F$13))</f>
        <v>1</v>
      </c>
      <c r="BM184" s="18">
        <f>IF(U184="","",--(U184='Codebook'!$F$14))</f>
        <v>0</v>
      </c>
      <c r="BN184" s="18">
        <f>IF(V184="","",--(V184='Codebook'!$F$15))</f>
        <v>1</v>
      </c>
      <c r="BO184" s="18">
        <f>IF(W184="","",--(W184='Codebook'!$F$16))</f>
        <v>1</v>
      </c>
      <c r="BP184" s="18">
        <f>IF(X184="","",--(X184='Codebook'!$F$17))</f>
        <v>1</v>
      </c>
      <c r="BQ184" s="18">
        <f>IF(Y184="","",--(Y184='Codebook'!$F$18))</f>
        <v>1</v>
      </c>
      <c r="BR184" s="18">
        <f>IF(Z184="","",--(Z184='Codebook'!$F$19))</f>
        <v>1</v>
      </c>
      <c r="BS184" s="18">
        <f>IF(AA184="","",--(AA184='Codebook'!$F$20))</f>
        <v>1</v>
      </c>
      <c r="BT184" s="18">
        <f>IF(AB184="","",--(AB184='Codebook'!$F$21))</f>
        <v>1</v>
      </c>
      <c r="BU184" s="18">
        <f>IF(AC184="","",--(AC184='Codebook'!$F$22))</f>
        <v>1</v>
      </c>
      <c r="BV184" s="18">
        <f>IF(AD184="","",--(AD184='Codebook'!$F$23))</f>
        <v>1</v>
      </c>
      <c r="BW184" s="18">
        <f>IF(AE184="","",--(AE184='Codebook'!$F$24))</f>
        <v>0</v>
      </c>
      <c r="BX184" s="18">
        <f>IF(AF184="","",--(AF184='Codebook'!$F$25))</f>
        <v>1</v>
      </c>
      <c r="BY184" s="18">
        <f>IF(AG184="","",--(AG184='Codebook'!$F$26))</f>
        <v>0</v>
      </c>
      <c r="BZ184" s="18">
        <f>IF(AH184="","",--(AH184='Codebook'!$F$27))</f>
        <v>0</v>
      </c>
      <c r="CA184" s="18">
        <f>IF(AI184="","",--(AI184='Codebook'!$F$28))</f>
        <v>1</v>
      </c>
      <c r="CB184" s="18">
        <f>IF(AJ184="","",--(AJ184='Codebook'!$F$29))</f>
        <v>0</v>
      </c>
      <c r="CC184" s="18">
        <f>IF(AK184="","",--(AK184='Codebook'!$F$30))</f>
        <v>1</v>
      </c>
      <c r="CD184" s="18">
        <f>IF(AL184="","",--(AL184='Codebook'!$F$31))</f>
        <v>1</v>
      </c>
      <c r="CE184" s="18">
        <f>IF(AM184="","",--(AM184='Codebook'!$F$32))</f>
        <v>1</v>
      </c>
      <c r="CF184" s="18">
        <f>IF(AN184="","",--(AN184='Codebook'!$F$33))</f>
        <v>1</v>
      </c>
      <c r="CG184" s="18">
        <f>IF(AO184="","",--(AO184='Codebook'!$F$34))</f>
        <v>1</v>
      </c>
      <c r="CH184" s="18">
        <f>IF(AP184="","",--(AP184='Codebook'!$F$35))</f>
        <v>1</v>
      </c>
      <c r="CI184" s="18">
        <f>IF(AQ184="","",--(AQ184='Codebook'!$F$36))</f>
        <v>1</v>
      </c>
      <c r="CJ184" s="18">
        <f>IF(AR184="","",--(AR184='Codebook'!$F$37))</f>
        <v>1</v>
      </c>
      <c r="CK184" s="18">
        <f>IF(AS184="","",--(AS184='Codebook'!$F$38))</f>
        <v>1</v>
      </c>
      <c r="CL184" s="18">
        <f>IF(AT184="","",--(AT184='Codebook'!$F$39))</f>
        <v>1</v>
      </c>
      <c r="CM184" s="18">
        <f>IF(AU184="","",--(AU184='Codebook'!$F$40))</f>
        <v>1</v>
      </c>
      <c r="CN184" s="18">
        <f>IF(AV184="","",--(AV184='Codebook'!$F$41))</f>
        <v>1</v>
      </c>
      <c r="CO184" s="18">
        <f>IF(AW184="","",--(AW184='Codebook'!$F$42))</f>
        <v>1</v>
      </c>
      <c r="CP184" s="18">
        <f>IF(AX184="","",--(AX184='Codebook'!$F$43))</f>
        <v>1</v>
      </c>
      <c r="CQ184" s="18">
        <f>IF(AY184="","",--(AY184='Codebook'!$F$44))</f>
        <v>1</v>
      </c>
      <c r="CR184" s="18">
        <f>IF(AZ184="","",--(AZ184='Codebook'!$F$45))</f>
        <v>1</v>
      </c>
    </row>
    <row r="185" spans="2:96" ht="24" customHeight="1">
      <c r="B185" s="18">
        <v>180</v>
      </c>
      <c r="C185" s="23">
        <v>46286.50927799768</v>
      </c>
      <c r="D185" s="21" t="s">
        <v>268</v>
      </c>
      <c r="E185" s="21" t="s">
        <v>206</v>
      </c>
      <c r="F185" s="21" t="s">
        <v>201</v>
      </c>
      <c r="G185" s="17" t="s">
        <v>215</v>
      </c>
      <c r="H185" s="21" t="s">
        <v>197</v>
      </c>
      <c r="I185" s="18">
        <f>SUM(BL185:BU185)</f>
        <v>8</v>
      </c>
      <c r="J185" s="18">
        <f>IF(COUNT(BV185:CD185)=9,SUM(BV185:CD185),"")</f>
        <v>5</v>
      </c>
      <c r="K185" s="18">
        <f>SUM(BL185:CD185)</f>
        <v>13</v>
      </c>
      <c r="L185" s="18">
        <f>--(K185&gt;='Codebook'!$C$8)</f>
        <v>1</v>
      </c>
      <c r="M185" s="18">
        <f>--(COUNT(BL185:CD185)=19)</f>
        <v>1</v>
      </c>
      <c r="N185" s="18">
        <f>SUM(CE185:CL185)</f>
        <v>4</v>
      </c>
      <c r="O185" s="18">
        <f>SUM(CM185:CR185)</f>
        <v>2</v>
      </c>
      <c r="P185" s="18">
        <f>N185+O185</f>
        <v>6</v>
      </c>
      <c r="Q185" s="21" t="s">
        <v>197</v>
      </c>
      <c r="R185" s="17" t="s">
        <v>216</v>
      </c>
      <c r="S185" s="18">
        <f>--OR(Overview!$B$6="All",E185=Overview!$B$6)*--OR(Overview!$F$6="All",F185=Overview!$F$6)*--OR(Overview!$J$6="All",G185=Overview!$J$6)*--OR(Overview!$N$6="All",H185=Overview!$N$6)</f>
        <v>1</v>
      </c>
      <c r="T185" s="21" t="s">
        <v>22</v>
      </c>
      <c r="U185" s="21" t="s">
        <v>22</v>
      </c>
      <c r="V185" s="21" t="s">
        <v>26</v>
      </c>
      <c r="W185" s="21" t="s">
        <v>22</v>
      </c>
      <c r="X185" s="21" t="s">
        <v>22</v>
      </c>
      <c r="Y185" s="21" t="s">
        <v>26</v>
      </c>
      <c r="Z185" s="21" t="s">
        <v>22</v>
      </c>
      <c r="AA185" s="21" t="s">
        <v>22</v>
      </c>
      <c r="AB185" s="21" t="s">
        <v>198</v>
      </c>
      <c r="AC185" s="21" t="s">
        <v>22</v>
      </c>
      <c r="AD185" s="21" t="s">
        <v>22</v>
      </c>
      <c r="AE185" s="21" t="s">
        <v>198</v>
      </c>
      <c r="AF185" s="21" t="s">
        <v>26</v>
      </c>
      <c r="AG185" s="21" t="s">
        <v>198</v>
      </c>
      <c r="AH185" s="21" t="s">
        <v>198</v>
      </c>
      <c r="AI185" s="21" t="s">
        <v>26</v>
      </c>
      <c r="AJ185" s="21" t="s">
        <v>198</v>
      </c>
      <c r="AK185" s="21" t="s">
        <v>22</v>
      </c>
      <c r="AL185" s="21" t="s">
        <v>26</v>
      </c>
      <c r="AM185" s="21" t="s">
        <v>198</v>
      </c>
      <c r="AN185" s="21" t="s">
        <v>83</v>
      </c>
      <c r="AO185" s="21" t="s">
        <v>198</v>
      </c>
      <c r="AP185" s="21" t="s">
        <v>83</v>
      </c>
      <c r="AQ185" s="21" t="s">
        <v>83</v>
      </c>
      <c r="AR185" s="21" t="s">
        <v>83</v>
      </c>
      <c r="AS185" s="21" t="s">
        <v>198</v>
      </c>
      <c r="AT185" s="21" t="s">
        <v>198</v>
      </c>
      <c r="AU185" s="21" t="s">
        <v>109</v>
      </c>
      <c r="AV185" s="21" t="s">
        <v>198</v>
      </c>
      <c r="AW185" s="21" t="s">
        <v>198</v>
      </c>
      <c r="AX185" s="21" t="s">
        <v>109</v>
      </c>
      <c r="AY185" s="21" t="s">
        <v>198</v>
      </c>
      <c r="AZ185" s="21" t="s">
        <v>198</v>
      </c>
      <c r="BA185" s="17" t="s">
        <v>320</v>
      </c>
      <c r="BB185" s="17" t="s">
        <v>231</v>
      </c>
      <c r="BC185" s="18">
        <f>--ISNUMBER(SEARCH("Radio or television",BA185))</f>
        <v>0</v>
      </c>
      <c r="BD185" s="18">
        <f>--ISNUMBER(SEARCH("Newspapers or print media",BA185))</f>
        <v>0</v>
      </c>
      <c r="BE185" s="18">
        <f>--ISNUMBER(SEARCH("Social media (e.g. Facebook, WhatsApp, YouTube, X/Twitter)",BA185))</f>
        <v>1</v>
      </c>
      <c r="BF185" s="18">
        <f>--ISNUMBER(SEARCH("Family members",BA185))</f>
        <v>1</v>
      </c>
      <c r="BG185" s="18">
        <f>--ISNUMBER(SEARCH("Friends or fellow students",BA185))</f>
        <v>1</v>
      </c>
      <c r="BH185" s="18">
        <f>--ISNUMBER(SEARCH("School coursework or lectures",BA185))</f>
        <v>0</v>
      </c>
      <c r="BI185" s="18">
        <f>--ISNUMBER(SEARCH("NHIMA outreach activities or NHIMA offices",BA185))</f>
        <v>0</v>
      </c>
      <c r="BJ185" s="18">
        <f>--ISNUMBER(SEARCH("Health facility staff",BA185))</f>
        <v>1</v>
      </c>
      <c r="BK185" s="18">
        <f>--ISNUMBER(SEARCH("not received information",BA185))</f>
        <v>0</v>
      </c>
      <c r="BL185" s="18">
        <f>IF(T185="","",--(T185='Codebook'!$F$13))</f>
        <v>1</v>
      </c>
      <c r="BM185" s="18">
        <f>IF(U185="","",--(U185='Codebook'!$F$14))</f>
        <v>0</v>
      </c>
      <c r="BN185" s="18">
        <f>IF(V185="","",--(V185='Codebook'!$F$15))</f>
        <v>1</v>
      </c>
      <c r="BO185" s="18">
        <f>IF(W185="","",--(W185='Codebook'!$F$16))</f>
        <v>1</v>
      </c>
      <c r="BP185" s="18">
        <f>IF(X185="","",--(X185='Codebook'!$F$17))</f>
        <v>1</v>
      </c>
      <c r="BQ185" s="18">
        <f>IF(Y185="","",--(Y185='Codebook'!$F$18))</f>
        <v>1</v>
      </c>
      <c r="BR185" s="18">
        <f>IF(Z185="","",--(Z185='Codebook'!$F$19))</f>
        <v>1</v>
      </c>
      <c r="BS185" s="18">
        <f>IF(AA185="","",--(AA185='Codebook'!$F$20))</f>
        <v>1</v>
      </c>
      <c r="BT185" s="18">
        <f>IF(AB185="","",--(AB185='Codebook'!$F$21))</f>
        <v>0</v>
      </c>
      <c r="BU185" s="18">
        <f>IF(AC185="","",--(AC185='Codebook'!$F$22))</f>
        <v>1</v>
      </c>
      <c r="BV185" s="18">
        <f>IF(AD185="","",--(AD185='Codebook'!$F$23))</f>
        <v>1</v>
      </c>
      <c r="BW185" s="18">
        <f>IF(AE185="","",--(AE185='Codebook'!$F$24))</f>
        <v>0</v>
      </c>
      <c r="BX185" s="18">
        <f>IF(AF185="","",--(AF185='Codebook'!$F$25))</f>
        <v>1</v>
      </c>
      <c r="BY185" s="18">
        <f>IF(AG185="","",--(AG185='Codebook'!$F$26))</f>
        <v>0</v>
      </c>
      <c r="BZ185" s="18">
        <f>IF(AH185="","",--(AH185='Codebook'!$F$27))</f>
        <v>0</v>
      </c>
      <c r="CA185" s="18">
        <f>IF(AI185="","",--(AI185='Codebook'!$F$28))</f>
        <v>1</v>
      </c>
      <c r="CB185" s="18">
        <f>IF(AJ185="","",--(AJ185='Codebook'!$F$29))</f>
        <v>0</v>
      </c>
      <c r="CC185" s="18">
        <f>IF(AK185="","",--(AK185='Codebook'!$F$30))</f>
        <v>1</v>
      </c>
      <c r="CD185" s="18">
        <f>IF(AL185="","",--(AL185='Codebook'!$F$31))</f>
        <v>1</v>
      </c>
      <c r="CE185" s="18">
        <f>IF(AM185="","",--(AM185='Codebook'!$F$32))</f>
        <v>0</v>
      </c>
      <c r="CF185" s="18">
        <f>IF(AN185="","",--(AN185='Codebook'!$F$33))</f>
        <v>1</v>
      </c>
      <c r="CG185" s="18">
        <f>IF(AO185="","",--(AO185='Codebook'!$F$34))</f>
        <v>0</v>
      </c>
      <c r="CH185" s="18">
        <f>IF(AP185="","",--(AP185='Codebook'!$F$35))</f>
        <v>1</v>
      </c>
      <c r="CI185" s="18">
        <f>IF(AQ185="","",--(AQ185='Codebook'!$F$36))</f>
        <v>1</v>
      </c>
      <c r="CJ185" s="18">
        <f>IF(AR185="","",--(AR185='Codebook'!$F$37))</f>
        <v>1</v>
      </c>
      <c r="CK185" s="18">
        <f>IF(AS185="","",--(AS185='Codebook'!$F$38))</f>
        <v>0</v>
      </c>
      <c r="CL185" s="18">
        <f>IF(AT185="","",--(AT185='Codebook'!$F$39))</f>
        <v>0</v>
      </c>
      <c r="CM185" s="18">
        <f>IF(AU185="","",--(AU185='Codebook'!$F$40))</f>
        <v>1</v>
      </c>
      <c r="CN185" s="18">
        <f>IF(AV185="","",--(AV185='Codebook'!$F$41))</f>
        <v>0</v>
      </c>
      <c r="CO185" s="18">
        <f>IF(AW185="","",--(AW185='Codebook'!$F$42))</f>
        <v>0</v>
      </c>
      <c r="CP185" s="18">
        <f>IF(AX185="","",--(AX185='Codebook'!$F$43))</f>
        <v>1</v>
      </c>
      <c r="CQ185" s="18">
        <f>IF(AY185="","",--(AY185='Codebook'!$F$44))</f>
        <v>0</v>
      </c>
      <c r="CR185" s="18">
        <f>IF(AZ185="","",--(AZ185='Codebook'!$F$45))</f>
        <v>0</v>
      </c>
    </row>
    <row r="186" spans="2:96" ht="24" customHeight="1">
      <c r="B186" s="18">
        <v>181</v>
      </c>
      <c r="C186" s="23">
        <v>46286.51242712963</v>
      </c>
      <c r="D186" s="21" t="s">
        <v>275</v>
      </c>
      <c r="E186" s="21" t="s">
        <v>206</v>
      </c>
      <c r="F186" s="21" t="s">
        <v>226</v>
      </c>
      <c r="G186" s="17" t="s">
        <v>202</v>
      </c>
      <c r="H186" s="21" t="s">
        <v>197</v>
      </c>
      <c r="I186" s="18">
        <f>SUM(BL186:BU186)</f>
        <v>8</v>
      </c>
      <c r="J186" s="18">
        <f>IF(COUNT(BV186:CD186)=9,SUM(BV186:CD186),"")</f>
        <v>7</v>
      </c>
      <c r="K186" s="18">
        <f>SUM(BL186:CD186)</f>
        <v>15</v>
      </c>
      <c r="L186" s="18">
        <f>--(K186&gt;='Codebook'!$C$8)</f>
        <v>1</v>
      </c>
      <c r="M186" s="18">
        <f>--(COUNT(BL186:CD186)=19)</f>
        <v>1</v>
      </c>
      <c r="N186" s="18">
        <f>SUM(CE186:CL186)</f>
        <v>8</v>
      </c>
      <c r="O186" s="18">
        <f>SUM(CM186:CR186)</f>
        <v>6</v>
      </c>
      <c r="P186" s="18">
        <f>N186+O186</f>
        <v>14</v>
      </c>
      <c r="Q186" s="21" t="s">
        <v>197</v>
      </c>
      <c r="R186" s="17" t="s">
        <v>158</v>
      </c>
      <c r="S186" s="18">
        <f>--OR(Overview!$B$6="All",E186=Overview!$B$6)*--OR(Overview!$F$6="All",F186=Overview!$F$6)*--OR(Overview!$J$6="All",G186=Overview!$J$6)*--OR(Overview!$N$6="All",H186=Overview!$N$6)</f>
        <v>1</v>
      </c>
      <c r="T186" s="21" t="s">
        <v>22</v>
      </c>
      <c r="U186" s="21" t="s">
        <v>22</v>
      </c>
      <c r="V186" s="21" t="s">
        <v>26</v>
      </c>
      <c r="W186" s="21" t="s">
        <v>22</v>
      </c>
      <c r="X186" s="21" t="s">
        <v>22</v>
      </c>
      <c r="Y186" s="21" t="s">
        <v>26</v>
      </c>
      <c r="Z186" s="21" t="s">
        <v>22</v>
      </c>
      <c r="AA186" s="21" t="s">
        <v>26</v>
      </c>
      <c r="AB186" s="21" t="s">
        <v>26</v>
      </c>
      <c r="AC186" s="21" t="s">
        <v>22</v>
      </c>
      <c r="AD186" s="21" t="s">
        <v>22</v>
      </c>
      <c r="AE186" s="21" t="s">
        <v>22</v>
      </c>
      <c r="AF186" s="21" t="s">
        <v>26</v>
      </c>
      <c r="AG186" s="21" t="s">
        <v>26</v>
      </c>
      <c r="AH186" s="21" t="s">
        <v>26</v>
      </c>
      <c r="AI186" s="21" t="s">
        <v>26</v>
      </c>
      <c r="AJ186" s="21" t="s">
        <v>26</v>
      </c>
      <c r="AK186" s="21" t="s">
        <v>22</v>
      </c>
      <c r="AL186" s="21" t="s">
        <v>26</v>
      </c>
      <c r="AM186" s="21" t="s">
        <v>83</v>
      </c>
      <c r="AN186" s="21" t="s">
        <v>83</v>
      </c>
      <c r="AO186" s="21" t="s">
        <v>83</v>
      </c>
      <c r="AP186" s="21" t="s">
        <v>83</v>
      </c>
      <c r="AQ186" s="21" t="s">
        <v>83</v>
      </c>
      <c r="AR186" s="21" t="s">
        <v>83</v>
      </c>
      <c r="AS186" s="21" t="s">
        <v>83</v>
      </c>
      <c r="AT186" s="21" t="s">
        <v>83</v>
      </c>
      <c r="AU186" s="21" t="s">
        <v>109</v>
      </c>
      <c r="AV186" s="21" t="s">
        <v>109</v>
      </c>
      <c r="AW186" s="21" t="s">
        <v>109</v>
      </c>
      <c r="AX186" s="21" t="s">
        <v>109</v>
      </c>
      <c r="AY186" s="21" t="s">
        <v>109</v>
      </c>
      <c r="AZ186" s="21" t="s">
        <v>109</v>
      </c>
      <c r="BA186" s="17" t="s">
        <v>321</v>
      </c>
      <c r="BB186" s="17" t="s">
        <v>225</v>
      </c>
      <c r="BC186" s="18">
        <f>--ISNUMBER(SEARCH("Radio or television",BA186))</f>
        <v>1</v>
      </c>
      <c r="BD186" s="18">
        <f>--ISNUMBER(SEARCH("Newspapers or print media",BA186))</f>
        <v>0</v>
      </c>
      <c r="BE186" s="18">
        <f>--ISNUMBER(SEARCH("Social media (e.g. Facebook, WhatsApp, YouTube, X/Twitter)",BA186))</f>
        <v>1</v>
      </c>
      <c r="BF186" s="18">
        <f>--ISNUMBER(SEARCH("Family members",BA186))</f>
        <v>0</v>
      </c>
      <c r="BG186" s="18">
        <f>--ISNUMBER(SEARCH("Friends or fellow students",BA186))</f>
        <v>0</v>
      </c>
      <c r="BH186" s="18">
        <f>--ISNUMBER(SEARCH("School coursework or lectures",BA186))</f>
        <v>0</v>
      </c>
      <c r="BI186" s="18">
        <f>--ISNUMBER(SEARCH("NHIMA outreach activities or NHIMA offices",BA186))</f>
        <v>1</v>
      </c>
      <c r="BJ186" s="18">
        <f>--ISNUMBER(SEARCH("Health facility staff",BA186))</f>
        <v>1</v>
      </c>
      <c r="BK186" s="18">
        <f>--ISNUMBER(SEARCH("not received information",BA186))</f>
        <v>0</v>
      </c>
      <c r="BL186" s="18">
        <f>IF(T186="","",--(T186='Codebook'!$F$13))</f>
        <v>1</v>
      </c>
      <c r="BM186" s="18">
        <f>IF(U186="","",--(U186='Codebook'!$F$14))</f>
        <v>0</v>
      </c>
      <c r="BN186" s="18">
        <f>IF(V186="","",--(V186='Codebook'!$F$15))</f>
        <v>1</v>
      </c>
      <c r="BO186" s="18">
        <f>IF(W186="","",--(W186='Codebook'!$F$16))</f>
        <v>1</v>
      </c>
      <c r="BP186" s="18">
        <f>IF(X186="","",--(X186='Codebook'!$F$17))</f>
        <v>1</v>
      </c>
      <c r="BQ186" s="18">
        <f>IF(Y186="","",--(Y186='Codebook'!$F$18))</f>
        <v>1</v>
      </c>
      <c r="BR186" s="18">
        <f>IF(Z186="","",--(Z186='Codebook'!$F$19))</f>
        <v>1</v>
      </c>
      <c r="BS186" s="18">
        <f>IF(AA186="","",--(AA186='Codebook'!$F$20))</f>
        <v>0</v>
      </c>
      <c r="BT186" s="18">
        <f>IF(AB186="","",--(AB186='Codebook'!$F$21))</f>
        <v>1</v>
      </c>
      <c r="BU186" s="18">
        <f>IF(AC186="","",--(AC186='Codebook'!$F$22))</f>
        <v>1</v>
      </c>
      <c r="BV186" s="18">
        <f>IF(AD186="","",--(AD186='Codebook'!$F$23))</f>
        <v>1</v>
      </c>
      <c r="BW186" s="18">
        <f>IF(AE186="","",--(AE186='Codebook'!$F$24))</f>
        <v>1</v>
      </c>
      <c r="BX186" s="18">
        <f>IF(AF186="","",--(AF186='Codebook'!$F$25))</f>
        <v>1</v>
      </c>
      <c r="BY186" s="18">
        <f>IF(AG186="","",--(AG186='Codebook'!$F$26))</f>
        <v>0</v>
      </c>
      <c r="BZ186" s="18">
        <f>IF(AH186="","",--(AH186='Codebook'!$F$27))</f>
        <v>0</v>
      </c>
      <c r="CA186" s="18">
        <f>IF(AI186="","",--(AI186='Codebook'!$F$28))</f>
        <v>1</v>
      </c>
      <c r="CB186" s="18">
        <f>IF(AJ186="","",--(AJ186='Codebook'!$F$29))</f>
        <v>1</v>
      </c>
      <c r="CC186" s="18">
        <f>IF(AK186="","",--(AK186='Codebook'!$F$30))</f>
        <v>1</v>
      </c>
      <c r="CD186" s="18">
        <f>IF(AL186="","",--(AL186='Codebook'!$F$31))</f>
        <v>1</v>
      </c>
      <c r="CE186" s="18">
        <f>IF(AM186="","",--(AM186='Codebook'!$F$32))</f>
        <v>1</v>
      </c>
      <c r="CF186" s="18">
        <f>IF(AN186="","",--(AN186='Codebook'!$F$33))</f>
        <v>1</v>
      </c>
      <c r="CG186" s="18">
        <f>IF(AO186="","",--(AO186='Codebook'!$F$34))</f>
        <v>1</v>
      </c>
      <c r="CH186" s="18">
        <f>IF(AP186="","",--(AP186='Codebook'!$F$35))</f>
        <v>1</v>
      </c>
      <c r="CI186" s="18">
        <f>IF(AQ186="","",--(AQ186='Codebook'!$F$36))</f>
        <v>1</v>
      </c>
      <c r="CJ186" s="18">
        <f>IF(AR186="","",--(AR186='Codebook'!$F$37))</f>
        <v>1</v>
      </c>
      <c r="CK186" s="18">
        <f>IF(AS186="","",--(AS186='Codebook'!$F$38))</f>
        <v>1</v>
      </c>
      <c r="CL186" s="18">
        <f>IF(AT186="","",--(AT186='Codebook'!$F$39))</f>
        <v>1</v>
      </c>
      <c r="CM186" s="18">
        <f>IF(AU186="","",--(AU186='Codebook'!$F$40))</f>
        <v>1</v>
      </c>
      <c r="CN186" s="18">
        <f>IF(AV186="","",--(AV186='Codebook'!$F$41))</f>
        <v>1</v>
      </c>
      <c r="CO186" s="18">
        <f>IF(AW186="","",--(AW186='Codebook'!$F$42))</f>
        <v>1</v>
      </c>
      <c r="CP186" s="18">
        <f>IF(AX186="","",--(AX186='Codebook'!$F$43))</f>
        <v>1</v>
      </c>
      <c r="CQ186" s="18">
        <f>IF(AY186="","",--(AY186='Codebook'!$F$44))</f>
        <v>1</v>
      </c>
      <c r="CR186" s="18">
        <f>IF(AZ186="","",--(AZ186='Codebook'!$F$45))</f>
        <v>1</v>
      </c>
    </row>
    <row r="187" spans="2:96" ht="24" customHeight="1">
      <c r="B187" s="18">
        <v>182</v>
      </c>
      <c r="C187" s="23">
        <v>46286.51454113426</v>
      </c>
      <c r="D187" s="21" t="s">
        <v>268</v>
      </c>
      <c r="E187" s="21" t="s">
        <v>206</v>
      </c>
      <c r="F187" s="21" t="s">
        <v>226</v>
      </c>
      <c r="G187" s="17" t="s">
        <v>224</v>
      </c>
      <c r="H187" s="21" t="s">
        <v>197</v>
      </c>
      <c r="I187" s="18">
        <f>SUM(BL187:BU187)</f>
        <v>9</v>
      </c>
      <c r="J187" s="18">
        <f>IF(COUNT(BV187:CD187)=9,SUM(BV187:CD187),"")</f>
        <v>3</v>
      </c>
      <c r="K187" s="18">
        <f>SUM(BL187:CD187)</f>
        <v>12</v>
      </c>
      <c r="L187" s="18">
        <f>--(K187&gt;='Codebook'!$C$8)</f>
        <v>1</v>
      </c>
      <c r="M187" s="18">
        <f>--(COUNT(BL187:CD187)=19)</f>
        <v>1</v>
      </c>
      <c r="N187" s="18">
        <f>SUM(CE187:CL187)</f>
        <v>3</v>
      </c>
      <c r="O187" s="18">
        <f>SUM(CM187:CR187)</f>
        <v>5</v>
      </c>
      <c r="P187" s="18">
        <f>N187+O187</f>
        <v>8</v>
      </c>
      <c r="Q187" s="21" t="s">
        <v>207</v>
      </c>
      <c r="R187" s="17" t="s">
        <v>156</v>
      </c>
      <c r="S187" s="18">
        <f>--OR(Overview!$B$6="All",E187=Overview!$B$6)*--OR(Overview!$F$6="All",F187=Overview!$F$6)*--OR(Overview!$J$6="All",G187=Overview!$J$6)*--OR(Overview!$N$6="All",H187=Overview!$N$6)</f>
        <v>1</v>
      </c>
      <c r="T187" s="21" t="s">
        <v>22</v>
      </c>
      <c r="U187" s="21" t="s">
        <v>22</v>
      </c>
      <c r="V187" s="21" t="s">
        <v>26</v>
      </c>
      <c r="W187" s="21" t="s">
        <v>22</v>
      </c>
      <c r="X187" s="21" t="s">
        <v>22</v>
      </c>
      <c r="Y187" s="21" t="s">
        <v>26</v>
      </c>
      <c r="Z187" s="21" t="s">
        <v>22</v>
      </c>
      <c r="AA187" s="21" t="s">
        <v>22</v>
      </c>
      <c r="AB187" s="21" t="s">
        <v>26</v>
      </c>
      <c r="AC187" s="21" t="s">
        <v>22</v>
      </c>
      <c r="AD187" s="21" t="s">
        <v>22</v>
      </c>
      <c r="AE187" s="21" t="s">
        <v>198</v>
      </c>
      <c r="AF187" s="21" t="s">
        <v>26</v>
      </c>
      <c r="AG187" s="21" t="s">
        <v>198</v>
      </c>
      <c r="AH187" s="21" t="s">
        <v>198</v>
      </c>
      <c r="AI187" s="21" t="s">
        <v>198</v>
      </c>
      <c r="AJ187" s="21" t="s">
        <v>198</v>
      </c>
      <c r="AK187" s="21" t="s">
        <v>198</v>
      </c>
      <c r="AL187" s="21" t="s">
        <v>26</v>
      </c>
      <c r="AM187" s="21" t="s">
        <v>109</v>
      </c>
      <c r="AN187" s="21" t="s">
        <v>83</v>
      </c>
      <c r="AO187" s="21" t="s">
        <v>109</v>
      </c>
      <c r="AP187" s="21" t="s">
        <v>109</v>
      </c>
      <c r="AQ187" s="21" t="s">
        <v>83</v>
      </c>
      <c r="AR187" s="21" t="s">
        <v>83</v>
      </c>
      <c r="AS187" s="21" t="s">
        <v>109</v>
      </c>
      <c r="AT187" s="21" t="s">
        <v>198</v>
      </c>
      <c r="AU187" s="21" t="s">
        <v>198</v>
      </c>
      <c r="AV187" s="21" t="s">
        <v>109</v>
      </c>
      <c r="AW187" s="21" t="s">
        <v>109</v>
      </c>
      <c r="AX187" s="21" t="s">
        <v>109</v>
      </c>
      <c r="AY187" s="21" t="s">
        <v>109</v>
      </c>
      <c r="AZ187" s="21" t="s">
        <v>109</v>
      </c>
      <c r="BA187" s="17" t="s">
        <v>322</v>
      </c>
      <c r="BB187" s="17" t="s">
        <v>313</v>
      </c>
      <c r="BC187" s="18">
        <f>--ISNUMBER(SEARCH("Radio or television",BA187))</f>
        <v>0</v>
      </c>
      <c r="BD187" s="18">
        <f>--ISNUMBER(SEARCH("Newspapers or print media",BA187))</f>
        <v>0</v>
      </c>
      <c r="BE187" s="18">
        <f>--ISNUMBER(SEARCH("Social media (e.g. Facebook, WhatsApp, YouTube, X/Twitter)",BA187))</f>
        <v>1</v>
      </c>
      <c r="BF187" s="18">
        <f>--ISNUMBER(SEARCH("Family members",BA187))</f>
        <v>0</v>
      </c>
      <c r="BG187" s="18">
        <f>--ISNUMBER(SEARCH("Friends or fellow students",BA187))</f>
        <v>1</v>
      </c>
      <c r="BH187" s="18">
        <f>--ISNUMBER(SEARCH("School coursework or lectures",BA187))</f>
        <v>1</v>
      </c>
      <c r="BI187" s="18">
        <f>--ISNUMBER(SEARCH("NHIMA outreach activities or NHIMA offices",BA187))</f>
        <v>0</v>
      </c>
      <c r="BJ187" s="18">
        <f>--ISNUMBER(SEARCH("Health facility staff",BA187))</f>
        <v>1</v>
      </c>
      <c r="BK187" s="18">
        <f>--ISNUMBER(SEARCH("not received information",BA187))</f>
        <v>0</v>
      </c>
      <c r="BL187" s="18">
        <f>IF(T187="","",--(T187='Codebook'!$F$13))</f>
        <v>1</v>
      </c>
      <c r="BM187" s="18">
        <f>IF(U187="","",--(U187='Codebook'!$F$14))</f>
        <v>0</v>
      </c>
      <c r="BN187" s="18">
        <f>IF(V187="","",--(V187='Codebook'!$F$15))</f>
        <v>1</v>
      </c>
      <c r="BO187" s="18">
        <f>IF(W187="","",--(W187='Codebook'!$F$16))</f>
        <v>1</v>
      </c>
      <c r="BP187" s="18">
        <f>IF(X187="","",--(X187='Codebook'!$F$17))</f>
        <v>1</v>
      </c>
      <c r="BQ187" s="18">
        <f>IF(Y187="","",--(Y187='Codebook'!$F$18))</f>
        <v>1</v>
      </c>
      <c r="BR187" s="18">
        <f>IF(Z187="","",--(Z187='Codebook'!$F$19))</f>
        <v>1</v>
      </c>
      <c r="BS187" s="18">
        <f>IF(AA187="","",--(AA187='Codebook'!$F$20))</f>
        <v>1</v>
      </c>
      <c r="BT187" s="18">
        <f>IF(AB187="","",--(AB187='Codebook'!$F$21))</f>
        <v>1</v>
      </c>
      <c r="BU187" s="18">
        <f>IF(AC187="","",--(AC187='Codebook'!$F$22))</f>
        <v>1</v>
      </c>
      <c r="BV187" s="18">
        <f>IF(AD187="","",--(AD187='Codebook'!$F$23))</f>
        <v>1</v>
      </c>
      <c r="BW187" s="18">
        <f>IF(AE187="","",--(AE187='Codebook'!$F$24))</f>
        <v>0</v>
      </c>
      <c r="BX187" s="18">
        <f>IF(AF187="","",--(AF187='Codebook'!$F$25))</f>
        <v>1</v>
      </c>
      <c r="BY187" s="18">
        <f>IF(AG187="","",--(AG187='Codebook'!$F$26))</f>
        <v>0</v>
      </c>
      <c r="BZ187" s="18">
        <f>IF(AH187="","",--(AH187='Codebook'!$F$27))</f>
        <v>0</v>
      </c>
      <c r="CA187" s="18">
        <f>IF(AI187="","",--(AI187='Codebook'!$F$28))</f>
        <v>0</v>
      </c>
      <c r="CB187" s="18">
        <f>IF(AJ187="","",--(AJ187='Codebook'!$F$29))</f>
        <v>0</v>
      </c>
      <c r="CC187" s="18">
        <f>IF(AK187="","",--(AK187='Codebook'!$F$30))</f>
        <v>0</v>
      </c>
      <c r="CD187" s="18">
        <f>IF(AL187="","",--(AL187='Codebook'!$F$31))</f>
        <v>1</v>
      </c>
      <c r="CE187" s="18">
        <f>IF(AM187="","",--(AM187='Codebook'!$F$32))</f>
        <v>0</v>
      </c>
      <c r="CF187" s="18">
        <f>IF(AN187="","",--(AN187='Codebook'!$F$33))</f>
        <v>1</v>
      </c>
      <c r="CG187" s="18">
        <f>IF(AO187="","",--(AO187='Codebook'!$F$34))</f>
        <v>0</v>
      </c>
      <c r="CH187" s="18">
        <f>IF(AP187="","",--(AP187='Codebook'!$F$35))</f>
        <v>0</v>
      </c>
      <c r="CI187" s="18">
        <f>IF(AQ187="","",--(AQ187='Codebook'!$F$36))</f>
        <v>1</v>
      </c>
      <c r="CJ187" s="18">
        <f>IF(AR187="","",--(AR187='Codebook'!$F$37))</f>
        <v>1</v>
      </c>
      <c r="CK187" s="18">
        <f>IF(AS187="","",--(AS187='Codebook'!$F$38))</f>
        <v>0</v>
      </c>
      <c r="CL187" s="18">
        <f>IF(AT187="","",--(AT187='Codebook'!$F$39))</f>
        <v>0</v>
      </c>
      <c r="CM187" s="18">
        <f>IF(AU187="","",--(AU187='Codebook'!$F$40))</f>
        <v>0</v>
      </c>
      <c r="CN187" s="18">
        <f>IF(AV187="","",--(AV187='Codebook'!$F$41))</f>
        <v>1</v>
      </c>
      <c r="CO187" s="18">
        <f>IF(AW187="","",--(AW187='Codebook'!$F$42))</f>
        <v>1</v>
      </c>
      <c r="CP187" s="18">
        <f>IF(AX187="","",--(AX187='Codebook'!$F$43))</f>
        <v>1</v>
      </c>
      <c r="CQ187" s="18">
        <f>IF(AY187="","",--(AY187='Codebook'!$F$44))</f>
        <v>1</v>
      </c>
      <c r="CR187" s="18">
        <f>IF(AZ187="","",--(AZ187='Codebook'!$F$45))</f>
        <v>1</v>
      </c>
    </row>
    <row r="188" spans="2:96" ht="24" customHeight="1">
      <c r="B188" s="18">
        <v>183</v>
      </c>
      <c r="C188" s="23">
        <v>46286.52515966435</v>
      </c>
      <c r="D188" s="21" t="s">
        <v>275</v>
      </c>
      <c r="E188" s="21" t="s">
        <v>206</v>
      </c>
      <c r="F188" s="21" t="s">
        <v>195</v>
      </c>
      <c r="G188" s="17" t="s">
        <v>202</v>
      </c>
      <c r="H188" s="21" t="s">
        <v>207</v>
      </c>
      <c r="I188" s="18">
        <f>SUM(BL188:BU188)</f>
        <v>6</v>
      </c>
      <c r="J188" s="18">
        <f>IF(COUNT(BV188:CD188)=9,SUM(BV188:CD188),"")</f>
        <v>4</v>
      </c>
      <c r="K188" s="18">
        <f>SUM(BL188:CD188)</f>
        <v>10</v>
      </c>
      <c r="L188" s="18">
        <f>--(K188&gt;='Codebook'!$C$8)</f>
        <v>0</v>
      </c>
      <c r="M188" s="18">
        <f>--(COUNT(BL188:CD188)=19)</f>
        <v>1</v>
      </c>
      <c r="N188" s="18">
        <f>SUM(CE188:CL188)</f>
        <v>7</v>
      </c>
      <c r="O188" s="18">
        <f>SUM(CM188:CR188)</f>
        <v>1</v>
      </c>
      <c r="P188" s="18">
        <f>N188+O188</f>
        <v>8</v>
      </c>
      <c r="Q188" s="21" t="s">
        <v>198</v>
      </c>
      <c r="R188" s="17" t="s">
        <v>216</v>
      </c>
      <c r="S188" s="18">
        <f>--OR(Overview!$B$6="All",E188=Overview!$B$6)*--OR(Overview!$F$6="All",F188=Overview!$F$6)*--OR(Overview!$J$6="All",G188=Overview!$J$6)*--OR(Overview!$N$6="All",H188=Overview!$N$6)</f>
        <v>1</v>
      </c>
      <c r="T188" s="21" t="s">
        <v>22</v>
      </c>
      <c r="U188" s="21" t="s">
        <v>22</v>
      </c>
      <c r="V188" s="21" t="s">
        <v>22</v>
      </c>
      <c r="W188" s="21" t="s">
        <v>22</v>
      </c>
      <c r="X188" s="21" t="s">
        <v>22</v>
      </c>
      <c r="Y188" s="21" t="s">
        <v>22</v>
      </c>
      <c r="Z188" s="21" t="s">
        <v>22</v>
      </c>
      <c r="AA188" s="21" t="s">
        <v>22</v>
      </c>
      <c r="AB188" s="21" t="s">
        <v>26</v>
      </c>
      <c r="AC188" s="21" t="s">
        <v>198</v>
      </c>
      <c r="AD188" s="21" t="s">
        <v>22</v>
      </c>
      <c r="AE188" s="21" t="s">
        <v>22</v>
      </c>
      <c r="AF188" s="21" t="s">
        <v>22</v>
      </c>
      <c r="AG188" s="21" t="s">
        <v>26</v>
      </c>
      <c r="AH188" s="21" t="s">
        <v>22</v>
      </c>
      <c r="AI188" s="21" t="s">
        <v>22</v>
      </c>
      <c r="AJ188" s="21" t="s">
        <v>22</v>
      </c>
      <c r="AK188" s="21" t="s">
        <v>22</v>
      </c>
      <c r="AL188" s="21" t="s">
        <v>22</v>
      </c>
      <c r="AM188" s="21" t="s">
        <v>83</v>
      </c>
      <c r="AN188" s="21" t="s">
        <v>83</v>
      </c>
      <c r="AO188" s="21" t="s">
        <v>83</v>
      </c>
      <c r="AP188" s="21" t="s">
        <v>83</v>
      </c>
      <c r="AQ188" s="21" t="s">
        <v>83</v>
      </c>
      <c r="AR188" s="21" t="s">
        <v>198</v>
      </c>
      <c r="AS188" s="21" t="s">
        <v>83</v>
      </c>
      <c r="AT188" s="21" t="s">
        <v>83</v>
      </c>
      <c r="AU188" s="21" t="s">
        <v>83</v>
      </c>
      <c r="AV188" s="21" t="s">
        <v>109</v>
      </c>
      <c r="AW188" s="21" t="s">
        <v>198</v>
      </c>
      <c r="AX188" s="21" t="s">
        <v>83</v>
      </c>
      <c r="AY188" s="21" t="s">
        <v>83</v>
      </c>
      <c r="AZ188" s="21" t="s">
        <v>83</v>
      </c>
      <c r="BA188" s="17" t="s">
        <v>323</v>
      </c>
      <c r="BB188" s="17" t="s">
        <v>246</v>
      </c>
      <c r="BC188" s="18">
        <f>--ISNUMBER(SEARCH("Radio or television",BA188))</f>
        <v>1</v>
      </c>
      <c r="BD188" s="18">
        <f>--ISNUMBER(SEARCH("Newspapers or print media",BA188))</f>
        <v>0</v>
      </c>
      <c r="BE188" s="18">
        <f>--ISNUMBER(SEARCH("Social media (e.g. Facebook, WhatsApp, YouTube, X/Twitter)",BA188))</f>
        <v>1</v>
      </c>
      <c r="BF188" s="18">
        <f>--ISNUMBER(SEARCH("Family members",BA188))</f>
        <v>0</v>
      </c>
      <c r="BG188" s="18">
        <f>--ISNUMBER(SEARCH("Friends or fellow students",BA188))</f>
        <v>0</v>
      </c>
      <c r="BH188" s="18">
        <f>--ISNUMBER(SEARCH("School coursework or lectures",BA188))</f>
        <v>1</v>
      </c>
      <c r="BI188" s="18">
        <f>--ISNUMBER(SEARCH("NHIMA outreach activities or NHIMA offices",BA188))</f>
        <v>1</v>
      </c>
      <c r="BJ188" s="18">
        <f>--ISNUMBER(SEARCH("Health facility staff",BA188))</f>
        <v>0</v>
      </c>
      <c r="BK188" s="18">
        <f>--ISNUMBER(SEARCH("not received information",BA188))</f>
        <v>0</v>
      </c>
      <c r="BL188" s="18">
        <f>IF(T188="","",--(T188='Codebook'!$F$13))</f>
        <v>1</v>
      </c>
      <c r="BM188" s="18">
        <f>IF(U188="","",--(U188='Codebook'!$F$14))</f>
        <v>0</v>
      </c>
      <c r="BN188" s="18">
        <f>IF(V188="","",--(V188='Codebook'!$F$15))</f>
        <v>0</v>
      </c>
      <c r="BO188" s="18">
        <f>IF(W188="","",--(W188='Codebook'!$F$16))</f>
        <v>1</v>
      </c>
      <c r="BP188" s="18">
        <f>IF(X188="","",--(X188='Codebook'!$F$17))</f>
        <v>1</v>
      </c>
      <c r="BQ188" s="18">
        <f>IF(Y188="","",--(Y188='Codebook'!$F$18))</f>
        <v>0</v>
      </c>
      <c r="BR188" s="18">
        <f>IF(Z188="","",--(Z188='Codebook'!$F$19))</f>
        <v>1</v>
      </c>
      <c r="BS188" s="18">
        <f>IF(AA188="","",--(AA188='Codebook'!$F$20))</f>
        <v>1</v>
      </c>
      <c r="BT188" s="18">
        <f>IF(AB188="","",--(AB188='Codebook'!$F$21))</f>
        <v>1</v>
      </c>
      <c r="BU188" s="18">
        <f>IF(AC188="","",--(AC188='Codebook'!$F$22))</f>
        <v>0</v>
      </c>
      <c r="BV188" s="18">
        <f>IF(AD188="","",--(AD188='Codebook'!$F$23))</f>
        <v>1</v>
      </c>
      <c r="BW188" s="18">
        <f>IF(AE188="","",--(AE188='Codebook'!$F$24))</f>
        <v>1</v>
      </c>
      <c r="BX188" s="18">
        <f>IF(AF188="","",--(AF188='Codebook'!$F$25))</f>
        <v>0</v>
      </c>
      <c r="BY188" s="18">
        <f>IF(AG188="","",--(AG188='Codebook'!$F$26))</f>
        <v>0</v>
      </c>
      <c r="BZ188" s="18">
        <f>IF(AH188="","",--(AH188='Codebook'!$F$27))</f>
        <v>1</v>
      </c>
      <c r="CA188" s="18">
        <f>IF(AI188="","",--(AI188='Codebook'!$F$28))</f>
        <v>0</v>
      </c>
      <c r="CB188" s="18">
        <f>IF(AJ188="","",--(AJ188='Codebook'!$F$29))</f>
        <v>0</v>
      </c>
      <c r="CC188" s="18">
        <f>IF(AK188="","",--(AK188='Codebook'!$F$30))</f>
        <v>1</v>
      </c>
      <c r="CD188" s="18">
        <f>IF(AL188="","",--(AL188='Codebook'!$F$31))</f>
        <v>0</v>
      </c>
      <c r="CE188" s="18">
        <f>IF(AM188="","",--(AM188='Codebook'!$F$32))</f>
        <v>1</v>
      </c>
      <c r="CF188" s="18">
        <f>IF(AN188="","",--(AN188='Codebook'!$F$33))</f>
        <v>1</v>
      </c>
      <c r="CG188" s="18">
        <f>IF(AO188="","",--(AO188='Codebook'!$F$34))</f>
        <v>1</v>
      </c>
      <c r="CH188" s="18">
        <f>IF(AP188="","",--(AP188='Codebook'!$F$35))</f>
        <v>1</v>
      </c>
      <c r="CI188" s="18">
        <f>IF(AQ188="","",--(AQ188='Codebook'!$F$36))</f>
        <v>1</v>
      </c>
      <c r="CJ188" s="18">
        <f>IF(AR188="","",--(AR188='Codebook'!$F$37))</f>
        <v>0</v>
      </c>
      <c r="CK188" s="18">
        <f>IF(AS188="","",--(AS188='Codebook'!$F$38))</f>
        <v>1</v>
      </c>
      <c r="CL188" s="18">
        <f>IF(AT188="","",--(AT188='Codebook'!$F$39))</f>
        <v>1</v>
      </c>
      <c r="CM188" s="18">
        <f>IF(AU188="","",--(AU188='Codebook'!$F$40))</f>
        <v>0</v>
      </c>
      <c r="CN188" s="18">
        <f>IF(AV188="","",--(AV188='Codebook'!$F$41))</f>
        <v>1</v>
      </c>
      <c r="CO188" s="18">
        <f>IF(AW188="","",--(AW188='Codebook'!$F$42))</f>
        <v>0</v>
      </c>
      <c r="CP188" s="18">
        <f>IF(AX188="","",--(AX188='Codebook'!$F$43))</f>
        <v>0</v>
      </c>
      <c r="CQ188" s="18">
        <f>IF(AY188="","",--(AY188='Codebook'!$F$44))</f>
        <v>0</v>
      </c>
      <c r="CR188" s="18">
        <f>IF(AZ188="","",--(AZ188='Codebook'!$F$45))</f>
        <v>0</v>
      </c>
    </row>
    <row r="189" spans="2:96" ht="24" customHeight="1">
      <c r="B189" s="18">
        <v>184</v>
      </c>
      <c r="C189" s="23">
        <v>46286.52585736111</v>
      </c>
      <c r="D189" s="21" t="s">
        <v>275</v>
      </c>
      <c r="E189" s="21" t="s">
        <v>194</v>
      </c>
      <c r="F189" s="21" t="s">
        <v>201</v>
      </c>
      <c r="G189" s="17" t="s">
        <v>196</v>
      </c>
      <c r="H189" s="21" t="s">
        <v>197</v>
      </c>
      <c r="I189" s="18">
        <f>SUM(BL189:BU189)</f>
        <v>6</v>
      </c>
      <c r="J189" s="18">
        <f>IF(COUNT(BV189:CD189)=9,SUM(BV189:CD189),"")</f>
        <v>4</v>
      </c>
      <c r="K189" s="18">
        <f>SUM(BL189:CD189)</f>
        <v>10</v>
      </c>
      <c r="L189" s="18">
        <f>--(K189&gt;='Codebook'!$C$8)</f>
        <v>0</v>
      </c>
      <c r="M189" s="18">
        <f>--(COUNT(BL189:CD189)=19)</f>
        <v>1</v>
      </c>
      <c r="N189" s="18">
        <f>SUM(CE189:CL189)</f>
        <v>2</v>
      </c>
      <c r="O189" s="18">
        <f>SUM(CM189:CR189)</f>
        <v>1</v>
      </c>
      <c r="P189" s="18">
        <f>N189+O189</f>
        <v>3</v>
      </c>
      <c r="Q189" s="21" t="s">
        <v>198</v>
      </c>
      <c r="R189" s="17" t="s">
        <v>154</v>
      </c>
      <c r="S189" s="18">
        <f>--OR(Overview!$B$6="All",E189=Overview!$B$6)*--OR(Overview!$F$6="All",F189=Overview!$F$6)*--OR(Overview!$J$6="All",G189=Overview!$J$6)*--OR(Overview!$N$6="All",H189=Overview!$N$6)</f>
        <v>1</v>
      </c>
      <c r="T189" s="21" t="s">
        <v>22</v>
      </c>
      <c r="U189" s="21" t="s">
        <v>22</v>
      </c>
      <c r="V189" s="21" t="s">
        <v>22</v>
      </c>
      <c r="W189" s="21" t="s">
        <v>22</v>
      </c>
      <c r="X189" s="21" t="s">
        <v>22</v>
      </c>
      <c r="Y189" s="21" t="s">
        <v>22</v>
      </c>
      <c r="Z189" s="21" t="s">
        <v>22</v>
      </c>
      <c r="AA189" s="21" t="s">
        <v>22</v>
      </c>
      <c r="AB189" s="21" t="s">
        <v>22</v>
      </c>
      <c r="AC189" s="21" t="s">
        <v>22</v>
      </c>
      <c r="AD189" s="21" t="s">
        <v>22</v>
      </c>
      <c r="AE189" s="21" t="s">
        <v>22</v>
      </c>
      <c r="AF189" s="21" t="s">
        <v>22</v>
      </c>
      <c r="AG189" s="21" t="s">
        <v>22</v>
      </c>
      <c r="AH189" s="21" t="s">
        <v>22</v>
      </c>
      <c r="AI189" s="21" t="s">
        <v>22</v>
      </c>
      <c r="AJ189" s="21" t="s">
        <v>22</v>
      </c>
      <c r="AK189" s="21" t="s">
        <v>198</v>
      </c>
      <c r="AL189" s="21" t="s">
        <v>22</v>
      </c>
      <c r="AM189" s="21" t="s">
        <v>198</v>
      </c>
      <c r="AN189" s="21" t="s">
        <v>83</v>
      </c>
      <c r="AO189" s="21" t="s">
        <v>109</v>
      </c>
      <c r="AP189" s="21" t="s">
        <v>198</v>
      </c>
      <c r="AQ189" s="21" t="s">
        <v>83</v>
      </c>
      <c r="AR189" s="21" t="s">
        <v>198</v>
      </c>
      <c r="AS189" s="21" t="s">
        <v>198</v>
      </c>
      <c r="AT189" s="21" t="s">
        <v>198</v>
      </c>
      <c r="AU189" s="21" t="s">
        <v>198</v>
      </c>
      <c r="AV189" s="21" t="s">
        <v>198</v>
      </c>
      <c r="AW189" s="21" t="s">
        <v>109</v>
      </c>
      <c r="AX189" s="21" t="s">
        <v>198</v>
      </c>
      <c r="AY189" s="21" t="s">
        <v>198</v>
      </c>
      <c r="AZ189" s="21" t="s">
        <v>198</v>
      </c>
      <c r="BA189" s="17" t="s">
        <v>248</v>
      </c>
      <c r="BB189" s="17" t="s">
        <v>250</v>
      </c>
      <c r="BC189" s="18">
        <f>--ISNUMBER(SEARCH("Radio or television",BA189))</f>
        <v>1</v>
      </c>
      <c r="BD189" s="18">
        <f>--ISNUMBER(SEARCH("Newspapers or print media",BA189))</f>
        <v>0</v>
      </c>
      <c r="BE189" s="18">
        <f>--ISNUMBER(SEARCH("Social media (e.g. Facebook, WhatsApp, YouTube, X/Twitter)",BA189))</f>
        <v>1</v>
      </c>
      <c r="BF189" s="18">
        <f>--ISNUMBER(SEARCH("Family members",BA189))</f>
        <v>0</v>
      </c>
      <c r="BG189" s="18">
        <f>--ISNUMBER(SEARCH("Friends or fellow students",BA189))</f>
        <v>0</v>
      </c>
      <c r="BH189" s="18">
        <f>--ISNUMBER(SEARCH("School coursework or lectures",BA189))</f>
        <v>1</v>
      </c>
      <c r="BI189" s="18">
        <f>--ISNUMBER(SEARCH("NHIMA outreach activities or NHIMA offices",BA189))</f>
        <v>0</v>
      </c>
      <c r="BJ189" s="18">
        <f>--ISNUMBER(SEARCH("Health facility staff",BA189))</f>
        <v>0</v>
      </c>
      <c r="BK189" s="18">
        <f>--ISNUMBER(SEARCH("not received information",BA189))</f>
        <v>0</v>
      </c>
      <c r="BL189" s="18">
        <f>IF(T189="","",--(T189='Codebook'!$F$13))</f>
        <v>1</v>
      </c>
      <c r="BM189" s="18">
        <f>IF(U189="","",--(U189='Codebook'!$F$14))</f>
        <v>0</v>
      </c>
      <c r="BN189" s="18">
        <f>IF(V189="","",--(V189='Codebook'!$F$15))</f>
        <v>0</v>
      </c>
      <c r="BO189" s="18">
        <f>IF(W189="","",--(W189='Codebook'!$F$16))</f>
        <v>1</v>
      </c>
      <c r="BP189" s="18">
        <f>IF(X189="","",--(X189='Codebook'!$F$17))</f>
        <v>1</v>
      </c>
      <c r="BQ189" s="18">
        <f>IF(Y189="","",--(Y189='Codebook'!$F$18))</f>
        <v>0</v>
      </c>
      <c r="BR189" s="18">
        <f>IF(Z189="","",--(Z189='Codebook'!$F$19))</f>
        <v>1</v>
      </c>
      <c r="BS189" s="18">
        <f>IF(AA189="","",--(AA189='Codebook'!$F$20))</f>
        <v>1</v>
      </c>
      <c r="BT189" s="18">
        <f>IF(AB189="","",--(AB189='Codebook'!$F$21))</f>
        <v>0</v>
      </c>
      <c r="BU189" s="18">
        <f>IF(AC189="","",--(AC189='Codebook'!$F$22))</f>
        <v>1</v>
      </c>
      <c r="BV189" s="18">
        <f>IF(AD189="","",--(AD189='Codebook'!$F$23))</f>
        <v>1</v>
      </c>
      <c r="BW189" s="18">
        <f>IF(AE189="","",--(AE189='Codebook'!$F$24))</f>
        <v>1</v>
      </c>
      <c r="BX189" s="18">
        <f>IF(AF189="","",--(AF189='Codebook'!$F$25))</f>
        <v>0</v>
      </c>
      <c r="BY189" s="18">
        <f>IF(AG189="","",--(AG189='Codebook'!$F$26))</f>
        <v>1</v>
      </c>
      <c r="BZ189" s="18">
        <f>IF(AH189="","",--(AH189='Codebook'!$F$27))</f>
        <v>1</v>
      </c>
      <c r="CA189" s="18">
        <f>IF(AI189="","",--(AI189='Codebook'!$F$28))</f>
        <v>0</v>
      </c>
      <c r="CB189" s="18">
        <f>IF(AJ189="","",--(AJ189='Codebook'!$F$29))</f>
        <v>0</v>
      </c>
      <c r="CC189" s="18">
        <f>IF(AK189="","",--(AK189='Codebook'!$F$30))</f>
        <v>0</v>
      </c>
      <c r="CD189" s="18">
        <f>IF(AL189="","",--(AL189='Codebook'!$F$31))</f>
        <v>0</v>
      </c>
      <c r="CE189" s="18">
        <f>IF(AM189="","",--(AM189='Codebook'!$F$32))</f>
        <v>0</v>
      </c>
      <c r="CF189" s="18">
        <f>IF(AN189="","",--(AN189='Codebook'!$F$33))</f>
        <v>1</v>
      </c>
      <c r="CG189" s="18">
        <f>IF(AO189="","",--(AO189='Codebook'!$F$34))</f>
        <v>0</v>
      </c>
      <c r="CH189" s="18">
        <f>IF(AP189="","",--(AP189='Codebook'!$F$35))</f>
        <v>0</v>
      </c>
      <c r="CI189" s="18">
        <f>IF(AQ189="","",--(AQ189='Codebook'!$F$36))</f>
        <v>1</v>
      </c>
      <c r="CJ189" s="18">
        <f>IF(AR189="","",--(AR189='Codebook'!$F$37))</f>
        <v>0</v>
      </c>
      <c r="CK189" s="18">
        <f>IF(AS189="","",--(AS189='Codebook'!$F$38))</f>
        <v>0</v>
      </c>
      <c r="CL189" s="18">
        <f>IF(AT189="","",--(AT189='Codebook'!$F$39))</f>
        <v>0</v>
      </c>
      <c r="CM189" s="18">
        <f>IF(AU189="","",--(AU189='Codebook'!$F$40))</f>
        <v>0</v>
      </c>
      <c r="CN189" s="18">
        <f>IF(AV189="","",--(AV189='Codebook'!$F$41))</f>
        <v>0</v>
      </c>
      <c r="CO189" s="18">
        <f>IF(AW189="","",--(AW189='Codebook'!$F$42))</f>
        <v>1</v>
      </c>
      <c r="CP189" s="18">
        <f>IF(AX189="","",--(AX189='Codebook'!$F$43))</f>
        <v>0</v>
      </c>
      <c r="CQ189" s="18">
        <f>IF(AY189="","",--(AY189='Codebook'!$F$44))</f>
        <v>0</v>
      </c>
      <c r="CR189" s="18">
        <f>IF(AZ189="","",--(AZ189='Codebook'!$F$45))</f>
        <v>0</v>
      </c>
    </row>
    <row r="190" spans="2:96" ht="24" customHeight="1">
      <c r="B190" s="18">
        <v>185</v>
      </c>
      <c r="C190" s="23">
        <v>46286.52650864583</v>
      </c>
      <c r="D190" s="21" t="s">
        <v>275</v>
      </c>
      <c r="E190" s="21" t="s">
        <v>206</v>
      </c>
      <c r="F190" s="21" t="s">
        <v>201</v>
      </c>
      <c r="G190" s="17" t="s">
        <v>247</v>
      </c>
      <c r="H190" s="21" t="s">
        <v>197</v>
      </c>
      <c r="I190" s="18">
        <f>SUM(BL190:BU190)</f>
        <v>6</v>
      </c>
      <c r="J190" s="18">
        <f>IF(COUNT(BV190:CD190)=9,SUM(BV190:CD190),"")</f>
        <v>3</v>
      </c>
      <c r="K190" s="18">
        <f>SUM(BL190:CD190)</f>
        <v>9</v>
      </c>
      <c r="L190" s="18">
        <f>--(K190&gt;='Codebook'!$C$8)</f>
        <v>0</v>
      </c>
      <c r="M190" s="18">
        <f>--(COUNT(BL190:CD190)=19)</f>
        <v>1</v>
      </c>
      <c r="N190" s="18">
        <f>SUM(CE190:CL190)</f>
        <v>6</v>
      </c>
      <c r="O190" s="18">
        <f>SUM(CM190:CR190)</f>
        <v>0</v>
      </c>
      <c r="P190" s="18">
        <f>N190+O190</f>
        <v>6</v>
      </c>
      <c r="Q190" s="21" t="s">
        <v>197</v>
      </c>
      <c r="R190" s="17" t="s">
        <v>155</v>
      </c>
      <c r="S190" s="18">
        <f>--OR(Overview!$B$6="All",E190=Overview!$B$6)*--OR(Overview!$F$6="All",F190=Overview!$F$6)*--OR(Overview!$J$6="All",G190=Overview!$J$6)*--OR(Overview!$N$6="All",H190=Overview!$N$6)</f>
        <v>1</v>
      </c>
      <c r="T190" s="21" t="s">
        <v>22</v>
      </c>
      <c r="U190" s="21" t="s">
        <v>22</v>
      </c>
      <c r="V190" s="21" t="s">
        <v>22</v>
      </c>
      <c r="W190" s="21" t="s">
        <v>22</v>
      </c>
      <c r="X190" s="21" t="s">
        <v>22</v>
      </c>
      <c r="Y190" s="21" t="s">
        <v>22</v>
      </c>
      <c r="Z190" s="21" t="s">
        <v>22</v>
      </c>
      <c r="AA190" s="21" t="s">
        <v>22</v>
      </c>
      <c r="AB190" s="21" t="s">
        <v>22</v>
      </c>
      <c r="AC190" s="21" t="s">
        <v>22</v>
      </c>
      <c r="AD190" s="21" t="s">
        <v>22</v>
      </c>
      <c r="AE190" s="21" t="s">
        <v>22</v>
      </c>
      <c r="AF190" s="21" t="s">
        <v>26</v>
      </c>
      <c r="AG190" s="21" t="s">
        <v>198</v>
      </c>
      <c r="AH190" s="21" t="s">
        <v>198</v>
      </c>
      <c r="AI190" s="21" t="s">
        <v>198</v>
      </c>
      <c r="AJ190" s="21" t="s">
        <v>22</v>
      </c>
      <c r="AK190" s="21" t="s">
        <v>198</v>
      </c>
      <c r="AL190" s="21" t="s">
        <v>198</v>
      </c>
      <c r="AM190" s="21" t="s">
        <v>83</v>
      </c>
      <c r="AN190" s="21" t="s">
        <v>198</v>
      </c>
      <c r="AO190" s="21" t="s">
        <v>83</v>
      </c>
      <c r="AP190" s="21" t="s">
        <v>83</v>
      </c>
      <c r="AQ190" s="21" t="s">
        <v>83</v>
      </c>
      <c r="AR190" s="21" t="s">
        <v>83</v>
      </c>
      <c r="AS190" s="21" t="s">
        <v>83</v>
      </c>
      <c r="AT190" s="21" t="s">
        <v>198</v>
      </c>
      <c r="AU190" s="21" t="s">
        <v>83</v>
      </c>
      <c r="AV190" s="21" t="s">
        <v>83</v>
      </c>
      <c r="AW190" s="21" t="s">
        <v>198</v>
      </c>
      <c r="AX190" s="21" t="s">
        <v>83</v>
      </c>
      <c r="AY190" s="21" t="s">
        <v>83</v>
      </c>
      <c r="AZ190" s="21" t="s">
        <v>83</v>
      </c>
      <c r="BA190" s="17" t="s">
        <v>290</v>
      </c>
      <c r="BB190" s="17" t="s">
        <v>219</v>
      </c>
      <c r="BC190" s="18">
        <f>--ISNUMBER(SEARCH("Radio or television",BA190))</f>
        <v>0</v>
      </c>
      <c r="BD190" s="18">
        <f>--ISNUMBER(SEARCH("Newspapers or print media",BA190))</f>
        <v>0</v>
      </c>
      <c r="BE190" s="18">
        <f>--ISNUMBER(SEARCH("Social media (e.g. Facebook, WhatsApp, YouTube, X/Twitter)",BA190))</f>
        <v>0</v>
      </c>
      <c r="BF190" s="18">
        <f>--ISNUMBER(SEARCH("Family members",BA190))</f>
        <v>0</v>
      </c>
      <c r="BG190" s="18">
        <f>--ISNUMBER(SEARCH("Friends or fellow students",BA190))</f>
        <v>1</v>
      </c>
      <c r="BH190" s="18">
        <f>--ISNUMBER(SEARCH("School coursework or lectures",BA190))</f>
        <v>1</v>
      </c>
      <c r="BI190" s="18">
        <f>--ISNUMBER(SEARCH("NHIMA outreach activities or NHIMA offices",BA190))</f>
        <v>0</v>
      </c>
      <c r="BJ190" s="18">
        <f>--ISNUMBER(SEARCH("Health facility staff",BA190))</f>
        <v>0</v>
      </c>
      <c r="BK190" s="18">
        <f>--ISNUMBER(SEARCH("not received information",BA190))</f>
        <v>0</v>
      </c>
      <c r="BL190" s="18">
        <f>IF(T190="","",--(T190='Codebook'!$F$13))</f>
        <v>1</v>
      </c>
      <c r="BM190" s="18">
        <f>IF(U190="","",--(U190='Codebook'!$F$14))</f>
        <v>0</v>
      </c>
      <c r="BN190" s="18">
        <f>IF(V190="","",--(V190='Codebook'!$F$15))</f>
        <v>0</v>
      </c>
      <c r="BO190" s="18">
        <f>IF(W190="","",--(W190='Codebook'!$F$16))</f>
        <v>1</v>
      </c>
      <c r="BP190" s="18">
        <f>IF(X190="","",--(X190='Codebook'!$F$17))</f>
        <v>1</v>
      </c>
      <c r="BQ190" s="18">
        <f>IF(Y190="","",--(Y190='Codebook'!$F$18))</f>
        <v>0</v>
      </c>
      <c r="BR190" s="18">
        <f>IF(Z190="","",--(Z190='Codebook'!$F$19))</f>
        <v>1</v>
      </c>
      <c r="BS190" s="18">
        <f>IF(AA190="","",--(AA190='Codebook'!$F$20))</f>
        <v>1</v>
      </c>
      <c r="BT190" s="18">
        <f>IF(AB190="","",--(AB190='Codebook'!$F$21))</f>
        <v>0</v>
      </c>
      <c r="BU190" s="18">
        <f>IF(AC190="","",--(AC190='Codebook'!$F$22))</f>
        <v>1</v>
      </c>
      <c r="BV190" s="18">
        <f>IF(AD190="","",--(AD190='Codebook'!$F$23))</f>
        <v>1</v>
      </c>
      <c r="BW190" s="18">
        <f>IF(AE190="","",--(AE190='Codebook'!$F$24))</f>
        <v>1</v>
      </c>
      <c r="BX190" s="18">
        <f>IF(AF190="","",--(AF190='Codebook'!$F$25))</f>
        <v>1</v>
      </c>
      <c r="BY190" s="18">
        <f>IF(AG190="","",--(AG190='Codebook'!$F$26))</f>
        <v>0</v>
      </c>
      <c r="BZ190" s="18">
        <f>IF(AH190="","",--(AH190='Codebook'!$F$27))</f>
        <v>0</v>
      </c>
      <c r="CA190" s="18">
        <f>IF(AI190="","",--(AI190='Codebook'!$F$28))</f>
        <v>0</v>
      </c>
      <c r="CB190" s="18">
        <f>IF(AJ190="","",--(AJ190='Codebook'!$F$29))</f>
        <v>0</v>
      </c>
      <c r="CC190" s="18">
        <f>IF(AK190="","",--(AK190='Codebook'!$F$30))</f>
        <v>0</v>
      </c>
      <c r="CD190" s="18">
        <f>IF(AL190="","",--(AL190='Codebook'!$F$31))</f>
        <v>0</v>
      </c>
      <c r="CE190" s="18">
        <f>IF(AM190="","",--(AM190='Codebook'!$F$32))</f>
        <v>1</v>
      </c>
      <c r="CF190" s="18">
        <f>IF(AN190="","",--(AN190='Codebook'!$F$33))</f>
        <v>0</v>
      </c>
      <c r="CG190" s="18">
        <f>IF(AO190="","",--(AO190='Codebook'!$F$34))</f>
        <v>1</v>
      </c>
      <c r="CH190" s="18">
        <f>IF(AP190="","",--(AP190='Codebook'!$F$35))</f>
        <v>1</v>
      </c>
      <c r="CI190" s="18">
        <f>IF(AQ190="","",--(AQ190='Codebook'!$F$36))</f>
        <v>1</v>
      </c>
      <c r="CJ190" s="18">
        <f>IF(AR190="","",--(AR190='Codebook'!$F$37))</f>
        <v>1</v>
      </c>
      <c r="CK190" s="18">
        <f>IF(AS190="","",--(AS190='Codebook'!$F$38))</f>
        <v>1</v>
      </c>
      <c r="CL190" s="18">
        <f>IF(AT190="","",--(AT190='Codebook'!$F$39))</f>
        <v>0</v>
      </c>
      <c r="CM190" s="18">
        <f>IF(AU190="","",--(AU190='Codebook'!$F$40))</f>
        <v>0</v>
      </c>
      <c r="CN190" s="18">
        <f>IF(AV190="","",--(AV190='Codebook'!$F$41))</f>
        <v>0</v>
      </c>
      <c r="CO190" s="18">
        <f>IF(AW190="","",--(AW190='Codebook'!$F$42))</f>
        <v>0</v>
      </c>
      <c r="CP190" s="18">
        <f>IF(AX190="","",--(AX190='Codebook'!$F$43))</f>
        <v>0</v>
      </c>
      <c r="CQ190" s="18">
        <f>IF(AY190="","",--(AY190='Codebook'!$F$44))</f>
        <v>0</v>
      </c>
      <c r="CR190" s="18">
        <f>IF(AZ190="","",--(AZ190='Codebook'!$F$45))</f>
        <v>0</v>
      </c>
    </row>
    <row r="191" spans="2:96" ht="24" customHeight="1">
      <c r="B191" s="18">
        <v>186</v>
      </c>
      <c r="C191" s="23">
        <v>46286.52714733796</v>
      </c>
      <c r="D191" s="21" t="s">
        <v>275</v>
      </c>
      <c r="E191" s="21" t="s">
        <v>206</v>
      </c>
      <c r="F191" s="21" t="s">
        <v>212</v>
      </c>
      <c r="G191" s="17" t="s">
        <v>215</v>
      </c>
      <c r="H191" s="21" t="s">
        <v>197</v>
      </c>
      <c r="I191" s="18">
        <f>SUM(BL191:BU191)</f>
        <v>2</v>
      </c>
      <c r="J191" s="18">
        <f>IF(COUNT(BV191:CD191)=9,SUM(BV191:CD191),"")</f>
        <v>2</v>
      </c>
      <c r="K191" s="18">
        <f>SUM(BL191:CD191)</f>
        <v>4</v>
      </c>
      <c r="L191" s="18">
        <f>--(K191&gt;='Codebook'!$C$8)</f>
        <v>0</v>
      </c>
      <c r="M191" s="18">
        <f>--(COUNT(BL191:CD191)=19)</f>
        <v>1</v>
      </c>
      <c r="N191" s="18">
        <f>SUM(CE191:CL191)</f>
        <v>7</v>
      </c>
      <c r="O191" s="18">
        <f>SUM(CM191:CR191)</f>
        <v>0</v>
      </c>
      <c r="P191" s="18">
        <f>N191+O191</f>
        <v>7</v>
      </c>
      <c r="Q191" s="21" t="s">
        <v>198</v>
      </c>
      <c r="R191" s="17" t="s">
        <v>216</v>
      </c>
      <c r="S191" s="18">
        <f>--OR(Overview!$B$6="All",E191=Overview!$B$6)*--OR(Overview!$F$6="All",F191=Overview!$F$6)*--OR(Overview!$J$6="All",G191=Overview!$J$6)*--OR(Overview!$N$6="All",H191=Overview!$N$6)</f>
        <v>1</v>
      </c>
      <c r="T191" s="21" t="s">
        <v>198</v>
      </c>
      <c r="U191" s="21" t="s">
        <v>26</v>
      </c>
      <c r="V191" s="21" t="s">
        <v>198</v>
      </c>
      <c r="W191" s="21" t="s">
        <v>22</v>
      </c>
      <c r="X191" s="21" t="s">
        <v>198</v>
      </c>
      <c r="Y191" s="21" t="s">
        <v>22</v>
      </c>
      <c r="Z191" s="21" t="s">
        <v>26</v>
      </c>
      <c r="AA191" s="21" t="s">
        <v>198</v>
      </c>
      <c r="AB191" s="21" t="s">
        <v>22</v>
      </c>
      <c r="AC191" s="21" t="s">
        <v>198</v>
      </c>
      <c r="AD191" s="21" t="s">
        <v>198</v>
      </c>
      <c r="AE191" s="21" t="s">
        <v>22</v>
      </c>
      <c r="AF191" s="21" t="s">
        <v>198</v>
      </c>
      <c r="AG191" s="21" t="s">
        <v>22</v>
      </c>
      <c r="AH191" s="21" t="s">
        <v>198</v>
      </c>
      <c r="AI191" s="21" t="s">
        <v>22</v>
      </c>
      <c r="AJ191" s="21" t="s">
        <v>198</v>
      </c>
      <c r="AK191" s="21" t="s">
        <v>198</v>
      </c>
      <c r="AL191" s="21" t="s">
        <v>198</v>
      </c>
      <c r="AM191" s="21" t="s">
        <v>83</v>
      </c>
      <c r="AN191" s="21" t="s">
        <v>83</v>
      </c>
      <c r="AO191" s="21" t="s">
        <v>83</v>
      </c>
      <c r="AP191" s="21" t="s">
        <v>83</v>
      </c>
      <c r="AQ191" s="21" t="s">
        <v>83</v>
      </c>
      <c r="AR191" s="21" t="s">
        <v>83</v>
      </c>
      <c r="AS191" s="21" t="s">
        <v>198</v>
      </c>
      <c r="AT191" s="21" t="s">
        <v>83</v>
      </c>
      <c r="AU191" s="21" t="s">
        <v>198</v>
      </c>
      <c r="AV191" s="21" t="s">
        <v>83</v>
      </c>
      <c r="AW191" s="21" t="s">
        <v>83</v>
      </c>
      <c r="AX191" s="21" t="s">
        <v>83</v>
      </c>
      <c r="AY191" s="21" t="s">
        <v>198</v>
      </c>
      <c r="AZ191" s="21" t="s">
        <v>83</v>
      </c>
      <c r="BA191" s="17" t="s">
        <v>315</v>
      </c>
      <c r="BB191" s="17" t="s">
        <v>283</v>
      </c>
      <c r="BC191" s="18">
        <f>--ISNUMBER(SEARCH("Radio or television",BA191))</f>
        <v>0</v>
      </c>
      <c r="BD191" s="18">
        <f>--ISNUMBER(SEARCH("Newspapers or print media",BA191))</f>
        <v>0</v>
      </c>
      <c r="BE191" s="18">
        <f>--ISNUMBER(SEARCH("Social media (e.g. Facebook, WhatsApp, YouTube, X/Twitter)",BA191))</f>
        <v>1</v>
      </c>
      <c r="BF191" s="18">
        <f>--ISNUMBER(SEARCH("Family members",BA191))</f>
        <v>0</v>
      </c>
      <c r="BG191" s="18">
        <f>--ISNUMBER(SEARCH("Friends or fellow students",BA191))</f>
        <v>1</v>
      </c>
      <c r="BH191" s="18">
        <f>--ISNUMBER(SEARCH("School coursework or lectures",BA191))</f>
        <v>0</v>
      </c>
      <c r="BI191" s="18">
        <f>--ISNUMBER(SEARCH("NHIMA outreach activities or NHIMA offices",BA191))</f>
        <v>0</v>
      </c>
      <c r="BJ191" s="18">
        <f>--ISNUMBER(SEARCH("Health facility staff",BA191))</f>
        <v>0</v>
      </c>
      <c r="BK191" s="18">
        <f>--ISNUMBER(SEARCH("not received information",BA191))</f>
        <v>0</v>
      </c>
      <c r="BL191" s="18">
        <f>IF(T191="","",--(T191='Codebook'!$F$13))</f>
        <v>0</v>
      </c>
      <c r="BM191" s="18">
        <f>IF(U191="","",--(U191='Codebook'!$F$14))</f>
        <v>1</v>
      </c>
      <c r="BN191" s="18">
        <f>IF(V191="","",--(V191='Codebook'!$F$15))</f>
        <v>0</v>
      </c>
      <c r="BO191" s="18">
        <f>IF(W191="","",--(W191='Codebook'!$F$16))</f>
        <v>1</v>
      </c>
      <c r="BP191" s="18">
        <f>IF(X191="","",--(X191='Codebook'!$F$17))</f>
        <v>0</v>
      </c>
      <c r="BQ191" s="18">
        <f>IF(Y191="","",--(Y191='Codebook'!$F$18))</f>
        <v>0</v>
      </c>
      <c r="BR191" s="18">
        <f>IF(Z191="","",--(Z191='Codebook'!$F$19))</f>
        <v>0</v>
      </c>
      <c r="BS191" s="18">
        <f>IF(AA191="","",--(AA191='Codebook'!$F$20))</f>
        <v>0</v>
      </c>
      <c r="BT191" s="18">
        <f>IF(AB191="","",--(AB191='Codebook'!$F$21))</f>
        <v>0</v>
      </c>
      <c r="BU191" s="18">
        <f>IF(AC191="","",--(AC191='Codebook'!$F$22))</f>
        <v>0</v>
      </c>
      <c r="BV191" s="18">
        <f>IF(AD191="","",--(AD191='Codebook'!$F$23))</f>
        <v>0</v>
      </c>
      <c r="BW191" s="18">
        <f>IF(AE191="","",--(AE191='Codebook'!$F$24))</f>
        <v>1</v>
      </c>
      <c r="BX191" s="18">
        <f>IF(AF191="","",--(AF191='Codebook'!$F$25))</f>
        <v>0</v>
      </c>
      <c r="BY191" s="18">
        <f>IF(AG191="","",--(AG191='Codebook'!$F$26))</f>
        <v>1</v>
      </c>
      <c r="BZ191" s="18">
        <f>IF(AH191="","",--(AH191='Codebook'!$F$27))</f>
        <v>0</v>
      </c>
      <c r="CA191" s="18">
        <f>IF(AI191="","",--(AI191='Codebook'!$F$28))</f>
        <v>0</v>
      </c>
      <c r="CB191" s="18">
        <f>IF(AJ191="","",--(AJ191='Codebook'!$F$29))</f>
        <v>0</v>
      </c>
      <c r="CC191" s="18">
        <f>IF(AK191="","",--(AK191='Codebook'!$F$30))</f>
        <v>0</v>
      </c>
      <c r="CD191" s="18">
        <f>IF(AL191="","",--(AL191='Codebook'!$F$31))</f>
        <v>0</v>
      </c>
      <c r="CE191" s="18">
        <f>IF(AM191="","",--(AM191='Codebook'!$F$32))</f>
        <v>1</v>
      </c>
      <c r="CF191" s="18">
        <f>IF(AN191="","",--(AN191='Codebook'!$F$33))</f>
        <v>1</v>
      </c>
      <c r="CG191" s="18">
        <f>IF(AO191="","",--(AO191='Codebook'!$F$34))</f>
        <v>1</v>
      </c>
      <c r="CH191" s="18">
        <f>IF(AP191="","",--(AP191='Codebook'!$F$35))</f>
        <v>1</v>
      </c>
      <c r="CI191" s="18">
        <f>IF(AQ191="","",--(AQ191='Codebook'!$F$36))</f>
        <v>1</v>
      </c>
      <c r="CJ191" s="18">
        <f>IF(AR191="","",--(AR191='Codebook'!$F$37))</f>
        <v>1</v>
      </c>
      <c r="CK191" s="18">
        <f>IF(AS191="","",--(AS191='Codebook'!$F$38))</f>
        <v>0</v>
      </c>
      <c r="CL191" s="18">
        <f>IF(AT191="","",--(AT191='Codebook'!$F$39))</f>
        <v>1</v>
      </c>
      <c r="CM191" s="18">
        <f>IF(AU191="","",--(AU191='Codebook'!$F$40))</f>
        <v>0</v>
      </c>
      <c r="CN191" s="18">
        <f>IF(AV191="","",--(AV191='Codebook'!$F$41))</f>
        <v>0</v>
      </c>
      <c r="CO191" s="18">
        <f>IF(AW191="","",--(AW191='Codebook'!$F$42))</f>
        <v>0</v>
      </c>
      <c r="CP191" s="18">
        <f>IF(AX191="","",--(AX191='Codebook'!$F$43))</f>
        <v>0</v>
      </c>
      <c r="CQ191" s="18">
        <f>IF(AY191="","",--(AY191='Codebook'!$F$44))</f>
        <v>0</v>
      </c>
      <c r="CR191" s="18">
        <f>IF(AZ191="","",--(AZ191='Codebook'!$F$45))</f>
        <v>0</v>
      </c>
    </row>
    <row r="192" spans="2:96" ht="24" customHeight="1">
      <c r="B192" s="18">
        <v>187</v>
      </c>
      <c r="C192" s="23">
        <v>46286.52778790509</v>
      </c>
      <c r="D192" s="21" t="s">
        <v>275</v>
      </c>
      <c r="E192" s="21" t="s">
        <v>206</v>
      </c>
      <c r="F192" s="21" t="s">
        <v>195</v>
      </c>
      <c r="G192" s="17" t="s">
        <v>215</v>
      </c>
      <c r="H192" s="21" t="s">
        <v>197</v>
      </c>
      <c r="I192" s="18">
        <f>SUM(BL192:BU192)</f>
        <v>2</v>
      </c>
      <c r="J192" s="18">
        <f>IF(COUNT(BV192:CD192)=9,SUM(BV192:CD192),"")</f>
        <v>2</v>
      </c>
      <c r="K192" s="18">
        <f>SUM(BL192:CD192)</f>
        <v>4</v>
      </c>
      <c r="L192" s="18">
        <f>--(K192&gt;='Codebook'!$C$8)</f>
        <v>0</v>
      </c>
      <c r="M192" s="18">
        <f>--(COUNT(BL192:CD192)=19)</f>
        <v>1</v>
      </c>
      <c r="N192" s="18">
        <f>SUM(CE192:CL192)</f>
        <v>3</v>
      </c>
      <c r="O192" s="18">
        <f>SUM(CM192:CR192)</f>
        <v>0</v>
      </c>
      <c r="P192" s="18">
        <f>N192+O192</f>
        <v>3</v>
      </c>
      <c r="Q192" s="21" t="s">
        <v>198</v>
      </c>
      <c r="R192" s="17" t="s">
        <v>156</v>
      </c>
      <c r="S192" s="18">
        <f>--OR(Overview!$B$6="All",E192=Overview!$B$6)*--OR(Overview!$F$6="All",F192=Overview!$F$6)*--OR(Overview!$J$6="All",G192=Overview!$J$6)*--OR(Overview!$N$6="All",H192=Overview!$N$6)</f>
        <v>1</v>
      </c>
      <c r="T192" s="21" t="s">
        <v>22</v>
      </c>
      <c r="U192" s="21" t="s">
        <v>198</v>
      </c>
      <c r="V192" s="21" t="s">
        <v>22</v>
      </c>
      <c r="W192" s="21" t="s">
        <v>198</v>
      </c>
      <c r="X192" s="21" t="s">
        <v>198</v>
      </c>
      <c r="Y192" s="21" t="s">
        <v>198</v>
      </c>
      <c r="Z192" s="21" t="s">
        <v>22</v>
      </c>
      <c r="AA192" s="21" t="s">
        <v>198</v>
      </c>
      <c r="AB192" s="21" t="s">
        <v>198</v>
      </c>
      <c r="AC192" s="21" t="s">
        <v>198</v>
      </c>
      <c r="AD192" s="21" t="s">
        <v>198</v>
      </c>
      <c r="AE192" s="21" t="s">
        <v>22</v>
      </c>
      <c r="AF192" s="21" t="s">
        <v>198</v>
      </c>
      <c r="AG192" s="21" t="s">
        <v>22</v>
      </c>
      <c r="AH192" s="21" t="s">
        <v>198</v>
      </c>
      <c r="AI192" s="21" t="s">
        <v>22</v>
      </c>
      <c r="AJ192" s="21" t="s">
        <v>198</v>
      </c>
      <c r="AK192" s="21" t="s">
        <v>198</v>
      </c>
      <c r="AL192" s="21" t="s">
        <v>22</v>
      </c>
      <c r="AM192" s="21" t="s">
        <v>198</v>
      </c>
      <c r="AN192" s="21" t="s">
        <v>198</v>
      </c>
      <c r="AO192" s="21" t="s">
        <v>198</v>
      </c>
      <c r="AP192" s="21" t="s">
        <v>83</v>
      </c>
      <c r="AQ192" s="21" t="s">
        <v>83</v>
      </c>
      <c r="AR192" s="21" t="s">
        <v>198</v>
      </c>
      <c r="AS192" s="21" t="s">
        <v>198</v>
      </c>
      <c r="AT192" s="21" t="s">
        <v>83</v>
      </c>
      <c r="AU192" s="21" t="s">
        <v>198</v>
      </c>
      <c r="AV192" s="21" t="s">
        <v>83</v>
      </c>
      <c r="AW192" s="21" t="s">
        <v>83</v>
      </c>
      <c r="AX192" s="21" t="s">
        <v>83</v>
      </c>
      <c r="AY192" s="21" t="s">
        <v>83</v>
      </c>
      <c r="AZ192" s="21" t="s">
        <v>83</v>
      </c>
      <c r="BA192" s="17" t="s">
        <v>291</v>
      </c>
      <c r="BB192" s="17" t="s">
        <v>313</v>
      </c>
      <c r="BC192" s="18">
        <f>--ISNUMBER(SEARCH("Radio or television",BA192))</f>
        <v>0</v>
      </c>
      <c r="BD192" s="18">
        <f>--ISNUMBER(SEARCH("Newspapers or print media",BA192))</f>
        <v>0</v>
      </c>
      <c r="BE192" s="18">
        <f>--ISNUMBER(SEARCH("Social media (e.g. Facebook, WhatsApp, YouTube, X/Twitter)",BA192))</f>
        <v>0</v>
      </c>
      <c r="BF192" s="18">
        <f>--ISNUMBER(SEARCH("Family members",BA192))</f>
        <v>1</v>
      </c>
      <c r="BG192" s="18">
        <f>--ISNUMBER(SEARCH("Friends or fellow students",BA192))</f>
        <v>1</v>
      </c>
      <c r="BH192" s="18">
        <f>--ISNUMBER(SEARCH("School coursework or lectures",BA192))</f>
        <v>0</v>
      </c>
      <c r="BI192" s="18">
        <f>--ISNUMBER(SEARCH("NHIMA outreach activities or NHIMA offices",BA192))</f>
        <v>0</v>
      </c>
      <c r="BJ192" s="18">
        <f>--ISNUMBER(SEARCH("Health facility staff",BA192))</f>
        <v>0</v>
      </c>
      <c r="BK192" s="18">
        <f>--ISNUMBER(SEARCH("not received information",BA192))</f>
        <v>0</v>
      </c>
      <c r="BL192" s="18">
        <f>IF(T192="","",--(T192='Codebook'!$F$13))</f>
        <v>1</v>
      </c>
      <c r="BM192" s="18">
        <f>IF(U192="","",--(U192='Codebook'!$F$14))</f>
        <v>0</v>
      </c>
      <c r="BN192" s="18">
        <f>IF(V192="","",--(V192='Codebook'!$F$15))</f>
        <v>0</v>
      </c>
      <c r="BO192" s="18">
        <f>IF(W192="","",--(W192='Codebook'!$F$16))</f>
        <v>0</v>
      </c>
      <c r="BP192" s="18">
        <f>IF(X192="","",--(X192='Codebook'!$F$17))</f>
        <v>0</v>
      </c>
      <c r="BQ192" s="18">
        <f>IF(Y192="","",--(Y192='Codebook'!$F$18))</f>
        <v>0</v>
      </c>
      <c r="BR192" s="18">
        <f>IF(Z192="","",--(Z192='Codebook'!$F$19))</f>
        <v>1</v>
      </c>
      <c r="BS192" s="18">
        <f>IF(AA192="","",--(AA192='Codebook'!$F$20))</f>
        <v>0</v>
      </c>
      <c r="BT192" s="18">
        <f>IF(AB192="","",--(AB192='Codebook'!$F$21))</f>
        <v>0</v>
      </c>
      <c r="BU192" s="18">
        <f>IF(AC192="","",--(AC192='Codebook'!$F$22))</f>
        <v>0</v>
      </c>
      <c r="BV192" s="18">
        <f>IF(AD192="","",--(AD192='Codebook'!$F$23))</f>
        <v>0</v>
      </c>
      <c r="BW192" s="18">
        <f>IF(AE192="","",--(AE192='Codebook'!$F$24))</f>
        <v>1</v>
      </c>
      <c r="BX192" s="18">
        <f>IF(AF192="","",--(AF192='Codebook'!$F$25))</f>
        <v>0</v>
      </c>
      <c r="BY192" s="18">
        <f>IF(AG192="","",--(AG192='Codebook'!$F$26))</f>
        <v>1</v>
      </c>
      <c r="BZ192" s="18">
        <f>IF(AH192="","",--(AH192='Codebook'!$F$27))</f>
        <v>0</v>
      </c>
      <c r="CA192" s="18">
        <f>IF(AI192="","",--(AI192='Codebook'!$F$28))</f>
        <v>0</v>
      </c>
      <c r="CB192" s="18">
        <f>IF(AJ192="","",--(AJ192='Codebook'!$F$29))</f>
        <v>0</v>
      </c>
      <c r="CC192" s="18">
        <f>IF(AK192="","",--(AK192='Codebook'!$F$30))</f>
        <v>0</v>
      </c>
      <c r="CD192" s="18">
        <f>IF(AL192="","",--(AL192='Codebook'!$F$31))</f>
        <v>0</v>
      </c>
      <c r="CE192" s="18">
        <f>IF(AM192="","",--(AM192='Codebook'!$F$32))</f>
        <v>0</v>
      </c>
      <c r="CF192" s="18">
        <f>IF(AN192="","",--(AN192='Codebook'!$F$33))</f>
        <v>0</v>
      </c>
      <c r="CG192" s="18">
        <f>IF(AO192="","",--(AO192='Codebook'!$F$34))</f>
        <v>0</v>
      </c>
      <c r="CH192" s="18">
        <f>IF(AP192="","",--(AP192='Codebook'!$F$35))</f>
        <v>1</v>
      </c>
      <c r="CI192" s="18">
        <f>IF(AQ192="","",--(AQ192='Codebook'!$F$36))</f>
        <v>1</v>
      </c>
      <c r="CJ192" s="18">
        <f>IF(AR192="","",--(AR192='Codebook'!$F$37))</f>
        <v>0</v>
      </c>
      <c r="CK192" s="18">
        <f>IF(AS192="","",--(AS192='Codebook'!$F$38))</f>
        <v>0</v>
      </c>
      <c r="CL192" s="18">
        <f>IF(AT192="","",--(AT192='Codebook'!$F$39))</f>
        <v>1</v>
      </c>
      <c r="CM192" s="18">
        <f>IF(AU192="","",--(AU192='Codebook'!$F$40))</f>
        <v>0</v>
      </c>
      <c r="CN192" s="18">
        <f>IF(AV192="","",--(AV192='Codebook'!$F$41))</f>
        <v>0</v>
      </c>
      <c r="CO192" s="18">
        <f>IF(AW192="","",--(AW192='Codebook'!$F$42))</f>
        <v>0</v>
      </c>
      <c r="CP192" s="18">
        <f>IF(AX192="","",--(AX192='Codebook'!$F$43))</f>
        <v>0</v>
      </c>
      <c r="CQ192" s="18">
        <f>IF(AY192="","",--(AY192='Codebook'!$F$44))</f>
        <v>0</v>
      </c>
      <c r="CR192" s="18">
        <f>IF(AZ192="","",--(AZ192='Codebook'!$F$45))</f>
        <v>0</v>
      </c>
    </row>
    <row r="193" spans="2:96" ht="24" customHeight="1">
      <c r="B193" s="18">
        <v>188</v>
      </c>
      <c r="C193" s="23">
        <v>46286.59119688658</v>
      </c>
      <c r="D193" s="21" t="s">
        <v>275</v>
      </c>
      <c r="E193" s="21" t="s">
        <v>206</v>
      </c>
      <c r="F193" s="21" t="s">
        <v>195</v>
      </c>
      <c r="G193" s="17" t="s">
        <v>224</v>
      </c>
      <c r="H193" s="21" t="s">
        <v>197</v>
      </c>
      <c r="I193" s="18">
        <f>SUM(BL193:BU193)</f>
        <v>6</v>
      </c>
      <c r="J193" s="18">
        <f>IF(COUNT(BV193:CD193)=9,SUM(BV193:CD193),"")</f>
        <v>5</v>
      </c>
      <c r="K193" s="18">
        <f>SUM(BL193:CD193)</f>
        <v>11</v>
      </c>
      <c r="L193" s="18">
        <f>--(K193&gt;='Codebook'!$C$8)</f>
        <v>0</v>
      </c>
      <c r="M193" s="18">
        <f>--(COUNT(BL193:CD193)=19)</f>
        <v>1</v>
      </c>
      <c r="N193" s="18">
        <f>SUM(CE193:CL193)</f>
        <v>7</v>
      </c>
      <c r="O193" s="18">
        <f>SUM(CM193:CR193)</f>
        <v>0</v>
      </c>
      <c r="P193" s="18">
        <f>N193+O193</f>
        <v>7</v>
      </c>
      <c r="Q193" s="21" t="s">
        <v>198</v>
      </c>
      <c r="R193" s="17" t="s">
        <v>152</v>
      </c>
      <c r="S193" s="18">
        <f>--OR(Overview!$B$6="All",E193=Overview!$B$6)*--OR(Overview!$F$6="All",F193=Overview!$F$6)*--OR(Overview!$J$6="All",G193=Overview!$J$6)*--OR(Overview!$N$6="All",H193=Overview!$N$6)</f>
        <v>1</v>
      </c>
      <c r="T193" s="21" t="s">
        <v>22</v>
      </c>
      <c r="U193" s="21" t="s">
        <v>22</v>
      </c>
      <c r="V193" s="21" t="s">
        <v>22</v>
      </c>
      <c r="W193" s="21" t="s">
        <v>22</v>
      </c>
      <c r="X193" s="21" t="s">
        <v>22</v>
      </c>
      <c r="Y193" s="21" t="s">
        <v>22</v>
      </c>
      <c r="Z193" s="21" t="s">
        <v>22</v>
      </c>
      <c r="AA193" s="21" t="s">
        <v>22</v>
      </c>
      <c r="AB193" s="21" t="s">
        <v>22</v>
      </c>
      <c r="AC193" s="21" t="s">
        <v>22</v>
      </c>
      <c r="AD193" s="21" t="s">
        <v>22</v>
      </c>
      <c r="AE193" s="21" t="s">
        <v>22</v>
      </c>
      <c r="AF193" s="21" t="s">
        <v>22</v>
      </c>
      <c r="AG193" s="21" t="s">
        <v>22</v>
      </c>
      <c r="AH193" s="21" t="s">
        <v>22</v>
      </c>
      <c r="AI193" s="21" t="s">
        <v>22</v>
      </c>
      <c r="AJ193" s="21" t="s">
        <v>22</v>
      </c>
      <c r="AK193" s="21" t="s">
        <v>22</v>
      </c>
      <c r="AL193" s="21" t="s">
        <v>22</v>
      </c>
      <c r="AM193" s="21" t="s">
        <v>83</v>
      </c>
      <c r="AN193" s="21" t="s">
        <v>198</v>
      </c>
      <c r="AO193" s="21" t="s">
        <v>83</v>
      </c>
      <c r="AP193" s="21" t="s">
        <v>83</v>
      </c>
      <c r="AQ193" s="21" t="s">
        <v>83</v>
      </c>
      <c r="AR193" s="21" t="s">
        <v>83</v>
      </c>
      <c r="AS193" s="21" t="s">
        <v>83</v>
      </c>
      <c r="AT193" s="21" t="s">
        <v>83</v>
      </c>
      <c r="AU193" s="21" t="s">
        <v>83</v>
      </c>
      <c r="AV193" s="21" t="s">
        <v>83</v>
      </c>
      <c r="AW193" s="21" t="s">
        <v>83</v>
      </c>
      <c r="AX193" s="21" t="s">
        <v>198</v>
      </c>
      <c r="AY193" s="21" t="s">
        <v>83</v>
      </c>
      <c r="AZ193" s="21" t="s">
        <v>83</v>
      </c>
      <c r="BA193" s="17" t="s">
        <v>232</v>
      </c>
      <c r="BB193" s="17" t="s">
        <v>223</v>
      </c>
      <c r="BC193" s="18">
        <f>--ISNUMBER(SEARCH("Radio or television",BA193))</f>
        <v>1</v>
      </c>
      <c r="BD193" s="18">
        <f>--ISNUMBER(SEARCH("Newspapers or print media",BA193))</f>
        <v>0</v>
      </c>
      <c r="BE193" s="18">
        <f>--ISNUMBER(SEARCH("Social media (e.g. Facebook, WhatsApp, YouTube, X/Twitter)",BA193))</f>
        <v>1</v>
      </c>
      <c r="BF193" s="18">
        <f>--ISNUMBER(SEARCH("Family members",BA193))</f>
        <v>0</v>
      </c>
      <c r="BG193" s="18">
        <f>--ISNUMBER(SEARCH("Friends or fellow students",BA193))</f>
        <v>1</v>
      </c>
      <c r="BH193" s="18">
        <f>--ISNUMBER(SEARCH("School coursework or lectures",BA193))</f>
        <v>1</v>
      </c>
      <c r="BI193" s="18">
        <f>--ISNUMBER(SEARCH("NHIMA outreach activities or NHIMA offices",BA193))</f>
        <v>0</v>
      </c>
      <c r="BJ193" s="18">
        <f>--ISNUMBER(SEARCH("Health facility staff",BA193))</f>
        <v>0</v>
      </c>
      <c r="BK193" s="18">
        <f>--ISNUMBER(SEARCH("not received information",BA193))</f>
        <v>0</v>
      </c>
      <c r="BL193" s="18">
        <f>IF(T193="","",--(T193='Codebook'!$F$13))</f>
        <v>1</v>
      </c>
      <c r="BM193" s="18">
        <f>IF(U193="","",--(U193='Codebook'!$F$14))</f>
        <v>0</v>
      </c>
      <c r="BN193" s="18">
        <f>IF(V193="","",--(V193='Codebook'!$F$15))</f>
        <v>0</v>
      </c>
      <c r="BO193" s="18">
        <f>IF(W193="","",--(W193='Codebook'!$F$16))</f>
        <v>1</v>
      </c>
      <c r="BP193" s="18">
        <f>IF(X193="","",--(X193='Codebook'!$F$17))</f>
        <v>1</v>
      </c>
      <c r="BQ193" s="18">
        <f>IF(Y193="","",--(Y193='Codebook'!$F$18))</f>
        <v>0</v>
      </c>
      <c r="BR193" s="18">
        <f>IF(Z193="","",--(Z193='Codebook'!$F$19))</f>
        <v>1</v>
      </c>
      <c r="BS193" s="18">
        <f>IF(AA193="","",--(AA193='Codebook'!$F$20))</f>
        <v>1</v>
      </c>
      <c r="BT193" s="18">
        <f>IF(AB193="","",--(AB193='Codebook'!$F$21))</f>
        <v>0</v>
      </c>
      <c r="BU193" s="18">
        <f>IF(AC193="","",--(AC193='Codebook'!$F$22))</f>
        <v>1</v>
      </c>
      <c r="BV193" s="18">
        <f>IF(AD193="","",--(AD193='Codebook'!$F$23))</f>
        <v>1</v>
      </c>
      <c r="BW193" s="18">
        <f>IF(AE193="","",--(AE193='Codebook'!$F$24))</f>
        <v>1</v>
      </c>
      <c r="BX193" s="18">
        <f>IF(AF193="","",--(AF193='Codebook'!$F$25))</f>
        <v>0</v>
      </c>
      <c r="BY193" s="18">
        <f>IF(AG193="","",--(AG193='Codebook'!$F$26))</f>
        <v>1</v>
      </c>
      <c r="BZ193" s="18">
        <f>IF(AH193="","",--(AH193='Codebook'!$F$27))</f>
        <v>1</v>
      </c>
      <c r="CA193" s="18">
        <f>IF(AI193="","",--(AI193='Codebook'!$F$28))</f>
        <v>0</v>
      </c>
      <c r="CB193" s="18">
        <f>IF(AJ193="","",--(AJ193='Codebook'!$F$29))</f>
        <v>0</v>
      </c>
      <c r="CC193" s="18">
        <f>IF(AK193="","",--(AK193='Codebook'!$F$30))</f>
        <v>1</v>
      </c>
      <c r="CD193" s="18">
        <f>IF(AL193="","",--(AL193='Codebook'!$F$31))</f>
        <v>0</v>
      </c>
      <c r="CE193" s="18">
        <f>IF(AM193="","",--(AM193='Codebook'!$F$32))</f>
        <v>1</v>
      </c>
      <c r="CF193" s="18">
        <f>IF(AN193="","",--(AN193='Codebook'!$F$33))</f>
        <v>0</v>
      </c>
      <c r="CG193" s="18">
        <f>IF(AO193="","",--(AO193='Codebook'!$F$34))</f>
        <v>1</v>
      </c>
      <c r="CH193" s="18">
        <f>IF(AP193="","",--(AP193='Codebook'!$F$35))</f>
        <v>1</v>
      </c>
      <c r="CI193" s="18">
        <f>IF(AQ193="","",--(AQ193='Codebook'!$F$36))</f>
        <v>1</v>
      </c>
      <c r="CJ193" s="18">
        <f>IF(AR193="","",--(AR193='Codebook'!$F$37))</f>
        <v>1</v>
      </c>
      <c r="CK193" s="18">
        <f>IF(AS193="","",--(AS193='Codebook'!$F$38))</f>
        <v>1</v>
      </c>
      <c r="CL193" s="18">
        <f>IF(AT193="","",--(AT193='Codebook'!$F$39))</f>
        <v>1</v>
      </c>
      <c r="CM193" s="18">
        <f>IF(AU193="","",--(AU193='Codebook'!$F$40))</f>
        <v>0</v>
      </c>
      <c r="CN193" s="18">
        <f>IF(AV193="","",--(AV193='Codebook'!$F$41))</f>
        <v>0</v>
      </c>
      <c r="CO193" s="18">
        <f>IF(AW193="","",--(AW193='Codebook'!$F$42))</f>
        <v>0</v>
      </c>
      <c r="CP193" s="18">
        <f>IF(AX193="","",--(AX193='Codebook'!$F$43))</f>
        <v>0</v>
      </c>
      <c r="CQ193" s="18">
        <f>IF(AY193="","",--(AY193='Codebook'!$F$44))</f>
        <v>0</v>
      </c>
      <c r="CR193" s="18">
        <f>IF(AZ193="","",--(AZ193='Codebook'!$F$45))</f>
        <v>0</v>
      </c>
    </row>
    <row r="194" spans="2:96" ht="24" customHeight="1">
      <c r="B194" s="18">
        <v>189</v>
      </c>
      <c r="C194" s="23">
        <v>46286.59180758102</v>
      </c>
      <c r="D194" s="21" t="s">
        <v>275</v>
      </c>
      <c r="E194" s="21" t="s">
        <v>194</v>
      </c>
      <c r="F194" s="21" t="s">
        <v>195</v>
      </c>
      <c r="G194" s="17" t="s">
        <v>215</v>
      </c>
      <c r="H194" s="21" t="s">
        <v>197</v>
      </c>
      <c r="I194" s="18">
        <f>SUM(BL194:BU194)</f>
        <v>5</v>
      </c>
      <c r="J194" s="18">
        <f>IF(COUNT(BV194:CD194)=9,SUM(BV194:CD194),"")</f>
        <v>3</v>
      </c>
      <c r="K194" s="18">
        <f>SUM(BL194:CD194)</f>
        <v>8</v>
      </c>
      <c r="L194" s="18">
        <f>--(K194&gt;='Codebook'!$C$8)</f>
        <v>0</v>
      </c>
      <c r="M194" s="18">
        <f>--(COUNT(BL194:CD194)=19)</f>
        <v>1</v>
      </c>
      <c r="N194" s="18">
        <f>SUM(CE194:CL194)</f>
        <v>6</v>
      </c>
      <c r="O194" s="18">
        <f>SUM(CM194:CR194)</f>
        <v>2</v>
      </c>
      <c r="P194" s="18">
        <f>N194+O194</f>
        <v>8</v>
      </c>
      <c r="Q194" s="21" t="s">
        <v>198</v>
      </c>
      <c r="R194" s="17" t="s">
        <v>216</v>
      </c>
      <c r="S194" s="18">
        <f>--OR(Overview!$B$6="All",E194=Overview!$B$6)*--OR(Overview!$F$6="All",F194=Overview!$F$6)*--OR(Overview!$J$6="All",G194=Overview!$J$6)*--OR(Overview!$N$6="All",H194=Overview!$N$6)</f>
        <v>1</v>
      </c>
      <c r="T194" s="21" t="s">
        <v>22</v>
      </c>
      <c r="U194" s="21" t="s">
        <v>22</v>
      </c>
      <c r="V194" s="21" t="s">
        <v>26</v>
      </c>
      <c r="W194" s="21" t="s">
        <v>26</v>
      </c>
      <c r="X194" s="21" t="s">
        <v>22</v>
      </c>
      <c r="Y194" s="21" t="s">
        <v>22</v>
      </c>
      <c r="Z194" s="21" t="s">
        <v>22</v>
      </c>
      <c r="AA194" s="21" t="s">
        <v>26</v>
      </c>
      <c r="AB194" s="21" t="s">
        <v>22</v>
      </c>
      <c r="AC194" s="21" t="s">
        <v>22</v>
      </c>
      <c r="AD194" s="21" t="s">
        <v>26</v>
      </c>
      <c r="AE194" s="21" t="s">
        <v>22</v>
      </c>
      <c r="AF194" s="21" t="s">
        <v>22</v>
      </c>
      <c r="AG194" s="21" t="s">
        <v>26</v>
      </c>
      <c r="AH194" s="21" t="s">
        <v>22</v>
      </c>
      <c r="AI194" s="21" t="s">
        <v>22</v>
      </c>
      <c r="AJ194" s="21" t="s">
        <v>22</v>
      </c>
      <c r="AK194" s="21" t="s">
        <v>22</v>
      </c>
      <c r="AL194" s="21" t="s">
        <v>22</v>
      </c>
      <c r="AM194" s="21" t="s">
        <v>83</v>
      </c>
      <c r="AN194" s="21" t="s">
        <v>109</v>
      </c>
      <c r="AO194" s="21" t="s">
        <v>83</v>
      </c>
      <c r="AP194" s="21" t="s">
        <v>83</v>
      </c>
      <c r="AQ194" s="21" t="s">
        <v>83</v>
      </c>
      <c r="AR194" s="21" t="s">
        <v>109</v>
      </c>
      <c r="AS194" s="21" t="s">
        <v>83</v>
      </c>
      <c r="AT194" s="21" t="s">
        <v>83</v>
      </c>
      <c r="AU194" s="21" t="s">
        <v>109</v>
      </c>
      <c r="AV194" s="21" t="s">
        <v>109</v>
      </c>
      <c r="AW194" s="21" t="s">
        <v>83</v>
      </c>
      <c r="AX194" s="21" t="s">
        <v>83</v>
      </c>
      <c r="AY194" s="21" t="s">
        <v>83</v>
      </c>
      <c r="AZ194" s="21" t="s">
        <v>83</v>
      </c>
      <c r="BA194" s="17" t="s">
        <v>315</v>
      </c>
      <c r="BB194" s="17" t="s">
        <v>246</v>
      </c>
      <c r="BC194" s="18">
        <f>--ISNUMBER(SEARCH("Radio or television",BA194))</f>
        <v>0</v>
      </c>
      <c r="BD194" s="18">
        <f>--ISNUMBER(SEARCH("Newspapers or print media",BA194))</f>
        <v>0</v>
      </c>
      <c r="BE194" s="18">
        <f>--ISNUMBER(SEARCH("Social media (e.g. Facebook, WhatsApp, YouTube, X/Twitter)",BA194))</f>
        <v>1</v>
      </c>
      <c r="BF194" s="18">
        <f>--ISNUMBER(SEARCH("Family members",BA194))</f>
        <v>0</v>
      </c>
      <c r="BG194" s="18">
        <f>--ISNUMBER(SEARCH("Friends or fellow students",BA194))</f>
        <v>1</v>
      </c>
      <c r="BH194" s="18">
        <f>--ISNUMBER(SEARCH("School coursework or lectures",BA194))</f>
        <v>0</v>
      </c>
      <c r="BI194" s="18">
        <f>--ISNUMBER(SEARCH("NHIMA outreach activities or NHIMA offices",BA194))</f>
        <v>0</v>
      </c>
      <c r="BJ194" s="18">
        <f>--ISNUMBER(SEARCH("Health facility staff",BA194))</f>
        <v>0</v>
      </c>
      <c r="BK194" s="18">
        <f>--ISNUMBER(SEARCH("not received information",BA194))</f>
        <v>0</v>
      </c>
      <c r="BL194" s="18">
        <f>IF(T194="","",--(T194='Codebook'!$F$13))</f>
        <v>1</v>
      </c>
      <c r="BM194" s="18">
        <f>IF(U194="","",--(U194='Codebook'!$F$14))</f>
        <v>0</v>
      </c>
      <c r="BN194" s="18">
        <f>IF(V194="","",--(V194='Codebook'!$F$15))</f>
        <v>1</v>
      </c>
      <c r="BO194" s="18">
        <f>IF(W194="","",--(W194='Codebook'!$F$16))</f>
        <v>0</v>
      </c>
      <c r="BP194" s="18">
        <f>IF(X194="","",--(X194='Codebook'!$F$17))</f>
        <v>1</v>
      </c>
      <c r="BQ194" s="18">
        <f>IF(Y194="","",--(Y194='Codebook'!$F$18))</f>
        <v>0</v>
      </c>
      <c r="BR194" s="18">
        <f>IF(Z194="","",--(Z194='Codebook'!$F$19))</f>
        <v>1</v>
      </c>
      <c r="BS194" s="18">
        <f>IF(AA194="","",--(AA194='Codebook'!$F$20))</f>
        <v>0</v>
      </c>
      <c r="BT194" s="18">
        <f>IF(AB194="","",--(AB194='Codebook'!$F$21))</f>
        <v>0</v>
      </c>
      <c r="BU194" s="18">
        <f>IF(AC194="","",--(AC194='Codebook'!$F$22))</f>
        <v>1</v>
      </c>
      <c r="BV194" s="18">
        <f>IF(AD194="","",--(AD194='Codebook'!$F$23))</f>
        <v>0</v>
      </c>
      <c r="BW194" s="18">
        <f>IF(AE194="","",--(AE194='Codebook'!$F$24))</f>
        <v>1</v>
      </c>
      <c r="BX194" s="18">
        <f>IF(AF194="","",--(AF194='Codebook'!$F$25))</f>
        <v>0</v>
      </c>
      <c r="BY194" s="18">
        <f>IF(AG194="","",--(AG194='Codebook'!$F$26))</f>
        <v>0</v>
      </c>
      <c r="BZ194" s="18">
        <f>IF(AH194="","",--(AH194='Codebook'!$F$27))</f>
        <v>1</v>
      </c>
      <c r="CA194" s="18">
        <f>IF(AI194="","",--(AI194='Codebook'!$F$28))</f>
        <v>0</v>
      </c>
      <c r="CB194" s="18">
        <f>IF(AJ194="","",--(AJ194='Codebook'!$F$29))</f>
        <v>0</v>
      </c>
      <c r="CC194" s="18">
        <f>IF(AK194="","",--(AK194='Codebook'!$F$30))</f>
        <v>1</v>
      </c>
      <c r="CD194" s="18">
        <f>IF(AL194="","",--(AL194='Codebook'!$F$31))</f>
        <v>0</v>
      </c>
      <c r="CE194" s="18">
        <f>IF(AM194="","",--(AM194='Codebook'!$F$32))</f>
        <v>1</v>
      </c>
      <c r="CF194" s="18">
        <f>IF(AN194="","",--(AN194='Codebook'!$F$33))</f>
        <v>0</v>
      </c>
      <c r="CG194" s="18">
        <f>IF(AO194="","",--(AO194='Codebook'!$F$34))</f>
        <v>1</v>
      </c>
      <c r="CH194" s="18">
        <f>IF(AP194="","",--(AP194='Codebook'!$F$35))</f>
        <v>1</v>
      </c>
      <c r="CI194" s="18">
        <f>IF(AQ194="","",--(AQ194='Codebook'!$F$36))</f>
        <v>1</v>
      </c>
      <c r="CJ194" s="18">
        <f>IF(AR194="","",--(AR194='Codebook'!$F$37))</f>
        <v>0</v>
      </c>
      <c r="CK194" s="18">
        <f>IF(AS194="","",--(AS194='Codebook'!$F$38))</f>
        <v>1</v>
      </c>
      <c r="CL194" s="18">
        <f>IF(AT194="","",--(AT194='Codebook'!$F$39))</f>
        <v>1</v>
      </c>
      <c r="CM194" s="18">
        <f>IF(AU194="","",--(AU194='Codebook'!$F$40))</f>
        <v>1</v>
      </c>
      <c r="CN194" s="18">
        <f>IF(AV194="","",--(AV194='Codebook'!$F$41))</f>
        <v>1</v>
      </c>
      <c r="CO194" s="18">
        <f>IF(AW194="","",--(AW194='Codebook'!$F$42))</f>
        <v>0</v>
      </c>
      <c r="CP194" s="18">
        <f>IF(AX194="","",--(AX194='Codebook'!$F$43))</f>
        <v>0</v>
      </c>
      <c r="CQ194" s="18">
        <f>IF(AY194="","",--(AY194='Codebook'!$F$44))</f>
        <v>0</v>
      </c>
      <c r="CR194" s="18">
        <f>IF(AZ194="","",--(AZ194='Codebook'!$F$45))</f>
        <v>0</v>
      </c>
    </row>
    <row r="195" spans="2:96" ht="24" customHeight="1">
      <c r="B195" s="18">
        <v>190</v>
      </c>
      <c r="C195" s="23">
        <v>46286.67424016204</v>
      </c>
      <c r="D195" s="21" t="s">
        <v>275</v>
      </c>
      <c r="E195" s="21" t="s">
        <v>194</v>
      </c>
      <c r="F195" s="21" t="s">
        <v>212</v>
      </c>
      <c r="G195" s="17" t="s">
        <v>202</v>
      </c>
      <c r="H195" s="21" t="s">
        <v>207</v>
      </c>
      <c r="I195" s="18">
        <f>SUM(BL195:BU195)</f>
        <v>7</v>
      </c>
      <c r="J195" s="18">
        <f>IF(COUNT(BV195:CD195)=9,SUM(BV195:CD195),"")</f>
        <v>5</v>
      </c>
      <c r="K195" s="18">
        <f>SUM(BL195:CD195)</f>
        <v>12</v>
      </c>
      <c r="L195" s="18">
        <f>--(K195&gt;='Codebook'!$C$8)</f>
        <v>1</v>
      </c>
      <c r="M195" s="18">
        <f>--(COUNT(BL195:CD195)=19)</f>
        <v>1</v>
      </c>
      <c r="N195" s="18">
        <f>SUM(CE195:CL195)</f>
        <v>8</v>
      </c>
      <c r="O195" s="18">
        <f>SUM(CM195:CR195)</f>
        <v>0</v>
      </c>
      <c r="P195" s="18">
        <f>N195+O195</f>
        <v>8</v>
      </c>
      <c r="Q195" s="21" t="s">
        <v>198</v>
      </c>
      <c r="R195" s="17" t="s">
        <v>216</v>
      </c>
      <c r="S195" s="18">
        <f>--OR(Overview!$B$6="All",E195=Overview!$B$6)*--OR(Overview!$F$6="All",F195=Overview!$F$6)*--OR(Overview!$J$6="All",G195=Overview!$J$6)*--OR(Overview!$N$6="All",H195=Overview!$N$6)</f>
        <v>1</v>
      </c>
      <c r="T195" s="21" t="s">
        <v>22</v>
      </c>
      <c r="U195" s="21" t="s">
        <v>26</v>
      </c>
      <c r="V195" s="21" t="s">
        <v>22</v>
      </c>
      <c r="W195" s="21" t="s">
        <v>22</v>
      </c>
      <c r="X195" s="21" t="s">
        <v>22</v>
      </c>
      <c r="Y195" s="21" t="s">
        <v>22</v>
      </c>
      <c r="Z195" s="21" t="s">
        <v>22</v>
      </c>
      <c r="AA195" s="21" t="s">
        <v>22</v>
      </c>
      <c r="AB195" s="21" t="s">
        <v>22</v>
      </c>
      <c r="AC195" s="21" t="s">
        <v>22</v>
      </c>
      <c r="AD195" s="21" t="s">
        <v>22</v>
      </c>
      <c r="AE195" s="21" t="s">
        <v>22</v>
      </c>
      <c r="AF195" s="21" t="s">
        <v>22</v>
      </c>
      <c r="AG195" s="21" t="s">
        <v>22</v>
      </c>
      <c r="AH195" s="21" t="s">
        <v>22</v>
      </c>
      <c r="AI195" s="21" t="s">
        <v>22</v>
      </c>
      <c r="AJ195" s="21" t="s">
        <v>22</v>
      </c>
      <c r="AK195" s="21" t="s">
        <v>22</v>
      </c>
      <c r="AL195" s="21" t="s">
        <v>22</v>
      </c>
      <c r="AM195" s="21" t="s">
        <v>83</v>
      </c>
      <c r="AN195" s="21" t="s">
        <v>83</v>
      </c>
      <c r="AO195" s="21" t="s">
        <v>83</v>
      </c>
      <c r="AP195" s="21" t="s">
        <v>83</v>
      </c>
      <c r="AQ195" s="21" t="s">
        <v>83</v>
      </c>
      <c r="AR195" s="21" t="s">
        <v>83</v>
      </c>
      <c r="AS195" s="21" t="s">
        <v>83</v>
      </c>
      <c r="AT195" s="21" t="s">
        <v>83</v>
      </c>
      <c r="AU195" s="21" t="s">
        <v>83</v>
      </c>
      <c r="AV195" s="21" t="s">
        <v>83</v>
      </c>
      <c r="AW195" s="21" t="s">
        <v>83</v>
      </c>
      <c r="AX195" s="21" t="s">
        <v>83</v>
      </c>
      <c r="AY195" s="21" t="s">
        <v>83</v>
      </c>
      <c r="AZ195" s="21" t="s">
        <v>83</v>
      </c>
      <c r="BA195" s="17" t="s">
        <v>248</v>
      </c>
      <c r="BB195" s="17" t="s">
        <v>246</v>
      </c>
      <c r="BC195" s="18">
        <f>--ISNUMBER(SEARCH("Radio or television",BA195))</f>
        <v>1</v>
      </c>
      <c r="BD195" s="18">
        <f>--ISNUMBER(SEARCH("Newspapers or print media",BA195))</f>
        <v>0</v>
      </c>
      <c r="BE195" s="18">
        <f>--ISNUMBER(SEARCH("Social media (e.g. Facebook, WhatsApp, YouTube, X/Twitter)",BA195))</f>
        <v>1</v>
      </c>
      <c r="BF195" s="18">
        <f>--ISNUMBER(SEARCH("Family members",BA195))</f>
        <v>0</v>
      </c>
      <c r="BG195" s="18">
        <f>--ISNUMBER(SEARCH("Friends or fellow students",BA195))</f>
        <v>0</v>
      </c>
      <c r="BH195" s="18">
        <f>--ISNUMBER(SEARCH("School coursework or lectures",BA195))</f>
        <v>1</v>
      </c>
      <c r="BI195" s="18">
        <f>--ISNUMBER(SEARCH("NHIMA outreach activities or NHIMA offices",BA195))</f>
        <v>0</v>
      </c>
      <c r="BJ195" s="18">
        <f>--ISNUMBER(SEARCH("Health facility staff",BA195))</f>
        <v>0</v>
      </c>
      <c r="BK195" s="18">
        <f>--ISNUMBER(SEARCH("not received information",BA195))</f>
        <v>0</v>
      </c>
      <c r="BL195" s="18">
        <f>IF(T195="","",--(T195='Codebook'!$F$13))</f>
        <v>1</v>
      </c>
      <c r="BM195" s="18">
        <f>IF(U195="","",--(U195='Codebook'!$F$14))</f>
        <v>1</v>
      </c>
      <c r="BN195" s="18">
        <f>IF(V195="","",--(V195='Codebook'!$F$15))</f>
        <v>0</v>
      </c>
      <c r="BO195" s="18">
        <f>IF(W195="","",--(W195='Codebook'!$F$16))</f>
        <v>1</v>
      </c>
      <c r="BP195" s="18">
        <f>IF(X195="","",--(X195='Codebook'!$F$17))</f>
        <v>1</v>
      </c>
      <c r="BQ195" s="18">
        <f>IF(Y195="","",--(Y195='Codebook'!$F$18))</f>
        <v>0</v>
      </c>
      <c r="BR195" s="18">
        <f>IF(Z195="","",--(Z195='Codebook'!$F$19))</f>
        <v>1</v>
      </c>
      <c r="BS195" s="18">
        <f>IF(AA195="","",--(AA195='Codebook'!$F$20))</f>
        <v>1</v>
      </c>
      <c r="BT195" s="18">
        <f>IF(AB195="","",--(AB195='Codebook'!$F$21))</f>
        <v>0</v>
      </c>
      <c r="BU195" s="18">
        <f>IF(AC195="","",--(AC195='Codebook'!$F$22))</f>
        <v>1</v>
      </c>
      <c r="BV195" s="18">
        <f>IF(AD195="","",--(AD195='Codebook'!$F$23))</f>
        <v>1</v>
      </c>
      <c r="BW195" s="18">
        <f>IF(AE195="","",--(AE195='Codebook'!$F$24))</f>
        <v>1</v>
      </c>
      <c r="BX195" s="18">
        <f>IF(AF195="","",--(AF195='Codebook'!$F$25))</f>
        <v>0</v>
      </c>
      <c r="BY195" s="18">
        <f>IF(AG195="","",--(AG195='Codebook'!$F$26))</f>
        <v>1</v>
      </c>
      <c r="BZ195" s="18">
        <f>IF(AH195="","",--(AH195='Codebook'!$F$27))</f>
        <v>1</v>
      </c>
      <c r="CA195" s="18">
        <f>IF(AI195="","",--(AI195='Codebook'!$F$28))</f>
        <v>0</v>
      </c>
      <c r="CB195" s="18">
        <f>IF(AJ195="","",--(AJ195='Codebook'!$F$29))</f>
        <v>0</v>
      </c>
      <c r="CC195" s="18">
        <f>IF(AK195="","",--(AK195='Codebook'!$F$30))</f>
        <v>1</v>
      </c>
      <c r="CD195" s="18">
        <f>IF(AL195="","",--(AL195='Codebook'!$F$31))</f>
        <v>0</v>
      </c>
      <c r="CE195" s="18">
        <f>IF(AM195="","",--(AM195='Codebook'!$F$32))</f>
        <v>1</v>
      </c>
      <c r="CF195" s="18">
        <f>IF(AN195="","",--(AN195='Codebook'!$F$33))</f>
        <v>1</v>
      </c>
      <c r="CG195" s="18">
        <f>IF(AO195="","",--(AO195='Codebook'!$F$34))</f>
        <v>1</v>
      </c>
      <c r="CH195" s="18">
        <f>IF(AP195="","",--(AP195='Codebook'!$F$35))</f>
        <v>1</v>
      </c>
      <c r="CI195" s="18">
        <f>IF(AQ195="","",--(AQ195='Codebook'!$F$36))</f>
        <v>1</v>
      </c>
      <c r="CJ195" s="18">
        <f>IF(AR195="","",--(AR195='Codebook'!$F$37))</f>
        <v>1</v>
      </c>
      <c r="CK195" s="18">
        <f>IF(AS195="","",--(AS195='Codebook'!$F$38))</f>
        <v>1</v>
      </c>
      <c r="CL195" s="18">
        <f>IF(AT195="","",--(AT195='Codebook'!$F$39))</f>
        <v>1</v>
      </c>
      <c r="CM195" s="18">
        <f>IF(AU195="","",--(AU195='Codebook'!$F$40))</f>
        <v>0</v>
      </c>
      <c r="CN195" s="18">
        <f>IF(AV195="","",--(AV195='Codebook'!$F$41))</f>
        <v>0</v>
      </c>
      <c r="CO195" s="18">
        <f>IF(AW195="","",--(AW195='Codebook'!$F$42))</f>
        <v>0</v>
      </c>
      <c r="CP195" s="18">
        <f>IF(AX195="","",--(AX195='Codebook'!$F$43))</f>
        <v>0</v>
      </c>
      <c r="CQ195" s="18">
        <f>IF(AY195="","",--(AY195='Codebook'!$F$44))</f>
        <v>0</v>
      </c>
      <c r="CR195" s="18">
        <f>IF(AZ195="","",--(AZ195='Codebook'!$F$45))</f>
        <v>0</v>
      </c>
    </row>
    <row r="196" spans="2:96" ht="24" customHeight="1">
      <c r="B196" s="18">
        <v>191</v>
      </c>
      <c r="C196" s="23">
        <v>46286.67488032408</v>
      </c>
      <c r="D196" s="21" t="s">
        <v>275</v>
      </c>
      <c r="E196" s="21" t="s">
        <v>194</v>
      </c>
      <c r="F196" s="21" t="s">
        <v>212</v>
      </c>
      <c r="G196" s="17" t="s">
        <v>196</v>
      </c>
      <c r="H196" s="21" t="s">
        <v>207</v>
      </c>
      <c r="I196" s="18">
        <f>SUM(BL196:BU196)</f>
        <v>6</v>
      </c>
      <c r="J196" s="18">
        <f>IF(COUNT(BV196:CD196)=9,SUM(BV196:CD196),"")</f>
        <v>5</v>
      </c>
      <c r="K196" s="18">
        <f>SUM(BL196:CD196)</f>
        <v>11</v>
      </c>
      <c r="L196" s="18">
        <f>--(K196&gt;='Codebook'!$C$8)</f>
        <v>0</v>
      </c>
      <c r="M196" s="18">
        <f>--(COUNT(BL196:CD196)=19)</f>
        <v>1</v>
      </c>
      <c r="N196" s="18">
        <f>SUM(CE196:CL196)</f>
        <v>6</v>
      </c>
      <c r="O196" s="18">
        <f>SUM(CM196:CR196)</f>
        <v>0</v>
      </c>
      <c r="P196" s="18">
        <f>N196+O196</f>
        <v>6</v>
      </c>
      <c r="Q196" s="21" t="s">
        <v>197</v>
      </c>
      <c r="R196" s="17" t="s">
        <v>152</v>
      </c>
      <c r="S196" s="18">
        <f>--OR(Overview!$B$6="All",E196=Overview!$B$6)*--OR(Overview!$F$6="All",F196=Overview!$F$6)*--OR(Overview!$J$6="All",G196=Overview!$J$6)*--OR(Overview!$N$6="All",H196=Overview!$N$6)</f>
        <v>1</v>
      </c>
      <c r="T196" s="21" t="s">
        <v>22</v>
      </c>
      <c r="U196" s="21" t="s">
        <v>22</v>
      </c>
      <c r="V196" s="21" t="s">
        <v>22</v>
      </c>
      <c r="W196" s="21" t="s">
        <v>22</v>
      </c>
      <c r="X196" s="21" t="s">
        <v>22</v>
      </c>
      <c r="Y196" s="21" t="s">
        <v>22</v>
      </c>
      <c r="Z196" s="21" t="s">
        <v>22</v>
      </c>
      <c r="AA196" s="21" t="s">
        <v>22</v>
      </c>
      <c r="AB196" s="21" t="s">
        <v>22</v>
      </c>
      <c r="AC196" s="21" t="s">
        <v>22</v>
      </c>
      <c r="AD196" s="21" t="s">
        <v>22</v>
      </c>
      <c r="AE196" s="21" t="s">
        <v>22</v>
      </c>
      <c r="AF196" s="21" t="s">
        <v>22</v>
      </c>
      <c r="AG196" s="21" t="s">
        <v>22</v>
      </c>
      <c r="AH196" s="21" t="s">
        <v>22</v>
      </c>
      <c r="AI196" s="21" t="s">
        <v>22</v>
      </c>
      <c r="AJ196" s="21" t="s">
        <v>22</v>
      </c>
      <c r="AK196" s="21" t="s">
        <v>22</v>
      </c>
      <c r="AL196" s="21" t="s">
        <v>22</v>
      </c>
      <c r="AM196" s="21" t="s">
        <v>83</v>
      </c>
      <c r="AN196" s="21" t="s">
        <v>109</v>
      </c>
      <c r="AO196" s="21" t="s">
        <v>83</v>
      </c>
      <c r="AP196" s="21" t="s">
        <v>83</v>
      </c>
      <c r="AQ196" s="21" t="s">
        <v>83</v>
      </c>
      <c r="AR196" s="21" t="s">
        <v>83</v>
      </c>
      <c r="AS196" s="21" t="s">
        <v>83</v>
      </c>
      <c r="AT196" s="21" t="s">
        <v>198</v>
      </c>
      <c r="AU196" s="21" t="s">
        <v>198</v>
      </c>
      <c r="AV196" s="21" t="s">
        <v>198</v>
      </c>
      <c r="AW196" s="21" t="s">
        <v>198</v>
      </c>
      <c r="AX196" s="21" t="s">
        <v>198</v>
      </c>
      <c r="AY196" s="21" t="s">
        <v>198</v>
      </c>
      <c r="AZ196" s="21" t="s">
        <v>83</v>
      </c>
      <c r="BA196" s="17" t="s">
        <v>324</v>
      </c>
      <c r="BB196" s="17" t="s">
        <v>223</v>
      </c>
      <c r="BC196" s="18">
        <f>--ISNUMBER(SEARCH("Radio or television",BA196))</f>
        <v>1</v>
      </c>
      <c r="BD196" s="18">
        <f>--ISNUMBER(SEARCH("Newspapers or print media",BA196))</f>
        <v>0</v>
      </c>
      <c r="BE196" s="18">
        <f>--ISNUMBER(SEARCH("Social media (e.g. Facebook, WhatsApp, YouTube, X/Twitter)",BA196))</f>
        <v>0</v>
      </c>
      <c r="BF196" s="18">
        <f>--ISNUMBER(SEARCH("Family members",BA196))</f>
        <v>1</v>
      </c>
      <c r="BG196" s="18">
        <f>--ISNUMBER(SEARCH("Friends or fellow students",BA196))</f>
        <v>0</v>
      </c>
      <c r="BH196" s="18">
        <f>--ISNUMBER(SEARCH("School coursework or lectures",BA196))</f>
        <v>0</v>
      </c>
      <c r="BI196" s="18">
        <f>--ISNUMBER(SEARCH("NHIMA outreach activities or NHIMA offices",BA196))</f>
        <v>0</v>
      </c>
      <c r="BJ196" s="18">
        <f>--ISNUMBER(SEARCH("Health facility staff",BA196))</f>
        <v>0</v>
      </c>
      <c r="BK196" s="18">
        <f>--ISNUMBER(SEARCH("not received information",BA196))</f>
        <v>0</v>
      </c>
      <c r="BL196" s="18">
        <f>IF(T196="","",--(T196='Codebook'!$F$13))</f>
        <v>1</v>
      </c>
      <c r="BM196" s="18">
        <f>IF(U196="","",--(U196='Codebook'!$F$14))</f>
        <v>0</v>
      </c>
      <c r="BN196" s="18">
        <f>IF(V196="","",--(V196='Codebook'!$F$15))</f>
        <v>0</v>
      </c>
      <c r="BO196" s="18">
        <f>IF(W196="","",--(W196='Codebook'!$F$16))</f>
        <v>1</v>
      </c>
      <c r="BP196" s="18">
        <f>IF(X196="","",--(X196='Codebook'!$F$17))</f>
        <v>1</v>
      </c>
      <c r="BQ196" s="18">
        <f>IF(Y196="","",--(Y196='Codebook'!$F$18))</f>
        <v>0</v>
      </c>
      <c r="BR196" s="18">
        <f>IF(Z196="","",--(Z196='Codebook'!$F$19))</f>
        <v>1</v>
      </c>
      <c r="BS196" s="18">
        <f>IF(AA196="","",--(AA196='Codebook'!$F$20))</f>
        <v>1</v>
      </c>
      <c r="BT196" s="18">
        <f>IF(AB196="","",--(AB196='Codebook'!$F$21))</f>
        <v>0</v>
      </c>
      <c r="BU196" s="18">
        <f>IF(AC196="","",--(AC196='Codebook'!$F$22))</f>
        <v>1</v>
      </c>
      <c r="BV196" s="18">
        <f>IF(AD196="","",--(AD196='Codebook'!$F$23))</f>
        <v>1</v>
      </c>
      <c r="BW196" s="18">
        <f>IF(AE196="","",--(AE196='Codebook'!$F$24))</f>
        <v>1</v>
      </c>
      <c r="BX196" s="18">
        <f>IF(AF196="","",--(AF196='Codebook'!$F$25))</f>
        <v>0</v>
      </c>
      <c r="BY196" s="18">
        <f>IF(AG196="","",--(AG196='Codebook'!$F$26))</f>
        <v>1</v>
      </c>
      <c r="BZ196" s="18">
        <f>IF(AH196="","",--(AH196='Codebook'!$F$27))</f>
        <v>1</v>
      </c>
      <c r="CA196" s="18">
        <f>IF(AI196="","",--(AI196='Codebook'!$F$28))</f>
        <v>0</v>
      </c>
      <c r="CB196" s="18">
        <f>IF(AJ196="","",--(AJ196='Codebook'!$F$29))</f>
        <v>0</v>
      </c>
      <c r="CC196" s="18">
        <f>IF(AK196="","",--(AK196='Codebook'!$F$30))</f>
        <v>1</v>
      </c>
      <c r="CD196" s="18">
        <f>IF(AL196="","",--(AL196='Codebook'!$F$31))</f>
        <v>0</v>
      </c>
      <c r="CE196" s="18">
        <f>IF(AM196="","",--(AM196='Codebook'!$F$32))</f>
        <v>1</v>
      </c>
      <c r="CF196" s="18">
        <f>IF(AN196="","",--(AN196='Codebook'!$F$33))</f>
        <v>0</v>
      </c>
      <c r="CG196" s="18">
        <f>IF(AO196="","",--(AO196='Codebook'!$F$34))</f>
        <v>1</v>
      </c>
      <c r="CH196" s="18">
        <f>IF(AP196="","",--(AP196='Codebook'!$F$35))</f>
        <v>1</v>
      </c>
      <c r="CI196" s="18">
        <f>IF(AQ196="","",--(AQ196='Codebook'!$F$36))</f>
        <v>1</v>
      </c>
      <c r="CJ196" s="18">
        <f>IF(AR196="","",--(AR196='Codebook'!$F$37))</f>
        <v>1</v>
      </c>
      <c r="CK196" s="18">
        <f>IF(AS196="","",--(AS196='Codebook'!$F$38))</f>
        <v>1</v>
      </c>
      <c r="CL196" s="18">
        <f>IF(AT196="","",--(AT196='Codebook'!$F$39))</f>
        <v>0</v>
      </c>
      <c r="CM196" s="18">
        <f>IF(AU196="","",--(AU196='Codebook'!$F$40))</f>
        <v>0</v>
      </c>
      <c r="CN196" s="18">
        <f>IF(AV196="","",--(AV196='Codebook'!$F$41))</f>
        <v>0</v>
      </c>
      <c r="CO196" s="18">
        <f>IF(AW196="","",--(AW196='Codebook'!$F$42))</f>
        <v>0</v>
      </c>
      <c r="CP196" s="18">
        <f>IF(AX196="","",--(AX196='Codebook'!$F$43))</f>
        <v>0</v>
      </c>
      <c r="CQ196" s="18">
        <f>IF(AY196="","",--(AY196='Codebook'!$F$44))</f>
        <v>0</v>
      </c>
      <c r="CR196" s="18">
        <f>IF(AZ196="","",--(AZ196='Codebook'!$F$45))</f>
        <v>0</v>
      </c>
    </row>
    <row r="197" spans="2:96" ht="24" customHeight="1">
      <c r="B197" s="18">
        <v>192</v>
      </c>
      <c r="C197" s="23">
        <v>46286.6755212963</v>
      </c>
      <c r="D197" s="21" t="s">
        <v>275</v>
      </c>
      <c r="E197" s="21" t="s">
        <v>194</v>
      </c>
      <c r="F197" s="21" t="s">
        <v>201</v>
      </c>
      <c r="G197" s="17" t="s">
        <v>247</v>
      </c>
      <c r="H197" s="21" t="s">
        <v>197</v>
      </c>
      <c r="I197" s="18">
        <f>SUM(BL197:BU197)</f>
        <v>6</v>
      </c>
      <c r="J197" s="18">
        <f>IF(COUNT(BV197:CD197)=9,SUM(BV197:CD197),"")</f>
        <v>5</v>
      </c>
      <c r="K197" s="18">
        <f>SUM(BL197:CD197)</f>
        <v>11</v>
      </c>
      <c r="L197" s="18">
        <f>--(K197&gt;='Codebook'!$C$8)</f>
        <v>0</v>
      </c>
      <c r="M197" s="18">
        <f>--(COUNT(BL197:CD197)=19)</f>
        <v>1</v>
      </c>
      <c r="N197" s="18">
        <f>SUM(CE197:CL197)</f>
        <v>6</v>
      </c>
      <c r="O197" s="18">
        <f>SUM(CM197:CR197)</f>
        <v>3</v>
      </c>
      <c r="P197" s="18">
        <f>N197+O197</f>
        <v>9</v>
      </c>
      <c r="Q197" s="21" t="s">
        <v>198</v>
      </c>
      <c r="R197" s="17" t="s">
        <v>216</v>
      </c>
      <c r="S197" s="18">
        <f>--OR(Overview!$B$6="All",E197=Overview!$B$6)*--OR(Overview!$F$6="All",F197=Overview!$F$6)*--OR(Overview!$J$6="All",G197=Overview!$J$6)*--OR(Overview!$N$6="All",H197=Overview!$N$6)</f>
        <v>1</v>
      </c>
      <c r="T197" s="21" t="s">
        <v>198</v>
      </c>
      <c r="U197" s="21" t="s">
        <v>22</v>
      </c>
      <c r="V197" s="21" t="s">
        <v>26</v>
      </c>
      <c r="W197" s="21" t="s">
        <v>22</v>
      </c>
      <c r="X197" s="21" t="s">
        <v>22</v>
      </c>
      <c r="Y197" s="21" t="s">
        <v>22</v>
      </c>
      <c r="Z197" s="21" t="s">
        <v>22</v>
      </c>
      <c r="AA197" s="21" t="s">
        <v>22</v>
      </c>
      <c r="AB197" s="21" t="s">
        <v>22</v>
      </c>
      <c r="AC197" s="21" t="s">
        <v>22</v>
      </c>
      <c r="AD197" s="21" t="s">
        <v>22</v>
      </c>
      <c r="AE197" s="21" t="s">
        <v>22</v>
      </c>
      <c r="AF197" s="21" t="s">
        <v>22</v>
      </c>
      <c r="AG197" s="21" t="s">
        <v>22</v>
      </c>
      <c r="AH197" s="21" t="s">
        <v>22</v>
      </c>
      <c r="AI197" s="21" t="s">
        <v>22</v>
      </c>
      <c r="AJ197" s="21" t="s">
        <v>22</v>
      </c>
      <c r="AK197" s="21" t="s">
        <v>22</v>
      </c>
      <c r="AL197" s="21" t="s">
        <v>22</v>
      </c>
      <c r="AM197" s="21" t="s">
        <v>83</v>
      </c>
      <c r="AN197" s="21" t="s">
        <v>83</v>
      </c>
      <c r="AO197" s="21" t="s">
        <v>109</v>
      </c>
      <c r="AP197" s="21" t="s">
        <v>83</v>
      </c>
      <c r="AQ197" s="21" t="s">
        <v>83</v>
      </c>
      <c r="AR197" s="21" t="s">
        <v>83</v>
      </c>
      <c r="AS197" s="21" t="s">
        <v>109</v>
      </c>
      <c r="AT197" s="21" t="s">
        <v>83</v>
      </c>
      <c r="AU197" s="21" t="s">
        <v>109</v>
      </c>
      <c r="AV197" s="21" t="s">
        <v>83</v>
      </c>
      <c r="AW197" s="21" t="s">
        <v>83</v>
      </c>
      <c r="AX197" s="21" t="s">
        <v>109</v>
      </c>
      <c r="AY197" s="21" t="s">
        <v>83</v>
      </c>
      <c r="AZ197" s="21" t="s">
        <v>109</v>
      </c>
      <c r="BA197" s="17" t="s">
        <v>264</v>
      </c>
      <c r="BB197" s="17" t="s">
        <v>246</v>
      </c>
      <c r="BC197" s="18">
        <f>--ISNUMBER(SEARCH("Radio or television",BA197))</f>
        <v>1</v>
      </c>
      <c r="BD197" s="18">
        <f>--ISNUMBER(SEARCH("Newspapers or print media",BA197))</f>
        <v>0</v>
      </c>
      <c r="BE197" s="18">
        <f>--ISNUMBER(SEARCH("Social media (e.g. Facebook, WhatsApp, YouTube, X/Twitter)",BA197))</f>
        <v>1</v>
      </c>
      <c r="BF197" s="18">
        <f>--ISNUMBER(SEARCH("Family members",BA197))</f>
        <v>1</v>
      </c>
      <c r="BG197" s="18">
        <f>--ISNUMBER(SEARCH("Friends or fellow students",BA197))</f>
        <v>1</v>
      </c>
      <c r="BH197" s="18">
        <f>--ISNUMBER(SEARCH("School coursework or lectures",BA197))</f>
        <v>0</v>
      </c>
      <c r="BI197" s="18">
        <f>--ISNUMBER(SEARCH("NHIMA outreach activities or NHIMA offices",BA197))</f>
        <v>0</v>
      </c>
      <c r="BJ197" s="18">
        <f>--ISNUMBER(SEARCH("Health facility staff",BA197))</f>
        <v>0</v>
      </c>
      <c r="BK197" s="18">
        <f>--ISNUMBER(SEARCH("not received information",BA197))</f>
        <v>0</v>
      </c>
      <c r="BL197" s="18">
        <f>IF(T197="","",--(T197='Codebook'!$F$13))</f>
        <v>0</v>
      </c>
      <c r="BM197" s="18">
        <f>IF(U197="","",--(U197='Codebook'!$F$14))</f>
        <v>0</v>
      </c>
      <c r="BN197" s="18">
        <f>IF(V197="","",--(V197='Codebook'!$F$15))</f>
        <v>1</v>
      </c>
      <c r="BO197" s="18">
        <f>IF(W197="","",--(W197='Codebook'!$F$16))</f>
        <v>1</v>
      </c>
      <c r="BP197" s="18">
        <f>IF(X197="","",--(X197='Codebook'!$F$17))</f>
        <v>1</v>
      </c>
      <c r="BQ197" s="18">
        <f>IF(Y197="","",--(Y197='Codebook'!$F$18))</f>
        <v>0</v>
      </c>
      <c r="BR197" s="18">
        <f>IF(Z197="","",--(Z197='Codebook'!$F$19))</f>
        <v>1</v>
      </c>
      <c r="BS197" s="18">
        <f>IF(AA197="","",--(AA197='Codebook'!$F$20))</f>
        <v>1</v>
      </c>
      <c r="BT197" s="18">
        <f>IF(AB197="","",--(AB197='Codebook'!$F$21))</f>
        <v>0</v>
      </c>
      <c r="BU197" s="18">
        <f>IF(AC197="","",--(AC197='Codebook'!$F$22))</f>
        <v>1</v>
      </c>
      <c r="BV197" s="18">
        <f>IF(AD197="","",--(AD197='Codebook'!$F$23))</f>
        <v>1</v>
      </c>
      <c r="BW197" s="18">
        <f>IF(AE197="","",--(AE197='Codebook'!$F$24))</f>
        <v>1</v>
      </c>
      <c r="BX197" s="18">
        <f>IF(AF197="","",--(AF197='Codebook'!$F$25))</f>
        <v>0</v>
      </c>
      <c r="BY197" s="18">
        <f>IF(AG197="","",--(AG197='Codebook'!$F$26))</f>
        <v>1</v>
      </c>
      <c r="BZ197" s="18">
        <f>IF(AH197="","",--(AH197='Codebook'!$F$27))</f>
        <v>1</v>
      </c>
      <c r="CA197" s="18">
        <f>IF(AI197="","",--(AI197='Codebook'!$F$28))</f>
        <v>0</v>
      </c>
      <c r="CB197" s="18">
        <f>IF(AJ197="","",--(AJ197='Codebook'!$F$29))</f>
        <v>0</v>
      </c>
      <c r="CC197" s="18">
        <f>IF(AK197="","",--(AK197='Codebook'!$F$30))</f>
        <v>1</v>
      </c>
      <c r="CD197" s="18">
        <f>IF(AL197="","",--(AL197='Codebook'!$F$31))</f>
        <v>0</v>
      </c>
      <c r="CE197" s="18">
        <f>IF(AM197="","",--(AM197='Codebook'!$F$32))</f>
        <v>1</v>
      </c>
      <c r="CF197" s="18">
        <f>IF(AN197="","",--(AN197='Codebook'!$F$33))</f>
        <v>1</v>
      </c>
      <c r="CG197" s="18">
        <f>IF(AO197="","",--(AO197='Codebook'!$F$34))</f>
        <v>0</v>
      </c>
      <c r="CH197" s="18">
        <f>IF(AP197="","",--(AP197='Codebook'!$F$35))</f>
        <v>1</v>
      </c>
      <c r="CI197" s="18">
        <f>IF(AQ197="","",--(AQ197='Codebook'!$F$36))</f>
        <v>1</v>
      </c>
      <c r="CJ197" s="18">
        <f>IF(AR197="","",--(AR197='Codebook'!$F$37))</f>
        <v>1</v>
      </c>
      <c r="CK197" s="18">
        <f>IF(AS197="","",--(AS197='Codebook'!$F$38))</f>
        <v>0</v>
      </c>
      <c r="CL197" s="18">
        <f>IF(AT197="","",--(AT197='Codebook'!$F$39))</f>
        <v>1</v>
      </c>
      <c r="CM197" s="18">
        <f>IF(AU197="","",--(AU197='Codebook'!$F$40))</f>
        <v>1</v>
      </c>
      <c r="CN197" s="18">
        <f>IF(AV197="","",--(AV197='Codebook'!$F$41))</f>
        <v>0</v>
      </c>
      <c r="CO197" s="18">
        <f>IF(AW197="","",--(AW197='Codebook'!$F$42))</f>
        <v>0</v>
      </c>
      <c r="CP197" s="18">
        <f>IF(AX197="","",--(AX197='Codebook'!$F$43))</f>
        <v>1</v>
      </c>
      <c r="CQ197" s="18">
        <f>IF(AY197="","",--(AY197='Codebook'!$F$44))</f>
        <v>0</v>
      </c>
      <c r="CR197" s="18">
        <f>IF(AZ197="","",--(AZ197='Codebook'!$F$45))</f>
        <v>1</v>
      </c>
    </row>
    <row r="198" spans="2:96" ht="24" customHeight="1">
      <c r="B198" s="18">
        <v>193</v>
      </c>
      <c r="C198" s="23">
        <v>46286.67628159723</v>
      </c>
      <c r="D198" s="21" t="s">
        <v>275</v>
      </c>
      <c r="E198" s="21" t="s">
        <v>194</v>
      </c>
      <c r="F198" s="21" t="s">
        <v>195</v>
      </c>
      <c r="G198" s="17" t="s">
        <v>247</v>
      </c>
      <c r="H198" s="21" t="s">
        <v>198</v>
      </c>
      <c r="I198" s="18">
        <f>SUM(BL198:BU198)</f>
        <v>2</v>
      </c>
      <c r="J198" s="18">
        <f>IF(COUNT(BV198:CD198)=9,SUM(BV198:CD198),"")</f>
        <v>1</v>
      </c>
      <c r="K198" s="18">
        <f>SUM(BL198:CD198)</f>
        <v>3</v>
      </c>
      <c r="L198" s="18">
        <f>--(K198&gt;='Codebook'!$C$8)</f>
        <v>0</v>
      </c>
      <c r="M198" s="18">
        <f>--(COUNT(BL198:CD198)=19)</f>
        <v>1</v>
      </c>
      <c r="N198" s="18">
        <f>SUM(CE198:CL198)</f>
        <v>1</v>
      </c>
      <c r="O198" s="18">
        <f>SUM(CM198:CR198)</f>
        <v>0</v>
      </c>
      <c r="P198" s="18">
        <f>N198+O198</f>
        <v>1</v>
      </c>
      <c r="Q198" s="21" t="s">
        <v>197</v>
      </c>
      <c r="R198" s="17" t="s">
        <v>216</v>
      </c>
      <c r="S198" s="18">
        <f>--OR(Overview!$B$6="All",E198=Overview!$B$6)*--OR(Overview!$F$6="All",F198=Overview!$F$6)*--OR(Overview!$J$6="All",G198=Overview!$J$6)*--OR(Overview!$N$6="All",H198=Overview!$N$6)</f>
        <v>1</v>
      </c>
      <c r="T198" s="21" t="s">
        <v>198</v>
      </c>
      <c r="U198" s="21" t="s">
        <v>22</v>
      </c>
      <c r="V198" s="21" t="s">
        <v>198</v>
      </c>
      <c r="W198" s="21" t="s">
        <v>26</v>
      </c>
      <c r="X198" s="21" t="s">
        <v>22</v>
      </c>
      <c r="Y198" s="21" t="s">
        <v>22</v>
      </c>
      <c r="Z198" s="21" t="s">
        <v>198</v>
      </c>
      <c r="AA198" s="21" t="s">
        <v>26</v>
      </c>
      <c r="AB198" s="21" t="s">
        <v>198</v>
      </c>
      <c r="AC198" s="21" t="s">
        <v>22</v>
      </c>
      <c r="AD198" s="21" t="s">
        <v>22</v>
      </c>
      <c r="AE198" s="21" t="s">
        <v>26</v>
      </c>
      <c r="AF198" s="21" t="s">
        <v>198</v>
      </c>
      <c r="AG198" s="21" t="s">
        <v>26</v>
      </c>
      <c r="AH198" s="21" t="s">
        <v>26</v>
      </c>
      <c r="AI198" s="21" t="s">
        <v>22</v>
      </c>
      <c r="AJ198" s="21" t="s">
        <v>22</v>
      </c>
      <c r="AK198" s="21" t="s">
        <v>198</v>
      </c>
      <c r="AL198" s="21" t="s">
        <v>22</v>
      </c>
      <c r="AM198" s="21" t="s">
        <v>83</v>
      </c>
      <c r="AN198" s="21" t="s">
        <v>198</v>
      </c>
      <c r="AO198" s="21" t="s">
        <v>198</v>
      </c>
      <c r="AP198" s="21" t="s">
        <v>198</v>
      </c>
      <c r="AQ198" s="21" t="s">
        <v>198</v>
      </c>
      <c r="AR198" s="21" t="s">
        <v>198</v>
      </c>
      <c r="AS198" s="21" t="s">
        <v>198</v>
      </c>
      <c r="AT198" s="21" t="s">
        <v>198</v>
      </c>
      <c r="AU198" s="21" t="s">
        <v>198</v>
      </c>
      <c r="AV198" s="21" t="s">
        <v>198</v>
      </c>
      <c r="AW198" s="21" t="s">
        <v>198</v>
      </c>
      <c r="AX198" s="21" t="s">
        <v>198</v>
      </c>
      <c r="AY198" s="21" t="s">
        <v>198</v>
      </c>
      <c r="AZ198" s="21" t="s">
        <v>198</v>
      </c>
      <c r="BA198" s="17" t="s">
        <v>292</v>
      </c>
      <c r="BB198" s="17" t="s">
        <v>291</v>
      </c>
      <c r="BC198" s="18">
        <f>--ISNUMBER(SEARCH("Radio or television",BA198))</f>
        <v>1</v>
      </c>
      <c r="BD198" s="18">
        <f>--ISNUMBER(SEARCH("Newspapers or print media",BA198))</f>
        <v>0</v>
      </c>
      <c r="BE198" s="18">
        <f>--ISNUMBER(SEARCH("Social media (e.g. Facebook, WhatsApp, YouTube, X/Twitter)",BA198))</f>
        <v>1</v>
      </c>
      <c r="BF198" s="18">
        <f>--ISNUMBER(SEARCH("Family members",BA198))</f>
        <v>0</v>
      </c>
      <c r="BG198" s="18">
        <f>--ISNUMBER(SEARCH("Friends or fellow students",BA198))</f>
        <v>1</v>
      </c>
      <c r="BH198" s="18">
        <f>--ISNUMBER(SEARCH("School coursework or lectures",BA198))</f>
        <v>0</v>
      </c>
      <c r="BI198" s="18">
        <f>--ISNUMBER(SEARCH("NHIMA outreach activities or NHIMA offices",BA198))</f>
        <v>0</v>
      </c>
      <c r="BJ198" s="18">
        <f>--ISNUMBER(SEARCH("Health facility staff",BA198))</f>
        <v>0</v>
      </c>
      <c r="BK198" s="18">
        <f>--ISNUMBER(SEARCH("not received information",BA198))</f>
        <v>0</v>
      </c>
      <c r="BL198" s="18">
        <f>IF(T198="","",--(T198='Codebook'!$F$13))</f>
        <v>0</v>
      </c>
      <c r="BM198" s="18">
        <f>IF(U198="","",--(U198='Codebook'!$F$14))</f>
        <v>0</v>
      </c>
      <c r="BN198" s="18">
        <f>IF(V198="","",--(V198='Codebook'!$F$15))</f>
        <v>0</v>
      </c>
      <c r="BO198" s="18">
        <f>IF(W198="","",--(W198='Codebook'!$F$16))</f>
        <v>0</v>
      </c>
      <c r="BP198" s="18">
        <f>IF(X198="","",--(X198='Codebook'!$F$17))</f>
        <v>1</v>
      </c>
      <c r="BQ198" s="18">
        <f>IF(Y198="","",--(Y198='Codebook'!$F$18))</f>
        <v>0</v>
      </c>
      <c r="BR198" s="18">
        <f>IF(Z198="","",--(Z198='Codebook'!$F$19))</f>
        <v>0</v>
      </c>
      <c r="BS198" s="18">
        <f>IF(AA198="","",--(AA198='Codebook'!$F$20))</f>
        <v>0</v>
      </c>
      <c r="BT198" s="18">
        <f>IF(AB198="","",--(AB198='Codebook'!$F$21))</f>
        <v>0</v>
      </c>
      <c r="BU198" s="18">
        <f>IF(AC198="","",--(AC198='Codebook'!$F$22))</f>
        <v>1</v>
      </c>
      <c r="BV198" s="18">
        <f>IF(AD198="","",--(AD198='Codebook'!$F$23))</f>
        <v>1</v>
      </c>
      <c r="BW198" s="18">
        <f>IF(AE198="","",--(AE198='Codebook'!$F$24))</f>
        <v>0</v>
      </c>
      <c r="BX198" s="18">
        <f>IF(AF198="","",--(AF198='Codebook'!$F$25))</f>
        <v>0</v>
      </c>
      <c r="BY198" s="18">
        <f>IF(AG198="","",--(AG198='Codebook'!$F$26))</f>
        <v>0</v>
      </c>
      <c r="BZ198" s="18">
        <f>IF(AH198="","",--(AH198='Codebook'!$F$27))</f>
        <v>0</v>
      </c>
      <c r="CA198" s="18">
        <f>IF(AI198="","",--(AI198='Codebook'!$F$28))</f>
        <v>0</v>
      </c>
      <c r="CB198" s="18">
        <f>IF(AJ198="","",--(AJ198='Codebook'!$F$29))</f>
        <v>0</v>
      </c>
      <c r="CC198" s="18">
        <f>IF(AK198="","",--(AK198='Codebook'!$F$30))</f>
        <v>0</v>
      </c>
      <c r="CD198" s="18">
        <f>IF(AL198="","",--(AL198='Codebook'!$F$31))</f>
        <v>0</v>
      </c>
      <c r="CE198" s="18">
        <f>IF(AM198="","",--(AM198='Codebook'!$F$32))</f>
        <v>1</v>
      </c>
      <c r="CF198" s="18">
        <f>IF(AN198="","",--(AN198='Codebook'!$F$33))</f>
        <v>0</v>
      </c>
      <c r="CG198" s="18">
        <f>IF(AO198="","",--(AO198='Codebook'!$F$34))</f>
        <v>0</v>
      </c>
      <c r="CH198" s="18">
        <f>IF(AP198="","",--(AP198='Codebook'!$F$35))</f>
        <v>0</v>
      </c>
      <c r="CI198" s="18">
        <f>IF(AQ198="","",--(AQ198='Codebook'!$F$36))</f>
        <v>0</v>
      </c>
      <c r="CJ198" s="18">
        <f>IF(AR198="","",--(AR198='Codebook'!$F$37))</f>
        <v>0</v>
      </c>
      <c r="CK198" s="18">
        <f>IF(AS198="","",--(AS198='Codebook'!$F$38))</f>
        <v>0</v>
      </c>
      <c r="CL198" s="18">
        <f>IF(AT198="","",--(AT198='Codebook'!$F$39))</f>
        <v>0</v>
      </c>
      <c r="CM198" s="18">
        <f>IF(AU198="","",--(AU198='Codebook'!$F$40))</f>
        <v>0</v>
      </c>
      <c r="CN198" s="18">
        <f>IF(AV198="","",--(AV198='Codebook'!$F$41))</f>
        <v>0</v>
      </c>
      <c r="CO198" s="18">
        <f>IF(AW198="","",--(AW198='Codebook'!$F$42))</f>
        <v>0</v>
      </c>
      <c r="CP198" s="18">
        <f>IF(AX198="","",--(AX198='Codebook'!$F$43))</f>
        <v>0</v>
      </c>
      <c r="CQ198" s="18">
        <f>IF(AY198="","",--(AY198='Codebook'!$F$44))</f>
        <v>0</v>
      </c>
      <c r="CR198" s="18">
        <f>IF(AZ198="","",--(AZ198='Codebook'!$F$45))</f>
        <v>0</v>
      </c>
    </row>
    <row r="199" spans="2:96" ht="24" customHeight="1">
      <c r="B199" s="18">
        <v>194</v>
      </c>
      <c r="C199" s="23">
        <v>46286.67702854166</v>
      </c>
      <c r="D199" s="21" t="s">
        <v>275</v>
      </c>
      <c r="E199" s="21" t="s">
        <v>206</v>
      </c>
      <c r="F199" s="21" t="s">
        <v>212</v>
      </c>
      <c r="G199" s="17" t="s">
        <v>215</v>
      </c>
      <c r="H199" s="21" t="s">
        <v>207</v>
      </c>
      <c r="I199" s="18">
        <f>SUM(BL199:BU199)</f>
        <v>6</v>
      </c>
      <c r="J199" s="18">
        <f>IF(COUNT(BV199:CD199)=9,SUM(BV199:CD199),"")</f>
        <v>6</v>
      </c>
      <c r="K199" s="18">
        <f>SUM(BL199:CD199)</f>
        <v>12</v>
      </c>
      <c r="L199" s="18">
        <f>--(K199&gt;='Codebook'!$C$8)</f>
        <v>1</v>
      </c>
      <c r="M199" s="18">
        <f>--(COUNT(BL199:CD199)=19)</f>
        <v>1</v>
      </c>
      <c r="N199" s="18">
        <f>SUM(CE199:CL199)</f>
        <v>2</v>
      </c>
      <c r="O199" s="18">
        <f>SUM(CM199:CR199)</f>
        <v>3</v>
      </c>
      <c r="P199" s="18">
        <f>N199+O199</f>
        <v>5</v>
      </c>
      <c r="Q199" s="21" t="s">
        <v>198</v>
      </c>
      <c r="R199" s="17" t="s">
        <v>156</v>
      </c>
      <c r="S199" s="18">
        <f>--OR(Overview!$B$6="All",E199=Overview!$B$6)*--OR(Overview!$F$6="All",F199=Overview!$F$6)*--OR(Overview!$J$6="All",G199=Overview!$J$6)*--OR(Overview!$N$6="All",H199=Overview!$N$6)</f>
        <v>1</v>
      </c>
      <c r="T199" s="21" t="s">
        <v>22</v>
      </c>
      <c r="U199" s="21" t="s">
        <v>22</v>
      </c>
      <c r="V199" s="21" t="s">
        <v>22</v>
      </c>
      <c r="W199" s="21" t="s">
        <v>22</v>
      </c>
      <c r="X199" s="21" t="s">
        <v>26</v>
      </c>
      <c r="Y199" s="21" t="s">
        <v>26</v>
      </c>
      <c r="Z199" s="21" t="s">
        <v>22</v>
      </c>
      <c r="AA199" s="21" t="s">
        <v>22</v>
      </c>
      <c r="AB199" s="21" t="s">
        <v>22</v>
      </c>
      <c r="AC199" s="21" t="s">
        <v>22</v>
      </c>
      <c r="AD199" s="21" t="s">
        <v>22</v>
      </c>
      <c r="AE199" s="21" t="s">
        <v>22</v>
      </c>
      <c r="AF199" s="21" t="s">
        <v>22</v>
      </c>
      <c r="AG199" s="21" t="s">
        <v>22</v>
      </c>
      <c r="AH199" s="21" t="s">
        <v>22</v>
      </c>
      <c r="AI199" s="21" t="s">
        <v>26</v>
      </c>
      <c r="AJ199" s="21" t="s">
        <v>22</v>
      </c>
      <c r="AK199" s="21" t="s">
        <v>22</v>
      </c>
      <c r="AL199" s="21" t="s">
        <v>22</v>
      </c>
      <c r="AM199" s="21" t="s">
        <v>83</v>
      </c>
      <c r="AN199" s="21" t="s">
        <v>109</v>
      </c>
      <c r="AO199" s="21" t="s">
        <v>109</v>
      </c>
      <c r="AP199" s="21" t="s">
        <v>109</v>
      </c>
      <c r="AQ199" s="21" t="s">
        <v>198</v>
      </c>
      <c r="AR199" s="21" t="s">
        <v>198</v>
      </c>
      <c r="AS199" s="21" t="s">
        <v>83</v>
      </c>
      <c r="AT199" s="21" t="s">
        <v>109</v>
      </c>
      <c r="AU199" s="21" t="s">
        <v>83</v>
      </c>
      <c r="AV199" s="21" t="s">
        <v>83</v>
      </c>
      <c r="AW199" s="21" t="s">
        <v>109</v>
      </c>
      <c r="AX199" s="21" t="s">
        <v>109</v>
      </c>
      <c r="AY199" s="21" t="s">
        <v>198</v>
      </c>
      <c r="AZ199" s="21" t="s">
        <v>109</v>
      </c>
      <c r="BA199" s="17" t="s">
        <v>325</v>
      </c>
      <c r="BB199" s="17" t="s">
        <v>313</v>
      </c>
      <c r="BC199" s="18">
        <f>--ISNUMBER(SEARCH("Radio or television",BA199))</f>
        <v>0</v>
      </c>
      <c r="BD199" s="18">
        <f>--ISNUMBER(SEARCH("Newspapers or print media",BA199))</f>
        <v>0</v>
      </c>
      <c r="BE199" s="18">
        <f>--ISNUMBER(SEARCH("Social media (e.g. Facebook, WhatsApp, YouTube, X/Twitter)",BA199))</f>
        <v>0</v>
      </c>
      <c r="BF199" s="18">
        <f>--ISNUMBER(SEARCH("Family members",BA199))</f>
        <v>1</v>
      </c>
      <c r="BG199" s="18">
        <f>--ISNUMBER(SEARCH("Friends or fellow students",BA199))</f>
        <v>0</v>
      </c>
      <c r="BH199" s="18">
        <f>--ISNUMBER(SEARCH("School coursework or lectures",BA199))</f>
        <v>1</v>
      </c>
      <c r="BI199" s="18">
        <f>--ISNUMBER(SEARCH("NHIMA outreach activities or NHIMA offices",BA199))</f>
        <v>0</v>
      </c>
      <c r="BJ199" s="18">
        <f>--ISNUMBER(SEARCH("Health facility staff",BA199))</f>
        <v>0</v>
      </c>
      <c r="BK199" s="18">
        <f>--ISNUMBER(SEARCH("not received information",BA199))</f>
        <v>0</v>
      </c>
      <c r="BL199" s="18">
        <f>IF(T199="","",--(T199='Codebook'!$F$13))</f>
        <v>1</v>
      </c>
      <c r="BM199" s="18">
        <f>IF(U199="","",--(U199='Codebook'!$F$14))</f>
        <v>0</v>
      </c>
      <c r="BN199" s="18">
        <f>IF(V199="","",--(V199='Codebook'!$F$15))</f>
        <v>0</v>
      </c>
      <c r="BO199" s="18">
        <f>IF(W199="","",--(W199='Codebook'!$F$16))</f>
        <v>1</v>
      </c>
      <c r="BP199" s="18">
        <f>IF(X199="","",--(X199='Codebook'!$F$17))</f>
        <v>0</v>
      </c>
      <c r="BQ199" s="18">
        <f>IF(Y199="","",--(Y199='Codebook'!$F$18))</f>
        <v>1</v>
      </c>
      <c r="BR199" s="18">
        <f>IF(Z199="","",--(Z199='Codebook'!$F$19))</f>
        <v>1</v>
      </c>
      <c r="BS199" s="18">
        <f>IF(AA199="","",--(AA199='Codebook'!$F$20))</f>
        <v>1</v>
      </c>
      <c r="BT199" s="18">
        <f>IF(AB199="","",--(AB199='Codebook'!$F$21))</f>
        <v>0</v>
      </c>
      <c r="BU199" s="18">
        <f>IF(AC199="","",--(AC199='Codebook'!$F$22))</f>
        <v>1</v>
      </c>
      <c r="BV199" s="18">
        <f>IF(AD199="","",--(AD199='Codebook'!$F$23))</f>
        <v>1</v>
      </c>
      <c r="BW199" s="18">
        <f>IF(AE199="","",--(AE199='Codebook'!$F$24))</f>
        <v>1</v>
      </c>
      <c r="BX199" s="18">
        <f>IF(AF199="","",--(AF199='Codebook'!$F$25))</f>
        <v>0</v>
      </c>
      <c r="BY199" s="18">
        <f>IF(AG199="","",--(AG199='Codebook'!$F$26))</f>
        <v>1</v>
      </c>
      <c r="BZ199" s="18">
        <f>IF(AH199="","",--(AH199='Codebook'!$F$27))</f>
        <v>1</v>
      </c>
      <c r="CA199" s="18">
        <f>IF(AI199="","",--(AI199='Codebook'!$F$28))</f>
        <v>1</v>
      </c>
      <c r="CB199" s="18">
        <f>IF(AJ199="","",--(AJ199='Codebook'!$F$29))</f>
        <v>0</v>
      </c>
      <c r="CC199" s="18">
        <f>IF(AK199="","",--(AK199='Codebook'!$F$30))</f>
        <v>1</v>
      </c>
      <c r="CD199" s="18">
        <f>IF(AL199="","",--(AL199='Codebook'!$F$31))</f>
        <v>0</v>
      </c>
      <c r="CE199" s="18">
        <f>IF(AM199="","",--(AM199='Codebook'!$F$32))</f>
        <v>1</v>
      </c>
      <c r="CF199" s="18">
        <f>IF(AN199="","",--(AN199='Codebook'!$F$33))</f>
        <v>0</v>
      </c>
      <c r="CG199" s="18">
        <f>IF(AO199="","",--(AO199='Codebook'!$F$34))</f>
        <v>0</v>
      </c>
      <c r="CH199" s="18">
        <f>IF(AP199="","",--(AP199='Codebook'!$F$35))</f>
        <v>0</v>
      </c>
      <c r="CI199" s="18">
        <f>IF(AQ199="","",--(AQ199='Codebook'!$F$36))</f>
        <v>0</v>
      </c>
      <c r="CJ199" s="18">
        <f>IF(AR199="","",--(AR199='Codebook'!$F$37))</f>
        <v>0</v>
      </c>
      <c r="CK199" s="18">
        <f>IF(AS199="","",--(AS199='Codebook'!$F$38))</f>
        <v>1</v>
      </c>
      <c r="CL199" s="18">
        <f>IF(AT199="","",--(AT199='Codebook'!$F$39))</f>
        <v>0</v>
      </c>
      <c r="CM199" s="18">
        <f>IF(AU199="","",--(AU199='Codebook'!$F$40))</f>
        <v>0</v>
      </c>
      <c r="CN199" s="18">
        <f>IF(AV199="","",--(AV199='Codebook'!$F$41))</f>
        <v>0</v>
      </c>
      <c r="CO199" s="18">
        <f>IF(AW199="","",--(AW199='Codebook'!$F$42))</f>
        <v>1</v>
      </c>
      <c r="CP199" s="18">
        <f>IF(AX199="","",--(AX199='Codebook'!$F$43))</f>
        <v>1</v>
      </c>
      <c r="CQ199" s="18">
        <f>IF(AY199="","",--(AY199='Codebook'!$F$44))</f>
        <v>0</v>
      </c>
      <c r="CR199" s="18">
        <f>IF(AZ199="","",--(AZ199='Codebook'!$F$45))</f>
        <v>1</v>
      </c>
    </row>
    <row r="200" spans="2:96" ht="24" customHeight="1">
      <c r="B200" s="18">
        <v>195</v>
      </c>
      <c r="C200" s="23">
        <v>46286.67769846065</v>
      </c>
      <c r="D200" s="21" t="s">
        <v>275</v>
      </c>
      <c r="E200" s="21" t="s">
        <v>206</v>
      </c>
      <c r="F200" s="21" t="s">
        <v>212</v>
      </c>
      <c r="G200" s="17" t="s">
        <v>247</v>
      </c>
      <c r="H200" s="21" t="s">
        <v>198</v>
      </c>
      <c r="I200" s="18">
        <f>SUM(BL200:BU200)</f>
        <v>6</v>
      </c>
      <c r="J200" s="18">
        <f>IF(COUNT(BV200:CD200)=9,SUM(BV200:CD200),"")</f>
        <v>4</v>
      </c>
      <c r="K200" s="18">
        <f>SUM(BL200:CD200)</f>
        <v>10</v>
      </c>
      <c r="L200" s="18">
        <f>--(K200&gt;='Codebook'!$C$8)</f>
        <v>0</v>
      </c>
      <c r="M200" s="18">
        <f>--(COUNT(BL200:CD200)=19)</f>
        <v>1</v>
      </c>
      <c r="N200" s="18">
        <f>SUM(CE200:CL200)</f>
        <v>6</v>
      </c>
      <c r="O200" s="18">
        <f>SUM(CM200:CR200)</f>
        <v>1</v>
      </c>
      <c r="P200" s="18">
        <f>N200+O200</f>
        <v>7</v>
      </c>
      <c r="Q200" s="21" t="s">
        <v>197</v>
      </c>
      <c r="R200" s="17" t="s">
        <v>154</v>
      </c>
      <c r="S200" s="18">
        <f>--OR(Overview!$B$6="All",E200=Overview!$B$6)*--OR(Overview!$F$6="All",F200=Overview!$F$6)*--OR(Overview!$J$6="All",G200=Overview!$J$6)*--OR(Overview!$N$6="All",H200=Overview!$N$6)</f>
        <v>1</v>
      </c>
      <c r="T200" s="21" t="s">
        <v>26</v>
      </c>
      <c r="U200" s="21" t="s">
        <v>26</v>
      </c>
      <c r="V200" s="21" t="s">
        <v>22</v>
      </c>
      <c r="W200" s="21" t="s">
        <v>22</v>
      </c>
      <c r="X200" s="21" t="s">
        <v>22</v>
      </c>
      <c r="Y200" s="21" t="s">
        <v>22</v>
      </c>
      <c r="Z200" s="21" t="s">
        <v>22</v>
      </c>
      <c r="AA200" s="21" t="s">
        <v>22</v>
      </c>
      <c r="AB200" s="21" t="s">
        <v>22</v>
      </c>
      <c r="AC200" s="21" t="s">
        <v>22</v>
      </c>
      <c r="AD200" s="21" t="s">
        <v>26</v>
      </c>
      <c r="AE200" s="21" t="s">
        <v>22</v>
      </c>
      <c r="AF200" s="21" t="s">
        <v>22</v>
      </c>
      <c r="AG200" s="21" t="s">
        <v>22</v>
      </c>
      <c r="AH200" s="21" t="s">
        <v>22</v>
      </c>
      <c r="AI200" s="21" t="s">
        <v>22</v>
      </c>
      <c r="AJ200" s="21" t="s">
        <v>22</v>
      </c>
      <c r="AK200" s="21" t="s">
        <v>22</v>
      </c>
      <c r="AL200" s="21" t="s">
        <v>22</v>
      </c>
      <c r="AM200" s="21" t="s">
        <v>109</v>
      </c>
      <c r="AN200" s="21" t="s">
        <v>83</v>
      </c>
      <c r="AO200" s="21" t="s">
        <v>83</v>
      </c>
      <c r="AP200" s="21" t="s">
        <v>83</v>
      </c>
      <c r="AQ200" s="21" t="s">
        <v>83</v>
      </c>
      <c r="AR200" s="21" t="s">
        <v>83</v>
      </c>
      <c r="AS200" s="21" t="s">
        <v>109</v>
      </c>
      <c r="AT200" s="21" t="s">
        <v>83</v>
      </c>
      <c r="AU200" s="21" t="s">
        <v>198</v>
      </c>
      <c r="AV200" s="21" t="s">
        <v>83</v>
      </c>
      <c r="AW200" s="21" t="s">
        <v>198</v>
      </c>
      <c r="AX200" s="21" t="s">
        <v>83</v>
      </c>
      <c r="AY200" s="21" t="s">
        <v>83</v>
      </c>
      <c r="AZ200" s="21" t="s">
        <v>109</v>
      </c>
      <c r="BA200" s="17" t="s">
        <v>250</v>
      </c>
      <c r="BB200" s="17" t="s">
        <v>250</v>
      </c>
      <c r="BC200" s="18">
        <f>--ISNUMBER(SEARCH("Radio or television",BA200))</f>
        <v>0</v>
      </c>
      <c r="BD200" s="18">
        <f>--ISNUMBER(SEARCH("Newspapers or print media",BA200))</f>
        <v>0</v>
      </c>
      <c r="BE200" s="18">
        <f>--ISNUMBER(SEARCH("Social media (e.g. Facebook, WhatsApp, YouTube, X/Twitter)",BA200))</f>
        <v>1</v>
      </c>
      <c r="BF200" s="18">
        <f>--ISNUMBER(SEARCH("Family members",BA200))</f>
        <v>0</v>
      </c>
      <c r="BG200" s="18">
        <f>--ISNUMBER(SEARCH("Friends or fellow students",BA200))</f>
        <v>0</v>
      </c>
      <c r="BH200" s="18">
        <f>--ISNUMBER(SEARCH("School coursework or lectures",BA200))</f>
        <v>0</v>
      </c>
      <c r="BI200" s="18">
        <f>--ISNUMBER(SEARCH("NHIMA outreach activities or NHIMA offices",BA200))</f>
        <v>0</v>
      </c>
      <c r="BJ200" s="18">
        <f>--ISNUMBER(SEARCH("Health facility staff",BA200))</f>
        <v>0</v>
      </c>
      <c r="BK200" s="18">
        <f>--ISNUMBER(SEARCH("not received information",BA200))</f>
        <v>0</v>
      </c>
      <c r="BL200" s="18">
        <f>IF(T200="","",--(T200='Codebook'!$F$13))</f>
        <v>0</v>
      </c>
      <c r="BM200" s="18">
        <f>IF(U200="","",--(U200='Codebook'!$F$14))</f>
        <v>1</v>
      </c>
      <c r="BN200" s="18">
        <f>IF(V200="","",--(V200='Codebook'!$F$15))</f>
        <v>0</v>
      </c>
      <c r="BO200" s="18">
        <f>IF(W200="","",--(W200='Codebook'!$F$16))</f>
        <v>1</v>
      </c>
      <c r="BP200" s="18">
        <f>IF(X200="","",--(X200='Codebook'!$F$17))</f>
        <v>1</v>
      </c>
      <c r="BQ200" s="18">
        <f>IF(Y200="","",--(Y200='Codebook'!$F$18))</f>
        <v>0</v>
      </c>
      <c r="BR200" s="18">
        <f>IF(Z200="","",--(Z200='Codebook'!$F$19))</f>
        <v>1</v>
      </c>
      <c r="BS200" s="18">
        <f>IF(AA200="","",--(AA200='Codebook'!$F$20))</f>
        <v>1</v>
      </c>
      <c r="BT200" s="18">
        <f>IF(AB200="","",--(AB200='Codebook'!$F$21))</f>
        <v>0</v>
      </c>
      <c r="BU200" s="18">
        <f>IF(AC200="","",--(AC200='Codebook'!$F$22))</f>
        <v>1</v>
      </c>
      <c r="BV200" s="18">
        <f>IF(AD200="","",--(AD200='Codebook'!$F$23))</f>
        <v>0</v>
      </c>
      <c r="BW200" s="18">
        <f>IF(AE200="","",--(AE200='Codebook'!$F$24))</f>
        <v>1</v>
      </c>
      <c r="BX200" s="18">
        <f>IF(AF200="","",--(AF200='Codebook'!$F$25))</f>
        <v>0</v>
      </c>
      <c r="BY200" s="18">
        <f>IF(AG200="","",--(AG200='Codebook'!$F$26))</f>
        <v>1</v>
      </c>
      <c r="BZ200" s="18">
        <f>IF(AH200="","",--(AH200='Codebook'!$F$27))</f>
        <v>1</v>
      </c>
      <c r="CA200" s="18">
        <f>IF(AI200="","",--(AI200='Codebook'!$F$28))</f>
        <v>0</v>
      </c>
      <c r="CB200" s="18">
        <f>IF(AJ200="","",--(AJ200='Codebook'!$F$29))</f>
        <v>0</v>
      </c>
      <c r="CC200" s="18">
        <f>IF(AK200="","",--(AK200='Codebook'!$F$30))</f>
        <v>1</v>
      </c>
      <c r="CD200" s="18">
        <f>IF(AL200="","",--(AL200='Codebook'!$F$31))</f>
        <v>0</v>
      </c>
      <c r="CE200" s="18">
        <f>IF(AM200="","",--(AM200='Codebook'!$F$32))</f>
        <v>0</v>
      </c>
      <c r="CF200" s="18">
        <f>IF(AN200="","",--(AN200='Codebook'!$F$33))</f>
        <v>1</v>
      </c>
      <c r="CG200" s="18">
        <f>IF(AO200="","",--(AO200='Codebook'!$F$34))</f>
        <v>1</v>
      </c>
      <c r="CH200" s="18">
        <f>IF(AP200="","",--(AP200='Codebook'!$F$35))</f>
        <v>1</v>
      </c>
      <c r="CI200" s="18">
        <f>IF(AQ200="","",--(AQ200='Codebook'!$F$36))</f>
        <v>1</v>
      </c>
      <c r="CJ200" s="18">
        <f>IF(AR200="","",--(AR200='Codebook'!$F$37))</f>
        <v>1</v>
      </c>
      <c r="CK200" s="18">
        <f>IF(AS200="","",--(AS200='Codebook'!$F$38))</f>
        <v>0</v>
      </c>
      <c r="CL200" s="18">
        <f>IF(AT200="","",--(AT200='Codebook'!$F$39))</f>
        <v>1</v>
      </c>
      <c r="CM200" s="18">
        <f>IF(AU200="","",--(AU200='Codebook'!$F$40))</f>
        <v>0</v>
      </c>
      <c r="CN200" s="18">
        <f>IF(AV200="","",--(AV200='Codebook'!$F$41))</f>
        <v>0</v>
      </c>
      <c r="CO200" s="18">
        <f>IF(AW200="","",--(AW200='Codebook'!$F$42))</f>
        <v>0</v>
      </c>
      <c r="CP200" s="18">
        <f>IF(AX200="","",--(AX200='Codebook'!$F$43))</f>
        <v>0</v>
      </c>
      <c r="CQ200" s="18">
        <f>IF(AY200="","",--(AY200='Codebook'!$F$44))</f>
        <v>0</v>
      </c>
      <c r="CR200" s="18">
        <f>IF(AZ200="","",--(AZ200='Codebook'!$F$45))</f>
        <v>1</v>
      </c>
    </row>
    <row r="201" spans="2:96" ht="24" customHeight="1">
      <c r="B201" s="18">
        <v>196</v>
      </c>
      <c r="C201" s="23">
        <v>46286.67834834491</v>
      </c>
      <c r="D201" s="21" t="s">
        <v>275</v>
      </c>
      <c r="E201" s="21" t="s">
        <v>206</v>
      </c>
      <c r="F201" s="21" t="s">
        <v>195</v>
      </c>
      <c r="G201" s="17" t="s">
        <v>196</v>
      </c>
      <c r="H201" s="21" t="s">
        <v>197</v>
      </c>
      <c r="I201" s="18">
        <f>SUM(BL201:BU201)</f>
        <v>6</v>
      </c>
      <c r="J201" s="18">
        <f>IF(COUNT(BV201:CD201)=9,SUM(BV201:CD201),"")</f>
        <v>5</v>
      </c>
      <c r="K201" s="18">
        <f>SUM(BL201:CD201)</f>
        <v>11</v>
      </c>
      <c r="L201" s="18">
        <f>--(K201&gt;='Codebook'!$C$8)</f>
        <v>0</v>
      </c>
      <c r="M201" s="18">
        <f>--(COUNT(BL201:CD201)=19)</f>
        <v>1</v>
      </c>
      <c r="N201" s="18">
        <f>SUM(CE201:CL201)</f>
        <v>3</v>
      </c>
      <c r="O201" s="18">
        <f>SUM(CM201:CR201)</f>
        <v>2</v>
      </c>
      <c r="P201" s="18">
        <f>N201+O201</f>
        <v>5</v>
      </c>
      <c r="Q201" s="21" t="s">
        <v>198</v>
      </c>
      <c r="R201" s="17" t="s">
        <v>156</v>
      </c>
      <c r="S201" s="18">
        <f>--OR(Overview!$B$6="All",E201=Overview!$B$6)*--OR(Overview!$F$6="All",F201=Overview!$F$6)*--OR(Overview!$J$6="All",G201=Overview!$J$6)*--OR(Overview!$N$6="All",H201=Overview!$N$6)</f>
        <v>1</v>
      </c>
      <c r="T201" s="21" t="s">
        <v>22</v>
      </c>
      <c r="U201" s="21" t="s">
        <v>22</v>
      </c>
      <c r="V201" s="21" t="s">
        <v>22</v>
      </c>
      <c r="W201" s="21" t="s">
        <v>22</v>
      </c>
      <c r="X201" s="21" t="s">
        <v>22</v>
      </c>
      <c r="Y201" s="21" t="s">
        <v>22</v>
      </c>
      <c r="Z201" s="21" t="s">
        <v>22</v>
      </c>
      <c r="AA201" s="21" t="s">
        <v>22</v>
      </c>
      <c r="AB201" s="21" t="s">
        <v>22</v>
      </c>
      <c r="AC201" s="21" t="s">
        <v>22</v>
      </c>
      <c r="AD201" s="21" t="s">
        <v>22</v>
      </c>
      <c r="AE201" s="21" t="s">
        <v>22</v>
      </c>
      <c r="AF201" s="21" t="s">
        <v>22</v>
      </c>
      <c r="AG201" s="21" t="s">
        <v>22</v>
      </c>
      <c r="AH201" s="21" t="s">
        <v>22</v>
      </c>
      <c r="AI201" s="21" t="s">
        <v>22</v>
      </c>
      <c r="AJ201" s="21" t="s">
        <v>22</v>
      </c>
      <c r="AK201" s="21" t="s">
        <v>22</v>
      </c>
      <c r="AL201" s="21" t="s">
        <v>22</v>
      </c>
      <c r="AM201" s="21" t="s">
        <v>83</v>
      </c>
      <c r="AN201" s="21" t="s">
        <v>109</v>
      </c>
      <c r="AO201" s="21" t="s">
        <v>109</v>
      </c>
      <c r="AP201" s="21" t="s">
        <v>198</v>
      </c>
      <c r="AQ201" s="21" t="s">
        <v>109</v>
      </c>
      <c r="AR201" s="21" t="s">
        <v>109</v>
      </c>
      <c r="AS201" s="21" t="s">
        <v>83</v>
      </c>
      <c r="AT201" s="21" t="s">
        <v>83</v>
      </c>
      <c r="AU201" s="21" t="s">
        <v>83</v>
      </c>
      <c r="AV201" s="21" t="s">
        <v>83</v>
      </c>
      <c r="AW201" s="21" t="s">
        <v>83</v>
      </c>
      <c r="AX201" s="21" t="s">
        <v>109</v>
      </c>
      <c r="AY201" s="21" t="s">
        <v>109</v>
      </c>
      <c r="AZ201" s="21" t="s">
        <v>198</v>
      </c>
      <c r="BA201" s="17" t="s">
        <v>232</v>
      </c>
      <c r="BB201" s="17" t="s">
        <v>313</v>
      </c>
      <c r="BC201" s="18">
        <f>--ISNUMBER(SEARCH("Radio or television",BA201))</f>
        <v>1</v>
      </c>
      <c r="BD201" s="18">
        <f>--ISNUMBER(SEARCH("Newspapers or print media",BA201))</f>
        <v>0</v>
      </c>
      <c r="BE201" s="18">
        <f>--ISNUMBER(SEARCH("Social media (e.g. Facebook, WhatsApp, YouTube, X/Twitter)",BA201))</f>
        <v>1</v>
      </c>
      <c r="BF201" s="18">
        <f>--ISNUMBER(SEARCH("Family members",BA201))</f>
        <v>0</v>
      </c>
      <c r="BG201" s="18">
        <f>--ISNUMBER(SEARCH("Friends or fellow students",BA201))</f>
        <v>1</v>
      </c>
      <c r="BH201" s="18">
        <f>--ISNUMBER(SEARCH("School coursework or lectures",BA201))</f>
        <v>1</v>
      </c>
      <c r="BI201" s="18">
        <f>--ISNUMBER(SEARCH("NHIMA outreach activities or NHIMA offices",BA201))</f>
        <v>0</v>
      </c>
      <c r="BJ201" s="18">
        <f>--ISNUMBER(SEARCH("Health facility staff",BA201))</f>
        <v>0</v>
      </c>
      <c r="BK201" s="18">
        <f>--ISNUMBER(SEARCH("not received information",BA201))</f>
        <v>0</v>
      </c>
      <c r="BL201" s="18">
        <f>IF(T201="","",--(T201='Codebook'!$F$13))</f>
        <v>1</v>
      </c>
      <c r="BM201" s="18">
        <f>IF(U201="","",--(U201='Codebook'!$F$14))</f>
        <v>0</v>
      </c>
      <c r="BN201" s="18">
        <f>IF(V201="","",--(V201='Codebook'!$F$15))</f>
        <v>0</v>
      </c>
      <c r="BO201" s="18">
        <f>IF(W201="","",--(W201='Codebook'!$F$16))</f>
        <v>1</v>
      </c>
      <c r="BP201" s="18">
        <f>IF(X201="","",--(X201='Codebook'!$F$17))</f>
        <v>1</v>
      </c>
      <c r="BQ201" s="18">
        <f>IF(Y201="","",--(Y201='Codebook'!$F$18))</f>
        <v>0</v>
      </c>
      <c r="BR201" s="18">
        <f>IF(Z201="","",--(Z201='Codebook'!$F$19))</f>
        <v>1</v>
      </c>
      <c r="BS201" s="18">
        <f>IF(AA201="","",--(AA201='Codebook'!$F$20))</f>
        <v>1</v>
      </c>
      <c r="BT201" s="18">
        <f>IF(AB201="","",--(AB201='Codebook'!$F$21))</f>
        <v>0</v>
      </c>
      <c r="BU201" s="18">
        <f>IF(AC201="","",--(AC201='Codebook'!$F$22))</f>
        <v>1</v>
      </c>
      <c r="BV201" s="18">
        <f>IF(AD201="","",--(AD201='Codebook'!$F$23))</f>
        <v>1</v>
      </c>
      <c r="BW201" s="18">
        <f>IF(AE201="","",--(AE201='Codebook'!$F$24))</f>
        <v>1</v>
      </c>
      <c r="BX201" s="18">
        <f>IF(AF201="","",--(AF201='Codebook'!$F$25))</f>
        <v>0</v>
      </c>
      <c r="BY201" s="18">
        <f>IF(AG201="","",--(AG201='Codebook'!$F$26))</f>
        <v>1</v>
      </c>
      <c r="BZ201" s="18">
        <f>IF(AH201="","",--(AH201='Codebook'!$F$27))</f>
        <v>1</v>
      </c>
      <c r="CA201" s="18">
        <f>IF(AI201="","",--(AI201='Codebook'!$F$28))</f>
        <v>0</v>
      </c>
      <c r="CB201" s="18">
        <f>IF(AJ201="","",--(AJ201='Codebook'!$F$29))</f>
        <v>0</v>
      </c>
      <c r="CC201" s="18">
        <f>IF(AK201="","",--(AK201='Codebook'!$F$30))</f>
        <v>1</v>
      </c>
      <c r="CD201" s="18">
        <f>IF(AL201="","",--(AL201='Codebook'!$F$31))</f>
        <v>0</v>
      </c>
      <c r="CE201" s="18">
        <f>IF(AM201="","",--(AM201='Codebook'!$F$32))</f>
        <v>1</v>
      </c>
      <c r="CF201" s="18">
        <f>IF(AN201="","",--(AN201='Codebook'!$F$33))</f>
        <v>0</v>
      </c>
      <c r="CG201" s="18">
        <f>IF(AO201="","",--(AO201='Codebook'!$F$34))</f>
        <v>0</v>
      </c>
      <c r="CH201" s="18">
        <f>IF(AP201="","",--(AP201='Codebook'!$F$35))</f>
        <v>0</v>
      </c>
      <c r="CI201" s="18">
        <f>IF(AQ201="","",--(AQ201='Codebook'!$F$36))</f>
        <v>0</v>
      </c>
      <c r="CJ201" s="18">
        <f>IF(AR201="","",--(AR201='Codebook'!$F$37))</f>
        <v>0</v>
      </c>
      <c r="CK201" s="18">
        <f>IF(AS201="","",--(AS201='Codebook'!$F$38))</f>
        <v>1</v>
      </c>
      <c r="CL201" s="18">
        <f>IF(AT201="","",--(AT201='Codebook'!$F$39))</f>
        <v>1</v>
      </c>
      <c r="CM201" s="18">
        <f>IF(AU201="","",--(AU201='Codebook'!$F$40))</f>
        <v>0</v>
      </c>
      <c r="CN201" s="18">
        <f>IF(AV201="","",--(AV201='Codebook'!$F$41))</f>
        <v>0</v>
      </c>
      <c r="CO201" s="18">
        <f>IF(AW201="","",--(AW201='Codebook'!$F$42))</f>
        <v>0</v>
      </c>
      <c r="CP201" s="18">
        <f>IF(AX201="","",--(AX201='Codebook'!$F$43))</f>
        <v>1</v>
      </c>
      <c r="CQ201" s="18">
        <f>IF(AY201="","",--(AY201='Codebook'!$F$44))</f>
        <v>1</v>
      </c>
      <c r="CR201" s="18">
        <f>IF(AZ201="","",--(AZ201='Codebook'!$F$45))</f>
        <v>0</v>
      </c>
    </row>
    <row r="202" spans="2:96" ht="24" customHeight="1">
      <c r="B202" s="18">
        <v>197</v>
      </c>
      <c r="C202" s="23">
        <v>46286.6789687037</v>
      </c>
      <c r="D202" s="21" t="s">
        <v>275</v>
      </c>
      <c r="E202" s="21" t="s">
        <v>206</v>
      </c>
      <c r="F202" s="21" t="s">
        <v>201</v>
      </c>
      <c r="G202" s="17" t="s">
        <v>202</v>
      </c>
      <c r="H202" s="21" t="s">
        <v>198</v>
      </c>
      <c r="I202" s="18">
        <f>SUM(BL202:BU202)</f>
        <v>1</v>
      </c>
      <c r="J202" s="18">
        <f>IF(COUNT(BV202:CD202)=9,SUM(BV202:CD202),"")</f>
        <v>2</v>
      </c>
      <c r="K202" s="18">
        <f>SUM(BL202:CD202)</f>
        <v>3</v>
      </c>
      <c r="L202" s="18">
        <f>--(K202&gt;='Codebook'!$C$8)</f>
        <v>0</v>
      </c>
      <c r="M202" s="18">
        <f>--(COUNT(BL202:CD202)=19)</f>
        <v>1</v>
      </c>
      <c r="N202" s="18">
        <f>SUM(CE202:CL202)</f>
        <v>4</v>
      </c>
      <c r="O202" s="18">
        <f>SUM(CM202:CR202)</f>
        <v>0</v>
      </c>
      <c r="P202" s="18">
        <f>N202+O202</f>
        <v>4</v>
      </c>
      <c r="Q202" s="21" t="s">
        <v>198</v>
      </c>
      <c r="R202" s="17" t="s">
        <v>152</v>
      </c>
      <c r="S202" s="18">
        <f>--OR(Overview!$B$6="All",E202=Overview!$B$6)*--OR(Overview!$F$6="All",F202=Overview!$F$6)*--OR(Overview!$J$6="All",G202=Overview!$J$6)*--OR(Overview!$N$6="All",H202=Overview!$N$6)</f>
        <v>1</v>
      </c>
      <c r="T202" s="21" t="s">
        <v>198</v>
      </c>
      <c r="U202" s="21" t="s">
        <v>22</v>
      </c>
      <c r="V202" s="21" t="s">
        <v>22</v>
      </c>
      <c r="W202" s="21" t="s">
        <v>26</v>
      </c>
      <c r="X202" s="21" t="s">
        <v>26</v>
      </c>
      <c r="Y202" s="21" t="s">
        <v>22</v>
      </c>
      <c r="Z202" s="21" t="s">
        <v>198</v>
      </c>
      <c r="AA202" s="21" t="s">
        <v>22</v>
      </c>
      <c r="AB202" s="21" t="s">
        <v>198</v>
      </c>
      <c r="AC202" s="21" t="s">
        <v>198</v>
      </c>
      <c r="AD202" s="21" t="s">
        <v>22</v>
      </c>
      <c r="AE202" s="21" t="s">
        <v>26</v>
      </c>
      <c r="AF202" s="21" t="s">
        <v>22</v>
      </c>
      <c r="AG202" s="21" t="s">
        <v>22</v>
      </c>
      <c r="AH202" s="21" t="s">
        <v>198</v>
      </c>
      <c r="AI202" s="21" t="s">
        <v>198</v>
      </c>
      <c r="AJ202" s="21" t="s">
        <v>22</v>
      </c>
      <c r="AK202" s="21" t="s">
        <v>198</v>
      </c>
      <c r="AL202" s="21" t="s">
        <v>198</v>
      </c>
      <c r="AM202" s="21" t="s">
        <v>198</v>
      </c>
      <c r="AN202" s="21" t="s">
        <v>198</v>
      </c>
      <c r="AO202" s="21" t="s">
        <v>83</v>
      </c>
      <c r="AP202" s="21" t="s">
        <v>83</v>
      </c>
      <c r="AQ202" s="21" t="s">
        <v>109</v>
      </c>
      <c r="AR202" s="21" t="s">
        <v>109</v>
      </c>
      <c r="AS202" s="21" t="s">
        <v>83</v>
      </c>
      <c r="AT202" s="21" t="s">
        <v>83</v>
      </c>
      <c r="AU202" s="21" t="s">
        <v>83</v>
      </c>
      <c r="AV202" s="21" t="s">
        <v>198</v>
      </c>
      <c r="AW202" s="21" t="s">
        <v>83</v>
      </c>
      <c r="AX202" s="21" t="s">
        <v>198</v>
      </c>
      <c r="AY202" s="21" t="s">
        <v>198</v>
      </c>
      <c r="AZ202" s="21" t="s">
        <v>198</v>
      </c>
      <c r="BA202" s="17" t="s">
        <v>311</v>
      </c>
      <c r="BB202" s="17" t="s">
        <v>223</v>
      </c>
      <c r="BC202" s="18">
        <f>--ISNUMBER(SEARCH("Radio or television",BA202))</f>
        <v>0</v>
      </c>
      <c r="BD202" s="18">
        <f>--ISNUMBER(SEARCH("Newspapers or print media",BA202))</f>
        <v>1</v>
      </c>
      <c r="BE202" s="18">
        <f>--ISNUMBER(SEARCH("Social media (e.g. Facebook, WhatsApp, YouTube, X/Twitter)",BA202))</f>
        <v>0</v>
      </c>
      <c r="BF202" s="18">
        <f>--ISNUMBER(SEARCH("Family members",BA202))</f>
        <v>0</v>
      </c>
      <c r="BG202" s="18">
        <f>--ISNUMBER(SEARCH("Friends or fellow students",BA202))</f>
        <v>0</v>
      </c>
      <c r="BH202" s="18">
        <f>--ISNUMBER(SEARCH("School coursework or lectures",BA202))</f>
        <v>0</v>
      </c>
      <c r="BI202" s="18">
        <f>--ISNUMBER(SEARCH("NHIMA outreach activities or NHIMA offices",BA202))</f>
        <v>1</v>
      </c>
      <c r="BJ202" s="18">
        <f>--ISNUMBER(SEARCH("Health facility staff",BA202))</f>
        <v>0</v>
      </c>
      <c r="BK202" s="18">
        <f>--ISNUMBER(SEARCH("not received information",BA202))</f>
        <v>0</v>
      </c>
      <c r="BL202" s="18">
        <f>IF(T202="","",--(T202='Codebook'!$F$13))</f>
        <v>0</v>
      </c>
      <c r="BM202" s="18">
        <f>IF(U202="","",--(U202='Codebook'!$F$14))</f>
        <v>0</v>
      </c>
      <c r="BN202" s="18">
        <f>IF(V202="","",--(V202='Codebook'!$F$15))</f>
        <v>0</v>
      </c>
      <c r="BO202" s="18">
        <f>IF(W202="","",--(W202='Codebook'!$F$16))</f>
        <v>0</v>
      </c>
      <c r="BP202" s="18">
        <f>IF(X202="","",--(X202='Codebook'!$F$17))</f>
        <v>0</v>
      </c>
      <c r="BQ202" s="18">
        <f>IF(Y202="","",--(Y202='Codebook'!$F$18))</f>
        <v>0</v>
      </c>
      <c r="BR202" s="18">
        <f>IF(Z202="","",--(Z202='Codebook'!$F$19))</f>
        <v>0</v>
      </c>
      <c r="BS202" s="18">
        <f>IF(AA202="","",--(AA202='Codebook'!$F$20))</f>
        <v>1</v>
      </c>
      <c r="BT202" s="18">
        <f>IF(AB202="","",--(AB202='Codebook'!$F$21))</f>
        <v>0</v>
      </c>
      <c r="BU202" s="18">
        <f>IF(AC202="","",--(AC202='Codebook'!$F$22))</f>
        <v>0</v>
      </c>
      <c r="BV202" s="18">
        <f>IF(AD202="","",--(AD202='Codebook'!$F$23))</f>
        <v>1</v>
      </c>
      <c r="BW202" s="18">
        <f>IF(AE202="","",--(AE202='Codebook'!$F$24))</f>
        <v>0</v>
      </c>
      <c r="BX202" s="18">
        <f>IF(AF202="","",--(AF202='Codebook'!$F$25))</f>
        <v>0</v>
      </c>
      <c r="BY202" s="18">
        <f>IF(AG202="","",--(AG202='Codebook'!$F$26))</f>
        <v>1</v>
      </c>
      <c r="BZ202" s="18">
        <f>IF(AH202="","",--(AH202='Codebook'!$F$27))</f>
        <v>0</v>
      </c>
      <c r="CA202" s="18">
        <f>IF(AI202="","",--(AI202='Codebook'!$F$28))</f>
        <v>0</v>
      </c>
      <c r="CB202" s="18">
        <f>IF(AJ202="","",--(AJ202='Codebook'!$F$29))</f>
        <v>0</v>
      </c>
      <c r="CC202" s="18">
        <f>IF(AK202="","",--(AK202='Codebook'!$F$30))</f>
        <v>0</v>
      </c>
      <c r="CD202" s="18">
        <f>IF(AL202="","",--(AL202='Codebook'!$F$31))</f>
        <v>0</v>
      </c>
      <c r="CE202" s="18">
        <f>IF(AM202="","",--(AM202='Codebook'!$F$32))</f>
        <v>0</v>
      </c>
      <c r="CF202" s="18">
        <f>IF(AN202="","",--(AN202='Codebook'!$F$33))</f>
        <v>0</v>
      </c>
      <c r="CG202" s="18">
        <f>IF(AO202="","",--(AO202='Codebook'!$F$34))</f>
        <v>1</v>
      </c>
      <c r="CH202" s="18">
        <f>IF(AP202="","",--(AP202='Codebook'!$F$35))</f>
        <v>1</v>
      </c>
      <c r="CI202" s="18">
        <f>IF(AQ202="","",--(AQ202='Codebook'!$F$36))</f>
        <v>0</v>
      </c>
      <c r="CJ202" s="18">
        <f>IF(AR202="","",--(AR202='Codebook'!$F$37))</f>
        <v>0</v>
      </c>
      <c r="CK202" s="18">
        <f>IF(AS202="","",--(AS202='Codebook'!$F$38))</f>
        <v>1</v>
      </c>
      <c r="CL202" s="18">
        <f>IF(AT202="","",--(AT202='Codebook'!$F$39))</f>
        <v>1</v>
      </c>
      <c r="CM202" s="18">
        <f>IF(AU202="","",--(AU202='Codebook'!$F$40))</f>
        <v>0</v>
      </c>
      <c r="CN202" s="18">
        <f>IF(AV202="","",--(AV202='Codebook'!$F$41))</f>
        <v>0</v>
      </c>
      <c r="CO202" s="18">
        <f>IF(AW202="","",--(AW202='Codebook'!$F$42))</f>
        <v>0</v>
      </c>
      <c r="CP202" s="18">
        <f>IF(AX202="","",--(AX202='Codebook'!$F$43))</f>
        <v>0</v>
      </c>
      <c r="CQ202" s="18">
        <f>IF(AY202="","",--(AY202='Codebook'!$F$44))</f>
        <v>0</v>
      </c>
      <c r="CR202" s="18">
        <f>IF(AZ202="","",--(AZ202='Codebook'!$F$45))</f>
        <v>0</v>
      </c>
    </row>
    <row r="203" spans="2:96" ht="24" customHeight="1">
      <c r="B203" s="18">
        <v>198</v>
      </c>
      <c r="C203" s="23">
        <v>46286.67961460648</v>
      </c>
      <c r="D203" s="21" t="s">
        <v>275</v>
      </c>
      <c r="E203" s="21" t="s">
        <v>194</v>
      </c>
      <c r="F203" s="21" t="s">
        <v>201</v>
      </c>
      <c r="G203" s="17" t="s">
        <v>202</v>
      </c>
      <c r="H203" s="21" t="s">
        <v>198</v>
      </c>
      <c r="I203" s="18">
        <f>SUM(BL203:BU203)</f>
        <v>5</v>
      </c>
      <c r="J203" s="18">
        <f>IF(COUNT(BV203:CD203)=9,SUM(BV203:CD203),"")</f>
        <v>5</v>
      </c>
      <c r="K203" s="18">
        <f>SUM(BL203:CD203)</f>
        <v>10</v>
      </c>
      <c r="L203" s="18">
        <f>--(K203&gt;='Codebook'!$C$8)</f>
        <v>0</v>
      </c>
      <c r="M203" s="18">
        <f>--(COUNT(BL203:CD203)=19)</f>
        <v>1</v>
      </c>
      <c r="N203" s="18">
        <f>SUM(CE203:CL203)</f>
        <v>8</v>
      </c>
      <c r="O203" s="18">
        <f>SUM(CM203:CR203)</f>
        <v>3</v>
      </c>
      <c r="P203" s="18">
        <f>N203+O203</f>
        <v>11</v>
      </c>
      <c r="Q203" s="21" t="s">
        <v>207</v>
      </c>
      <c r="R203" s="17" t="s">
        <v>216</v>
      </c>
      <c r="S203" s="18">
        <f>--OR(Overview!$B$6="All",E203=Overview!$B$6)*--OR(Overview!$F$6="All",F203=Overview!$F$6)*--OR(Overview!$J$6="All",G203=Overview!$J$6)*--OR(Overview!$N$6="All",H203=Overview!$N$6)</f>
        <v>1</v>
      </c>
      <c r="T203" s="21" t="s">
        <v>26</v>
      </c>
      <c r="U203" s="21" t="s">
        <v>26</v>
      </c>
      <c r="V203" s="21" t="s">
        <v>22</v>
      </c>
      <c r="W203" s="21" t="s">
        <v>22</v>
      </c>
      <c r="X203" s="21" t="s">
        <v>26</v>
      </c>
      <c r="Y203" s="21" t="s">
        <v>22</v>
      </c>
      <c r="Z203" s="21" t="s">
        <v>22</v>
      </c>
      <c r="AA203" s="21" t="s">
        <v>22</v>
      </c>
      <c r="AB203" s="21" t="s">
        <v>22</v>
      </c>
      <c r="AC203" s="21" t="s">
        <v>22</v>
      </c>
      <c r="AD203" s="21" t="s">
        <v>22</v>
      </c>
      <c r="AE203" s="21" t="s">
        <v>22</v>
      </c>
      <c r="AF203" s="21" t="s">
        <v>22</v>
      </c>
      <c r="AG203" s="21" t="s">
        <v>22</v>
      </c>
      <c r="AH203" s="21" t="s">
        <v>22</v>
      </c>
      <c r="AI203" s="21" t="s">
        <v>22</v>
      </c>
      <c r="AJ203" s="21" t="s">
        <v>22</v>
      </c>
      <c r="AK203" s="21" t="s">
        <v>22</v>
      </c>
      <c r="AL203" s="21" t="s">
        <v>22</v>
      </c>
      <c r="AM203" s="21" t="s">
        <v>83</v>
      </c>
      <c r="AN203" s="21" t="s">
        <v>83</v>
      </c>
      <c r="AO203" s="21" t="s">
        <v>83</v>
      </c>
      <c r="AP203" s="21" t="s">
        <v>83</v>
      </c>
      <c r="AQ203" s="21" t="s">
        <v>83</v>
      </c>
      <c r="AR203" s="21" t="s">
        <v>83</v>
      </c>
      <c r="AS203" s="21" t="s">
        <v>83</v>
      </c>
      <c r="AT203" s="21" t="s">
        <v>83</v>
      </c>
      <c r="AU203" s="21" t="s">
        <v>109</v>
      </c>
      <c r="AV203" s="21" t="s">
        <v>83</v>
      </c>
      <c r="AW203" s="21" t="s">
        <v>83</v>
      </c>
      <c r="AX203" s="21" t="s">
        <v>109</v>
      </c>
      <c r="AY203" s="21" t="s">
        <v>109</v>
      </c>
      <c r="AZ203" s="21" t="s">
        <v>83</v>
      </c>
      <c r="BA203" s="17" t="s">
        <v>292</v>
      </c>
      <c r="BB203" s="17" t="s">
        <v>291</v>
      </c>
      <c r="BC203" s="18">
        <f>--ISNUMBER(SEARCH("Radio or television",BA203))</f>
        <v>1</v>
      </c>
      <c r="BD203" s="18">
        <f>--ISNUMBER(SEARCH("Newspapers or print media",BA203))</f>
        <v>0</v>
      </c>
      <c r="BE203" s="18">
        <f>--ISNUMBER(SEARCH("Social media (e.g. Facebook, WhatsApp, YouTube, X/Twitter)",BA203))</f>
        <v>1</v>
      </c>
      <c r="BF203" s="18">
        <f>--ISNUMBER(SEARCH("Family members",BA203))</f>
        <v>0</v>
      </c>
      <c r="BG203" s="18">
        <f>--ISNUMBER(SEARCH("Friends or fellow students",BA203))</f>
        <v>1</v>
      </c>
      <c r="BH203" s="18">
        <f>--ISNUMBER(SEARCH("School coursework or lectures",BA203))</f>
        <v>0</v>
      </c>
      <c r="BI203" s="18">
        <f>--ISNUMBER(SEARCH("NHIMA outreach activities or NHIMA offices",BA203))</f>
        <v>0</v>
      </c>
      <c r="BJ203" s="18">
        <f>--ISNUMBER(SEARCH("Health facility staff",BA203))</f>
        <v>0</v>
      </c>
      <c r="BK203" s="18">
        <f>--ISNUMBER(SEARCH("not received information",BA203))</f>
        <v>0</v>
      </c>
      <c r="BL203" s="18">
        <f>IF(T203="","",--(T203='Codebook'!$F$13))</f>
        <v>0</v>
      </c>
      <c r="BM203" s="18">
        <f>IF(U203="","",--(U203='Codebook'!$F$14))</f>
        <v>1</v>
      </c>
      <c r="BN203" s="18">
        <f>IF(V203="","",--(V203='Codebook'!$F$15))</f>
        <v>0</v>
      </c>
      <c r="BO203" s="18">
        <f>IF(W203="","",--(W203='Codebook'!$F$16))</f>
        <v>1</v>
      </c>
      <c r="BP203" s="18">
        <f>IF(X203="","",--(X203='Codebook'!$F$17))</f>
        <v>0</v>
      </c>
      <c r="BQ203" s="18">
        <f>IF(Y203="","",--(Y203='Codebook'!$F$18))</f>
        <v>0</v>
      </c>
      <c r="BR203" s="18">
        <f>IF(Z203="","",--(Z203='Codebook'!$F$19))</f>
        <v>1</v>
      </c>
      <c r="BS203" s="18">
        <f>IF(AA203="","",--(AA203='Codebook'!$F$20))</f>
        <v>1</v>
      </c>
      <c r="BT203" s="18">
        <f>IF(AB203="","",--(AB203='Codebook'!$F$21))</f>
        <v>0</v>
      </c>
      <c r="BU203" s="18">
        <f>IF(AC203="","",--(AC203='Codebook'!$F$22))</f>
        <v>1</v>
      </c>
      <c r="BV203" s="18">
        <f>IF(AD203="","",--(AD203='Codebook'!$F$23))</f>
        <v>1</v>
      </c>
      <c r="BW203" s="18">
        <f>IF(AE203="","",--(AE203='Codebook'!$F$24))</f>
        <v>1</v>
      </c>
      <c r="BX203" s="18">
        <f>IF(AF203="","",--(AF203='Codebook'!$F$25))</f>
        <v>0</v>
      </c>
      <c r="BY203" s="18">
        <f>IF(AG203="","",--(AG203='Codebook'!$F$26))</f>
        <v>1</v>
      </c>
      <c r="BZ203" s="18">
        <f>IF(AH203="","",--(AH203='Codebook'!$F$27))</f>
        <v>1</v>
      </c>
      <c r="CA203" s="18">
        <f>IF(AI203="","",--(AI203='Codebook'!$F$28))</f>
        <v>0</v>
      </c>
      <c r="CB203" s="18">
        <f>IF(AJ203="","",--(AJ203='Codebook'!$F$29))</f>
        <v>0</v>
      </c>
      <c r="CC203" s="18">
        <f>IF(AK203="","",--(AK203='Codebook'!$F$30))</f>
        <v>1</v>
      </c>
      <c r="CD203" s="18">
        <f>IF(AL203="","",--(AL203='Codebook'!$F$31))</f>
        <v>0</v>
      </c>
      <c r="CE203" s="18">
        <f>IF(AM203="","",--(AM203='Codebook'!$F$32))</f>
        <v>1</v>
      </c>
      <c r="CF203" s="18">
        <f>IF(AN203="","",--(AN203='Codebook'!$F$33))</f>
        <v>1</v>
      </c>
      <c r="CG203" s="18">
        <f>IF(AO203="","",--(AO203='Codebook'!$F$34))</f>
        <v>1</v>
      </c>
      <c r="CH203" s="18">
        <f>IF(AP203="","",--(AP203='Codebook'!$F$35))</f>
        <v>1</v>
      </c>
      <c r="CI203" s="18">
        <f>IF(AQ203="","",--(AQ203='Codebook'!$F$36))</f>
        <v>1</v>
      </c>
      <c r="CJ203" s="18">
        <f>IF(AR203="","",--(AR203='Codebook'!$F$37))</f>
        <v>1</v>
      </c>
      <c r="CK203" s="18">
        <f>IF(AS203="","",--(AS203='Codebook'!$F$38))</f>
        <v>1</v>
      </c>
      <c r="CL203" s="18">
        <f>IF(AT203="","",--(AT203='Codebook'!$F$39))</f>
        <v>1</v>
      </c>
      <c r="CM203" s="18">
        <f>IF(AU203="","",--(AU203='Codebook'!$F$40))</f>
        <v>1</v>
      </c>
      <c r="CN203" s="18">
        <f>IF(AV203="","",--(AV203='Codebook'!$F$41))</f>
        <v>0</v>
      </c>
      <c r="CO203" s="18">
        <f>IF(AW203="","",--(AW203='Codebook'!$F$42))</f>
        <v>0</v>
      </c>
      <c r="CP203" s="18">
        <f>IF(AX203="","",--(AX203='Codebook'!$F$43))</f>
        <v>1</v>
      </c>
      <c r="CQ203" s="18">
        <f>IF(AY203="","",--(AY203='Codebook'!$F$44))</f>
        <v>1</v>
      </c>
      <c r="CR203" s="18">
        <f>IF(AZ203="","",--(AZ203='Codebook'!$F$45))</f>
        <v>0</v>
      </c>
    </row>
    <row r="204" spans="2:96" ht="24" customHeight="1">
      <c r="B204" s="18">
        <v>199</v>
      </c>
      <c r="C204" s="23">
        <v>46286.68035121528</v>
      </c>
      <c r="D204" s="21" t="s">
        <v>275</v>
      </c>
      <c r="E204" s="21" t="s">
        <v>206</v>
      </c>
      <c r="F204" s="21" t="s">
        <v>226</v>
      </c>
      <c r="G204" s="17" t="s">
        <v>247</v>
      </c>
      <c r="H204" s="21" t="s">
        <v>197</v>
      </c>
      <c r="I204" s="18">
        <f>SUM(BL204:BU204)</f>
        <v>6</v>
      </c>
      <c r="J204" s="18">
        <f>IF(COUNT(BV204:CD204)=9,SUM(BV204:CD204),"")</f>
        <v>5</v>
      </c>
      <c r="K204" s="18">
        <f>SUM(BL204:CD204)</f>
        <v>11</v>
      </c>
      <c r="L204" s="18">
        <f>--(K204&gt;='Codebook'!$C$8)</f>
        <v>0</v>
      </c>
      <c r="M204" s="18">
        <f>--(COUNT(BL204:CD204)=19)</f>
        <v>1</v>
      </c>
      <c r="N204" s="18">
        <f>SUM(CE204:CL204)</f>
        <v>5</v>
      </c>
      <c r="O204" s="18">
        <f>SUM(CM204:CR204)</f>
        <v>2</v>
      </c>
      <c r="P204" s="18">
        <f>N204+O204</f>
        <v>7</v>
      </c>
      <c r="Q204" s="21" t="s">
        <v>197</v>
      </c>
      <c r="R204" s="17" t="s">
        <v>154</v>
      </c>
      <c r="S204" s="18">
        <f>--OR(Overview!$B$6="All",E204=Overview!$B$6)*--OR(Overview!$F$6="All",F204=Overview!$F$6)*--OR(Overview!$J$6="All",G204=Overview!$J$6)*--OR(Overview!$N$6="All",H204=Overview!$N$6)</f>
        <v>1</v>
      </c>
      <c r="T204" s="21" t="s">
        <v>22</v>
      </c>
      <c r="U204" s="21" t="s">
        <v>22</v>
      </c>
      <c r="V204" s="21" t="s">
        <v>22</v>
      </c>
      <c r="W204" s="21" t="s">
        <v>22</v>
      </c>
      <c r="X204" s="21" t="s">
        <v>22</v>
      </c>
      <c r="Y204" s="21" t="s">
        <v>22</v>
      </c>
      <c r="Z204" s="21" t="s">
        <v>22</v>
      </c>
      <c r="AA204" s="21" t="s">
        <v>22</v>
      </c>
      <c r="AB204" s="21" t="s">
        <v>22</v>
      </c>
      <c r="AC204" s="21" t="s">
        <v>22</v>
      </c>
      <c r="AD204" s="21" t="s">
        <v>22</v>
      </c>
      <c r="AE204" s="21" t="s">
        <v>22</v>
      </c>
      <c r="AF204" s="21" t="s">
        <v>22</v>
      </c>
      <c r="AG204" s="21" t="s">
        <v>22</v>
      </c>
      <c r="AH204" s="21" t="s">
        <v>22</v>
      </c>
      <c r="AI204" s="21" t="s">
        <v>22</v>
      </c>
      <c r="AJ204" s="21" t="s">
        <v>22</v>
      </c>
      <c r="AK204" s="21" t="s">
        <v>22</v>
      </c>
      <c r="AL204" s="21" t="s">
        <v>22</v>
      </c>
      <c r="AM204" s="21" t="s">
        <v>83</v>
      </c>
      <c r="AN204" s="21" t="s">
        <v>83</v>
      </c>
      <c r="AO204" s="21" t="s">
        <v>83</v>
      </c>
      <c r="AP204" s="21" t="s">
        <v>109</v>
      </c>
      <c r="AQ204" s="21" t="s">
        <v>83</v>
      </c>
      <c r="AR204" s="21" t="s">
        <v>109</v>
      </c>
      <c r="AS204" s="21" t="s">
        <v>83</v>
      </c>
      <c r="AT204" s="21" t="s">
        <v>198</v>
      </c>
      <c r="AU204" s="21" t="s">
        <v>109</v>
      </c>
      <c r="AV204" s="21" t="s">
        <v>83</v>
      </c>
      <c r="AW204" s="21" t="s">
        <v>83</v>
      </c>
      <c r="AX204" s="21" t="s">
        <v>83</v>
      </c>
      <c r="AY204" s="21" t="s">
        <v>83</v>
      </c>
      <c r="AZ204" s="21" t="s">
        <v>109</v>
      </c>
      <c r="BA204" s="17" t="s">
        <v>246</v>
      </c>
      <c r="BB204" s="17" t="s">
        <v>250</v>
      </c>
      <c r="BC204" s="18">
        <f>--ISNUMBER(SEARCH("Radio or television",BA204))</f>
        <v>1</v>
      </c>
      <c r="BD204" s="18">
        <f>--ISNUMBER(SEARCH("Newspapers or print media",BA204))</f>
        <v>0</v>
      </c>
      <c r="BE204" s="18">
        <f>--ISNUMBER(SEARCH("Social media (e.g. Facebook, WhatsApp, YouTube, X/Twitter)",BA204))</f>
        <v>1</v>
      </c>
      <c r="BF204" s="18">
        <f>--ISNUMBER(SEARCH("Family members",BA204))</f>
        <v>0</v>
      </c>
      <c r="BG204" s="18">
        <f>--ISNUMBER(SEARCH("Friends or fellow students",BA204))</f>
        <v>0</v>
      </c>
      <c r="BH204" s="18">
        <f>--ISNUMBER(SEARCH("School coursework or lectures",BA204))</f>
        <v>0</v>
      </c>
      <c r="BI204" s="18">
        <f>--ISNUMBER(SEARCH("NHIMA outreach activities or NHIMA offices",BA204))</f>
        <v>0</v>
      </c>
      <c r="BJ204" s="18">
        <f>--ISNUMBER(SEARCH("Health facility staff",BA204))</f>
        <v>0</v>
      </c>
      <c r="BK204" s="18">
        <f>--ISNUMBER(SEARCH("not received information",BA204))</f>
        <v>0</v>
      </c>
      <c r="BL204" s="18">
        <f>IF(T204="","",--(T204='Codebook'!$F$13))</f>
        <v>1</v>
      </c>
      <c r="BM204" s="18">
        <f>IF(U204="","",--(U204='Codebook'!$F$14))</f>
        <v>0</v>
      </c>
      <c r="BN204" s="18">
        <f>IF(V204="","",--(V204='Codebook'!$F$15))</f>
        <v>0</v>
      </c>
      <c r="BO204" s="18">
        <f>IF(W204="","",--(W204='Codebook'!$F$16))</f>
        <v>1</v>
      </c>
      <c r="BP204" s="18">
        <f>IF(X204="","",--(X204='Codebook'!$F$17))</f>
        <v>1</v>
      </c>
      <c r="BQ204" s="18">
        <f>IF(Y204="","",--(Y204='Codebook'!$F$18))</f>
        <v>0</v>
      </c>
      <c r="BR204" s="18">
        <f>IF(Z204="","",--(Z204='Codebook'!$F$19))</f>
        <v>1</v>
      </c>
      <c r="BS204" s="18">
        <f>IF(AA204="","",--(AA204='Codebook'!$F$20))</f>
        <v>1</v>
      </c>
      <c r="BT204" s="18">
        <f>IF(AB204="","",--(AB204='Codebook'!$F$21))</f>
        <v>0</v>
      </c>
      <c r="BU204" s="18">
        <f>IF(AC204="","",--(AC204='Codebook'!$F$22))</f>
        <v>1</v>
      </c>
      <c r="BV204" s="18">
        <f>IF(AD204="","",--(AD204='Codebook'!$F$23))</f>
        <v>1</v>
      </c>
      <c r="BW204" s="18">
        <f>IF(AE204="","",--(AE204='Codebook'!$F$24))</f>
        <v>1</v>
      </c>
      <c r="BX204" s="18">
        <f>IF(AF204="","",--(AF204='Codebook'!$F$25))</f>
        <v>0</v>
      </c>
      <c r="BY204" s="18">
        <f>IF(AG204="","",--(AG204='Codebook'!$F$26))</f>
        <v>1</v>
      </c>
      <c r="BZ204" s="18">
        <f>IF(AH204="","",--(AH204='Codebook'!$F$27))</f>
        <v>1</v>
      </c>
      <c r="CA204" s="18">
        <f>IF(AI204="","",--(AI204='Codebook'!$F$28))</f>
        <v>0</v>
      </c>
      <c r="CB204" s="18">
        <f>IF(AJ204="","",--(AJ204='Codebook'!$F$29))</f>
        <v>0</v>
      </c>
      <c r="CC204" s="18">
        <f>IF(AK204="","",--(AK204='Codebook'!$F$30))</f>
        <v>1</v>
      </c>
      <c r="CD204" s="18">
        <f>IF(AL204="","",--(AL204='Codebook'!$F$31))</f>
        <v>0</v>
      </c>
      <c r="CE204" s="18">
        <f>IF(AM204="","",--(AM204='Codebook'!$F$32))</f>
        <v>1</v>
      </c>
      <c r="CF204" s="18">
        <f>IF(AN204="","",--(AN204='Codebook'!$F$33))</f>
        <v>1</v>
      </c>
      <c r="CG204" s="18">
        <f>IF(AO204="","",--(AO204='Codebook'!$F$34))</f>
        <v>1</v>
      </c>
      <c r="CH204" s="18">
        <f>IF(AP204="","",--(AP204='Codebook'!$F$35))</f>
        <v>0</v>
      </c>
      <c r="CI204" s="18">
        <f>IF(AQ204="","",--(AQ204='Codebook'!$F$36))</f>
        <v>1</v>
      </c>
      <c r="CJ204" s="18">
        <f>IF(AR204="","",--(AR204='Codebook'!$F$37))</f>
        <v>0</v>
      </c>
      <c r="CK204" s="18">
        <f>IF(AS204="","",--(AS204='Codebook'!$F$38))</f>
        <v>1</v>
      </c>
      <c r="CL204" s="18">
        <f>IF(AT204="","",--(AT204='Codebook'!$F$39))</f>
        <v>0</v>
      </c>
      <c r="CM204" s="18">
        <f>IF(AU204="","",--(AU204='Codebook'!$F$40))</f>
        <v>1</v>
      </c>
      <c r="CN204" s="18">
        <f>IF(AV204="","",--(AV204='Codebook'!$F$41))</f>
        <v>0</v>
      </c>
      <c r="CO204" s="18">
        <f>IF(AW204="","",--(AW204='Codebook'!$F$42))</f>
        <v>0</v>
      </c>
      <c r="CP204" s="18">
        <f>IF(AX204="","",--(AX204='Codebook'!$F$43))</f>
        <v>0</v>
      </c>
      <c r="CQ204" s="18">
        <f>IF(AY204="","",--(AY204='Codebook'!$F$44))</f>
        <v>0</v>
      </c>
      <c r="CR204" s="18">
        <f>IF(AZ204="","",--(AZ204='Codebook'!$F$45))</f>
        <v>1</v>
      </c>
    </row>
    <row r="205" spans="2:96" ht="24" customHeight="1">
      <c r="B205" s="18">
        <v>200</v>
      </c>
      <c r="C205" s="23">
        <v>46286.68107555556</v>
      </c>
      <c r="D205" s="21" t="s">
        <v>275</v>
      </c>
      <c r="E205" s="21" t="s">
        <v>206</v>
      </c>
      <c r="F205" s="21" t="s">
        <v>201</v>
      </c>
      <c r="G205" s="17" t="s">
        <v>196</v>
      </c>
      <c r="H205" s="21" t="s">
        <v>207</v>
      </c>
      <c r="I205" s="18">
        <f>SUM(BL205:BU205)</f>
        <v>2</v>
      </c>
      <c r="J205" s="18">
        <f>IF(COUNT(BV205:CD205)=9,SUM(BV205:CD205),"")</f>
        <v>3</v>
      </c>
      <c r="K205" s="18">
        <f>SUM(BL205:CD205)</f>
        <v>5</v>
      </c>
      <c r="L205" s="18">
        <f>--(K205&gt;='Codebook'!$C$8)</f>
        <v>0</v>
      </c>
      <c r="M205" s="18">
        <f>--(COUNT(BL205:CD205)=19)</f>
        <v>1</v>
      </c>
      <c r="N205" s="18">
        <f>SUM(CE205:CL205)</f>
        <v>0</v>
      </c>
      <c r="O205" s="18">
        <f>SUM(CM205:CR205)</f>
        <v>1</v>
      </c>
      <c r="P205" s="18">
        <f>N205+O205</f>
        <v>1</v>
      </c>
      <c r="Q205" s="21" t="s">
        <v>198</v>
      </c>
      <c r="R205" s="17" t="s">
        <v>156</v>
      </c>
      <c r="S205" s="18">
        <f>--OR(Overview!$B$6="All",E205=Overview!$B$6)*--OR(Overview!$F$6="All",F205=Overview!$F$6)*--OR(Overview!$J$6="All",G205=Overview!$J$6)*--OR(Overview!$N$6="All",H205=Overview!$N$6)</f>
        <v>1</v>
      </c>
      <c r="T205" s="21" t="s">
        <v>26</v>
      </c>
      <c r="U205" s="21" t="s">
        <v>22</v>
      </c>
      <c r="V205" s="21" t="s">
        <v>22</v>
      </c>
      <c r="W205" s="21" t="s">
        <v>22</v>
      </c>
      <c r="X205" s="21" t="s">
        <v>26</v>
      </c>
      <c r="Y205" s="21" t="s">
        <v>22</v>
      </c>
      <c r="Z205" s="21" t="s">
        <v>26</v>
      </c>
      <c r="AA205" s="21" t="s">
        <v>22</v>
      </c>
      <c r="AB205" s="21" t="s">
        <v>198</v>
      </c>
      <c r="AC205" s="21" t="s">
        <v>198</v>
      </c>
      <c r="AD205" s="21" t="s">
        <v>22</v>
      </c>
      <c r="AE205" s="21" t="s">
        <v>198</v>
      </c>
      <c r="AF205" s="21" t="s">
        <v>198</v>
      </c>
      <c r="AG205" s="21" t="s">
        <v>22</v>
      </c>
      <c r="AH205" s="21" t="s">
        <v>198</v>
      </c>
      <c r="AI205" s="21" t="s">
        <v>22</v>
      </c>
      <c r="AJ205" s="21" t="s">
        <v>198</v>
      </c>
      <c r="AK205" s="21" t="s">
        <v>198</v>
      </c>
      <c r="AL205" s="21" t="s">
        <v>26</v>
      </c>
      <c r="AM205" s="21" t="s">
        <v>109</v>
      </c>
      <c r="AN205" s="21" t="s">
        <v>198</v>
      </c>
      <c r="AO205" s="21" t="s">
        <v>198</v>
      </c>
      <c r="AP205" s="21" t="s">
        <v>198</v>
      </c>
      <c r="AQ205" s="21" t="s">
        <v>109</v>
      </c>
      <c r="AR205" s="21" t="s">
        <v>198</v>
      </c>
      <c r="AS205" s="21" t="s">
        <v>109</v>
      </c>
      <c r="AT205" s="21" t="s">
        <v>198</v>
      </c>
      <c r="AU205" s="21" t="s">
        <v>198</v>
      </c>
      <c r="AV205" s="21" t="s">
        <v>198</v>
      </c>
      <c r="AW205" s="21" t="s">
        <v>198</v>
      </c>
      <c r="AX205" s="21" t="s">
        <v>198</v>
      </c>
      <c r="AY205" s="21" t="s">
        <v>198</v>
      </c>
      <c r="AZ205" s="21" t="s">
        <v>109</v>
      </c>
      <c r="BA205" s="17" t="s">
        <v>290</v>
      </c>
      <c r="BB205" s="17" t="s">
        <v>313</v>
      </c>
      <c r="BC205" s="18">
        <f>--ISNUMBER(SEARCH("Radio or television",BA205))</f>
        <v>0</v>
      </c>
      <c r="BD205" s="18">
        <f>--ISNUMBER(SEARCH("Newspapers or print media",BA205))</f>
        <v>0</v>
      </c>
      <c r="BE205" s="18">
        <f>--ISNUMBER(SEARCH("Social media (e.g. Facebook, WhatsApp, YouTube, X/Twitter)",BA205))</f>
        <v>0</v>
      </c>
      <c r="BF205" s="18">
        <f>--ISNUMBER(SEARCH("Family members",BA205))</f>
        <v>0</v>
      </c>
      <c r="BG205" s="18">
        <f>--ISNUMBER(SEARCH("Friends or fellow students",BA205))</f>
        <v>1</v>
      </c>
      <c r="BH205" s="18">
        <f>--ISNUMBER(SEARCH("School coursework or lectures",BA205))</f>
        <v>1</v>
      </c>
      <c r="BI205" s="18">
        <f>--ISNUMBER(SEARCH("NHIMA outreach activities or NHIMA offices",BA205))</f>
        <v>0</v>
      </c>
      <c r="BJ205" s="18">
        <f>--ISNUMBER(SEARCH("Health facility staff",BA205))</f>
        <v>0</v>
      </c>
      <c r="BK205" s="18">
        <f>--ISNUMBER(SEARCH("not received information",BA205))</f>
        <v>0</v>
      </c>
      <c r="BL205" s="18">
        <f>IF(T205="","",--(T205='Codebook'!$F$13))</f>
        <v>0</v>
      </c>
      <c r="BM205" s="18">
        <f>IF(U205="","",--(U205='Codebook'!$F$14))</f>
        <v>0</v>
      </c>
      <c r="BN205" s="18">
        <f>IF(V205="","",--(V205='Codebook'!$F$15))</f>
        <v>0</v>
      </c>
      <c r="BO205" s="18">
        <f>IF(W205="","",--(W205='Codebook'!$F$16))</f>
        <v>1</v>
      </c>
      <c r="BP205" s="18">
        <f>IF(X205="","",--(X205='Codebook'!$F$17))</f>
        <v>0</v>
      </c>
      <c r="BQ205" s="18">
        <f>IF(Y205="","",--(Y205='Codebook'!$F$18))</f>
        <v>0</v>
      </c>
      <c r="BR205" s="18">
        <f>IF(Z205="","",--(Z205='Codebook'!$F$19))</f>
        <v>0</v>
      </c>
      <c r="BS205" s="18">
        <f>IF(AA205="","",--(AA205='Codebook'!$F$20))</f>
        <v>1</v>
      </c>
      <c r="BT205" s="18">
        <f>IF(AB205="","",--(AB205='Codebook'!$F$21))</f>
        <v>0</v>
      </c>
      <c r="BU205" s="18">
        <f>IF(AC205="","",--(AC205='Codebook'!$F$22))</f>
        <v>0</v>
      </c>
      <c r="BV205" s="18">
        <f>IF(AD205="","",--(AD205='Codebook'!$F$23))</f>
        <v>1</v>
      </c>
      <c r="BW205" s="18">
        <f>IF(AE205="","",--(AE205='Codebook'!$F$24))</f>
        <v>0</v>
      </c>
      <c r="BX205" s="18">
        <f>IF(AF205="","",--(AF205='Codebook'!$F$25))</f>
        <v>0</v>
      </c>
      <c r="BY205" s="18">
        <f>IF(AG205="","",--(AG205='Codebook'!$F$26))</f>
        <v>1</v>
      </c>
      <c r="BZ205" s="18">
        <f>IF(AH205="","",--(AH205='Codebook'!$F$27))</f>
        <v>0</v>
      </c>
      <c r="CA205" s="18">
        <f>IF(AI205="","",--(AI205='Codebook'!$F$28))</f>
        <v>0</v>
      </c>
      <c r="CB205" s="18">
        <f>IF(AJ205="","",--(AJ205='Codebook'!$F$29))</f>
        <v>0</v>
      </c>
      <c r="CC205" s="18">
        <f>IF(AK205="","",--(AK205='Codebook'!$F$30))</f>
        <v>0</v>
      </c>
      <c r="CD205" s="18">
        <f>IF(AL205="","",--(AL205='Codebook'!$F$31))</f>
        <v>1</v>
      </c>
      <c r="CE205" s="18">
        <f>IF(AM205="","",--(AM205='Codebook'!$F$32))</f>
        <v>0</v>
      </c>
      <c r="CF205" s="18">
        <f>IF(AN205="","",--(AN205='Codebook'!$F$33))</f>
        <v>0</v>
      </c>
      <c r="CG205" s="18">
        <f>IF(AO205="","",--(AO205='Codebook'!$F$34))</f>
        <v>0</v>
      </c>
      <c r="CH205" s="18">
        <f>IF(AP205="","",--(AP205='Codebook'!$F$35))</f>
        <v>0</v>
      </c>
      <c r="CI205" s="18">
        <f>IF(AQ205="","",--(AQ205='Codebook'!$F$36))</f>
        <v>0</v>
      </c>
      <c r="CJ205" s="18">
        <f>IF(AR205="","",--(AR205='Codebook'!$F$37))</f>
        <v>0</v>
      </c>
      <c r="CK205" s="18">
        <f>IF(AS205="","",--(AS205='Codebook'!$F$38))</f>
        <v>0</v>
      </c>
      <c r="CL205" s="18">
        <f>IF(AT205="","",--(AT205='Codebook'!$F$39))</f>
        <v>0</v>
      </c>
      <c r="CM205" s="18">
        <f>IF(AU205="","",--(AU205='Codebook'!$F$40))</f>
        <v>0</v>
      </c>
      <c r="CN205" s="18">
        <f>IF(AV205="","",--(AV205='Codebook'!$F$41))</f>
        <v>0</v>
      </c>
      <c r="CO205" s="18">
        <f>IF(AW205="","",--(AW205='Codebook'!$F$42))</f>
        <v>0</v>
      </c>
      <c r="CP205" s="18">
        <f>IF(AX205="","",--(AX205='Codebook'!$F$43))</f>
        <v>0</v>
      </c>
      <c r="CQ205" s="18">
        <f>IF(AY205="","",--(AY205='Codebook'!$F$44))</f>
        <v>0</v>
      </c>
      <c r="CR205" s="18">
        <f>IF(AZ205="","",--(AZ205='Codebook'!$F$45))</f>
        <v>1</v>
      </c>
    </row>
    <row r="206" spans="2:96" ht="24" customHeight="1">
      <c r="B206" s="18">
        <v>201</v>
      </c>
      <c r="C206" s="23">
        <v>46287.40395984954</v>
      </c>
      <c r="D206" s="21" t="s">
        <v>275</v>
      </c>
      <c r="E206" s="21" t="s">
        <v>206</v>
      </c>
      <c r="F206" s="21" t="s">
        <v>212</v>
      </c>
      <c r="G206" s="17" t="s">
        <v>224</v>
      </c>
      <c r="H206" s="21" t="s">
        <v>197</v>
      </c>
      <c r="I206" s="18">
        <f>SUM(BL206:BU206)</f>
        <v>6</v>
      </c>
      <c r="J206" s="18">
        <f>IF(COUNT(BV206:CD206)=9,SUM(BV206:CD206),"")</f>
        <v>5</v>
      </c>
      <c r="K206" s="18">
        <f>SUM(BL206:CD206)</f>
        <v>11</v>
      </c>
      <c r="L206" s="18">
        <f>--(K206&gt;='Codebook'!$C$8)</f>
        <v>0</v>
      </c>
      <c r="M206" s="18">
        <f>--(COUNT(BL206:CD206)=19)</f>
        <v>1</v>
      </c>
      <c r="N206" s="18">
        <f>SUM(CE206:CL206)</f>
        <v>8</v>
      </c>
      <c r="O206" s="18">
        <f>SUM(CM206:CR206)</f>
        <v>0</v>
      </c>
      <c r="P206" s="18">
        <f>N206+O206</f>
        <v>8</v>
      </c>
      <c r="Q206" s="21" t="s">
        <v>197</v>
      </c>
      <c r="R206" s="17" t="s">
        <v>155</v>
      </c>
      <c r="S206" s="18">
        <f>--OR(Overview!$B$6="All",E206=Overview!$B$6)*--OR(Overview!$F$6="All",F206=Overview!$F$6)*--OR(Overview!$J$6="All",G206=Overview!$J$6)*--OR(Overview!$N$6="All",H206=Overview!$N$6)</f>
        <v>1</v>
      </c>
      <c r="T206" s="21" t="s">
        <v>22</v>
      </c>
      <c r="U206" s="21" t="s">
        <v>22</v>
      </c>
      <c r="V206" s="21" t="s">
        <v>22</v>
      </c>
      <c r="W206" s="21" t="s">
        <v>22</v>
      </c>
      <c r="X206" s="21" t="s">
        <v>22</v>
      </c>
      <c r="Y206" s="21" t="s">
        <v>22</v>
      </c>
      <c r="Z206" s="21" t="s">
        <v>22</v>
      </c>
      <c r="AA206" s="21" t="s">
        <v>22</v>
      </c>
      <c r="AB206" s="21" t="s">
        <v>22</v>
      </c>
      <c r="AC206" s="21" t="s">
        <v>22</v>
      </c>
      <c r="AD206" s="21" t="s">
        <v>22</v>
      </c>
      <c r="AE206" s="21" t="s">
        <v>22</v>
      </c>
      <c r="AF206" s="21" t="s">
        <v>22</v>
      </c>
      <c r="AG206" s="21" t="s">
        <v>22</v>
      </c>
      <c r="AH206" s="21" t="s">
        <v>22</v>
      </c>
      <c r="AI206" s="21" t="s">
        <v>22</v>
      </c>
      <c r="AJ206" s="21" t="s">
        <v>22</v>
      </c>
      <c r="AK206" s="21" t="s">
        <v>22</v>
      </c>
      <c r="AL206" s="21" t="s">
        <v>22</v>
      </c>
      <c r="AM206" s="21" t="s">
        <v>83</v>
      </c>
      <c r="AN206" s="21" t="s">
        <v>83</v>
      </c>
      <c r="AO206" s="21" t="s">
        <v>83</v>
      </c>
      <c r="AP206" s="21" t="s">
        <v>83</v>
      </c>
      <c r="AQ206" s="21" t="s">
        <v>83</v>
      </c>
      <c r="AR206" s="21" t="s">
        <v>83</v>
      </c>
      <c r="AS206" s="21" t="s">
        <v>83</v>
      </c>
      <c r="AT206" s="21" t="s">
        <v>83</v>
      </c>
      <c r="AU206" s="21" t="s">
        <v>83</v>
      </c>
      <c r="AV206" s="21" t="s">
        <v>83</v>
      </c>
      <c r="AW206" s="21" t="s">
        <v>83</v>
      </c>
      <c r="AX206" s="21" t="s">
        <v>83</v>
      </c>
      <c r="AY206" s="21" t="s">
        <v>83</v>
      </c>
      <c r="AZ206" s="21" t="s">
        <v>83</v>
      </c>
      <c r="BA206" s="17" t="s">
        <v>325</v>
      </c>
      <c r="BB206" s="17" t="s">
        <v>219</v>
      </c>
      <c r="BC206" s="18">
        <f>--ISNUMBER(SEARCH("Radio or television",BA206))</f>
        <v>0</v>
      </c>
      <c r="BD206" s="18">
        <f>--ISNUMBER(SEARCH("Newspapers or print media",BA206))</f>
        <v>0</v>
      </c>
      <c r="BE206" s="18">
        <f>--ISNUMBER(SEARCH("Social media (e.g. Facebook, WhatsApp, YouTube, X/Twitter)",BA206))</f>
        <v>0</v>
      </c>
      <c r="BF206" s="18">
        <f>--ISNUMBER(SEARCH("Family members",BA206))</f>
        <v>1</v>
      </c>
      <c r="BG206" s="18">
        <f>--ISNUMBER(SEARCH("Friends or fellow students",BA206))</f>
        <v>0</v>
      </c>
      <c r="BH206" s="18">
        <f>--ISNUMBER(SEARCH("School coursework or lectures",BA206))</f>
        <v>1</v>
      </c>
      <c r="BI206" s="18">
        <f>--ISNUMBER(SEARCH("NHIMA outreach activities or NHIMA offices",BA206))</f>
        <v>0</v>
      </c>
      <c r="BJ206" s="18">
        <f>--ISNUMBER(SEARCH("Health facility staff",BA206))</f>
        <v>0</v>
      </c>
      <c r="BK206" s="18">
        <f>--ISNUMBER(SEARCH("not received information",BA206))</f>
        <v>0</v>
      </c>
      <c r="BL206" s="18">
        <f>IF(T206="","",--(T206='Codebook'!$F$13))</f>
        <v>1</v>
      </c>
      <c r="BM206" s="18">
        <f>IF(U206="","",--(U206='Codebook'!$F$14))</f>
        <v>0</v>
      </c>
      <c r="BN206" s="18">
        <f>IF(V206="","",--(V206='Codebook'!$F$15))</f>
        <v>0</v>
      </c>
      <c r="BO206" s="18">
        <f>IF(W206="","",--(W206='Codebook'!$F$16))</f>
        <v>1</v>
      </c>
      <c r="BP206" s="18">
        <f>IF(X206="","",--(X206='Codebook'!$F$17))</f>
        <v>1</v>
      </c>
      <c r="BQ206" s="18">
        <f>IF(Y206="","",--(Y206='Codebook'!$F$18))</f>
        <v>0</v>
      </c>
      <c r="BR206" s="18">
        <f>IF(Z206="","",--(Z206='Codebook'!$F$19))</f>
        <v>1</v>
      </c>
      <c r="BS206" s="18">
        <f>IF(AA206="","",--(AA206='Codebook'!$F$20))</f>
        <v>1</v>
      </c>
      <c r="BT206" s="18">
        <f>IF(AB206="","",--(AB206='Codebook'!$F$21))</f>
        <v>0</v>
      </c>
      <c r="BU206" s="18">
        <f>IF(AC206="","",--(AC206='Codebook'!$F$22))</f>
        <v>1</v>
      </c>
      <c r="BV206" s="18">
        <f>IF(AD206="","",--(AD206='Codebook'!$F$23))</f>
        <v>1</v>
      </c>
      <c r="BW206" s="18">
        <f>IF(AE206="","",--(AE206='Codebook'!$F$24))</f>
        <v>1</v>
      </c>
      <c r="BX206" s="18">
        <f>IF(AF206="","",--(AF206='Codebook'!$F$25))</f>
        <v>0</v>
      </c>
      <c r="BY206" s="18">
        <f>IF(AG206="","",--(AG206='Codebook'!$F$26))</f>
        <v>1</v>
      </c>
      <c r="BZ206" s="18">
        <f>IF(AH206="","",--(AH206='Codebook'!$F$27))</f>
        <v>1</v>
      </c>
      <c r="CA206" s="18">
        <f>IF(AI206="","",--(AI206='Codebook'!$F$28))</f>
        <v>0</v>
      </c>
      <c r="CB206" s="18">
        <f>IF(AJ206="","",--(AJ206='Codebook'!$F$29))</f>
        <v>0</v>
      </c>
      <c r="CC206" s="18">
        <f>IF(AK206="","",--(AK206='Codebook'!$F$30))</f>
        <v>1</v>
      </c>
      <c r="CD206" s="18">
        <f>IF(AL206="","",--(AL206='Codebook'!$F$31))</f>
        <v>0</v>
      </c>
      <c r="CE206" s="18">
        <f>IF(AM206="","",--(AM206='Codebook'!$F$32))</f>
        <v>1</v>
      </c>
      <c r="CF206" s="18">
        <f>IF(AN206="","",--(AN206='Codebook'!$F$33))</f>
        <v>1</v>
      </c>
      <c r="CG206" s="18">
        <f>IF(AO206="","",--(AO206='Codebook'!$F$34))</f>
        <v>1</v>
      </c>
      <c r="CH206" s="18">
        <f>IF(AP206="","",--(AP206='Codebook'!$F$35))</f>
        <v>1</v>
      </c>
      <c r="CI206" s="18">
        <f>IF(AQ206="","",--(AQ206='Codebook'!$F$36))</f>
        <v>1</v>
      </c>
      <c r="CJ206" s="18">
        <f>IF(AR206="","",--(AR206='Codebook'!$F$37))</f>
        <v>1</v>
      </c>
      <c r="CK206" s="18">
        <f>IF(AS206="","",--(AS206='Codebook'!$F$38))</f>
        <v>1</v>
      </c>
      <c r="CL206" s="18">
        <f>IF(AT206="","",--(AT206='Codebook'!$F$39))</f>
        <v>1</v>
      </c>
      <c r="CM206" s="18">
        <f>IF(AU206="","",--(AU206='Codebook'!$F$40))</f>
        <v>0</v>
      </c>
      <c r="CN206" s="18">
        <f>IF(AV206="","",--(AV206='Codebook'!$F$41))</f>
        <v>0</v>
      </c>
      <c r="CO206" s="18">
        <f>IF(AW206="","",--(AW206='Codebook'!$F$42))</f>
        <v>0</v>
      </c>
      <c r="CP206" s="18">
        <f>IF(AX206="","",--(AX206='Codebook'!$F$43))</f>
        <v>0</v>
      </c>
      <c r="CQ206" s="18">
        <f>IF(AY206="","",--(AY206='Codebook'!$F$44))</f>
        <v>0</v>
      </c>
      <c r="CR206" s="18">
        <f>IF(AZ206="","",--(AZ206='Codebook'!$F$45))</f>
        <v>0</v>
      </c>
    </row>
    <row r="207" spans="2:96" ht="24" customHeight="1">
      <c r="B207" s="18">
        <v>202</v>
      </c>
      <c r="C207" s="23">
        <v>46287.40480237269</v>
      </c>
      <c r="D207" s="21" t="s">
        <v>275</v>
      </c>
      <c r="E207" s="21" t="s">
        <v>206</v>
      </c>
      <c r="F207" s="21" t="s">
        <v>195</v>
      </c>
      <c r="G207" s="17" t="s">
        <v>202</v>
      </c>
      <c r="H207" s="21" t="s">
        <v>207</v>
      </c>
      <c r="I207" s="18">
        <f>SUM(BL207:BU207)</f>
        <v>4</v>
      </c>
      <c r="J207" s="18">
        <f>IF(COUNT(BV207:CD207)=9,SUM(BV207:CD207),"")</f>
        <v>4</v>
      </c>
      <c r="K207" s="18">
        <f>SUM(BL207:CD207)</f>
        <v>8</v>
      </c>
      <c r="L207" s="18">
        <f>--(K207&gt;='Codebook'!$C$8)</f>
        <v>0</v>
      </c>
      <c r="M207" s="18">
        <f>--(COUNT(BL207:CD207)=19)</f>
        <v>1</v>
      </c>
      <c r="N207" s="18">
        <f>SUM(CE207:CL207)</f>
        <v>0</v>
      </c>
      <c r="O207" s="18">
        <f>SUM(CM207:CR207)</f>
        <v>6</v>
      </c>
      <c r="P207" s="18">
        <f>N207+O207</f>
        <v>6</v>
      </c>
      <c r="Q207" s="21" t="s">
        <v>207</v>
      </c>
      <c r="R207" s="17" t="s">
        <v>216</v>
      </c>
      <c r="S207" s="18">
        <f>--OR(Overview!$B$6="All",E207=Overview!$B$6)*--OR(Overview!$F$6="All",F207=Overview!$F$6)*--OR(Overview!$J$6="All",G207=Overview!$J$6)*--OR(Overview!$N$6="All",H207=Overview!$N$6)</f>
        <v>1</v>
      </c>
      <c r="T207" s="21" t="s">
        <v>26</v>
      </c>
      <c r="U207" s="21" t="s">
        <v>26</v>
      </c>
      <c r="V207" s="21" t="s">
        <v>26</v>
      </c>
      <c r="W207" s="21" t="s">
        <v>26</v>
      </c>
      <c r="X207" s="21" t="s">
        <v>26</v>
      </c>
      <c r="Y207" s="21" t="s">
        <v>26</v>
      </c>
      <c r="Z207" s="21" t="s">
        <v>26</v>
      </c>
      <c r="AA207" s="21" t="s">
        <v>26</v>
      </c>
      <c r="AB207" s="21" t="s">
        <v>26</v>
      </c>
      <c r="AC207" s="21" t="s">
        <v>26</v>
      </c>
      <c r="AD207" s="21" t="s">
        <v>26</v>
      </c>
      <c r="AE207" s="21" t="s">
        <v>26</v>
      </c>
      <c r="AF207" s="21" t="s">
        <v>26</v>
      </c>
      <c r="AG207" s="21" t="s">
        <v>26</v>
      </c>
      <c r="AH207" s="21" t="s">
        <v>26</v>
      </c>
      <c r="AI207" s="21" t="s">
        <v>26</v>
      </c>
      <c r="AJ207" s="21" t="s">
        <v>26</v>
      </c>
      <c r="AK207" s="21" t="s">
        <v>26</v>
      </c>
      <c r="AL207" s="21" t="s">
        <v>26</v>
      </c>
      <c r="AM207" s="21" t="s">
        <v>109</v>
      </c>
      <c r="AN207" s="21" t="s">
        <v>109</v>
      </c>
      <c r="AO207" s="21" t="s">
        <v>109</v>
      </c>
      <c r="AP207" s="21" t="s">
        <v>109</v>
      </c>
      <c r="AQ207" s="21" t="s">
        <v>109</v>
      </c>
      <c r="AR207" s="21" t="s">
        <v>109</v>
      </c>
      <c r="AS207" s="21" t="s">
        <v>109</v>
      </c>
      <c r="AT207" s="21" t="s">
        <v>109</v>
      </c>
      <c r="AU207" s="21" t="s">
        <v>109</v>
      </c>
      <c r="AV207" s="21" t="s">
        <v>109</v>
      </c>
      <c r="AW207" s="21" t="s">
        <v>109</v>
      </c>
      <c r="AX207" s="21" t="s">
        <v>109</v>
      </c>
      <c r="AY207" s="21" t="s">
        <v>109</v>
      </c>
      <c r="AZ207" s="21" t="s">
        <v>109</v>
      </c>
      <c r="BA207" s="17" t="s">
        <v>273</v>
      </c>
      <c r="BB207" s="17" t="s">
        <v>231</v>
      </c>
      <c r="BC207" s="18">
        <f>--ISNUMBER(SEARCH("Radio or television",BA207))</f>
        <v>1</v>
      </c>
      <c r="BD207" s="18">
        <f>--ISNUMBER(SEARCH("Newspapers or print media",BA207))</f>
        <v>1</v>
      </c>
      <c r="BE207" s="18">
        <f>--ISNUMBER(SEARCH("Social media (e.g. Facebook, WhatsApp, YouTube, X/Twitter)",BA207))</f>
        <v>1</v>
      </c>
      <c r="BF207" s="18">
        <f>--ISNUMBER(SEARCH("Family members",BA207))</f>
        <v>1</v>
      </c>
      <c r="BG207" s="18">
        <f>--ISNUMBER(SEARCH("Friends or fellow students",BA207))</f>
        <v>1</v>
      </c>
      <c r="BH207" s="18">
        <f>--ISNUMBER(SEARCH("School coursework or lectures",BA207))</f>
        <v>1</v>
      </c>
      <c r="BI207" s="18">
        <f>--ISNUMBER(SEARCH("NHIMA outreach activities or NHIMA offices",BA207))</f>
        <v>0</v>
      </c>
      <c r="BJ207" s="18">
        <f>--ISNUMBER(SEARCH("Health facility staff",BA207))</f>
        <v>0</v>
      </c>
      <c r="BK207" s="18">
        <f>--ISNUMBER(SEARCH("not received information",BA207))</f>
        <v>0</v>
      </c>
      <c r="BL207" s="18">
        <f>IF(T207="","",--(T207='Codebook'!$F$13))</f>
        <v>0</v>
      </c>
      <c r="BM207" s="18">
        <f>IF(U207="","",--(U207='Codebook'!$F$14))</f>
        <v>1</v>
      </c>
      <c r="BN207" s="18">
        <f>IF(V207="","",--(V207='Codebook'!$F$15))</f>
        <v>1</v>
      </c>
      <c r="BO207" s="18">
        <f>IF(W207="","",--(W207='Codebook'!$F$16))</f>
        <v>0</v>
      </c>
      <c r="BP207" s="18">
        <f>IF(X207="","",--(X207='Codebook'!$F$17))</f>
        <v>0</v>
      </c>
      <c r="BQ207" s="18">
        <f>IF(Y207="","",--(Y207='Codebook'!$F$18))</f>
        <v>1</v>
      </c>
      <c r="BR207" s="18">
        <f>IF(Z207="","",--(Z207='Codebook'!$F$19))</f>
        <v>0</v>
      </c>
      <c r="BS207" s="18">
        <f>IF(AA207="","",--(AA207='Codebook'!$F$20))</f>
        <v>0</v>
      </c>
      <c r="BT207" s="18">
        <f>IF(AB207="","",--(AB207='Codebook'!$F$21))</f>
        <v>1</v>
      </c>
      <c r="BU207" s="18">
        <f>IF(AC207="","",--(AC207='Codebook'!$F$22))</f>
        <v>0</v>
      </c>
      <c r="BV207" s="18">
        <f>IF(AD207="","",--(AD207='Codebook'!$F$23))</f>
        <v>0</v>
      </c>
      <c r="BW207" s="18">
        <f>IF(AE207="","",--(AE207='Codebook'!$F$24))</f>
        <v>0</v>
      </c>
      <c r="BX207" s="18">
        <f>IF(AF207="","",--(AF207='Codebook'!$F$25))</f>
        <v>1</v>
      </c>
      <c r="BY207" s="18">
        <f>IF(AG207="","",--(AG207='Codebook'!$F$26))</f>
        <v>0</v>
      </c>
      <c r="BZ207" s="18">
        <f>IF(AH207="","",--(AH207='Codebook'!$F$27))</f>
        <v>0</v>
      </c>
      <c r="CA207" s="18">
        <f>IF(AI207="","",--(AI207='Codebook'!$F$28))</f>
        <v>1</v>
      </c>
      <c r="CB207" s="18">
        <f>IF(AJ207="","",--(AJ207='Codebook'!$F$29))</f>
        <v>1</v>
      </c>
      <c r="CC207" s="18">
        <f>IF(AK207="","",--(AK207='Codebook'!$F$30))</f>
        <v>0</v>
      </c>
      <c r="CD207" s="18">
        <f>IF(AL207="","",--(AL207='Codebook'!$F$31))</f>
        <v>1</v>
      </c>
      <c r="CE207" s="18">
        <f>IF(AM207="","",--(AM207='Codebook'!$F$32))</f>
        <v>0</v>
      </c>
      <c r="CF207" s="18">
        <f>IF(AN207="","",--(AN207='Codebook'!$F$33))</f>
        <v>0</v>
      </c>
      <c r="CG207" s="18">
        <f>IF(AO207="","",--(AO207='Codebook'!$F$34))</f>
        <v>0</v>
      </c>
      <c r="CH207" s="18">
        <f>IF(AP207="","",--(AP207='Codebook'!$F$35))</f>
        <v>0</v>
      </c>
      <c r="CI207" s="18">
        <f>IF(AQ207="","",--(AQ207='Codebook'!$F$36))</f>
        <v>0</v>
      </c>
      <c r="CJ207" s="18">
        <f>IF(AR207="","",--(AR207='Codebook'!$F$37))</f>
        <v>0</v>
      </c>
      <c r="CK207" s="18">
        <f>IF(AS207="","",--(AS207='Codebook'!$F$38))</f>
        <v>0</v>
      </c>
      <c r="CL207" s="18">
        <f>IF(AT207="","",--(AT207='Codebook'!$F$39))</f>
        <v>0</v>
      </c>
      <c r="CM207" s="18">
        <f>IF(AU207="","",--(AU207='Codebook'!$F$40))</f>
        <v>1</v>
      </c>
      <c r="CN207" s="18">
        <f>IF(AV207="","",--(AV207='Codebook'!$F$41))</f>
        <v>1</v>
      </c>
      <c r="CO207" s="18">
        <f>IF(AW207="","",--(AW207='Codebook'!$F$42))</f>
        <v>1</v>
      </c>
      <c r="CP207" s="18">
        <f>IF(AX207="","",--(AX207='Codebook'!$F$43))</f>
        <v>1</v>
      </c>
      <c r="CQ207" s="18">
        <f>IF(AY207="","",--(AY207='Codebook'!$F$44))</f>
        <v>1</v>
      </c>
      <c r="CR207" s="18">
        <f>IF(AZ207="","",--(AZ207='Codebook'!$F$45))</f>
        <v>1</v>
      </c>
    </row>
    <row r="208" spans="2:96" ht="24" customHeight="1">
      <c r="B208" s="18">
        <v>203</v>
      </c>
      <c r="C208" s="23">
        <v>46287.40564592592</v>
      </c>
      <c r="D208" s="21" t="s">
        <v>275</v>
      </c>
      <c r="E208" s="21" t="s">
        <v>206</v>
      </c>
      <c r="F208" s="21" t="s">
        <v>201</v>
      </c>
      <c r="G208" s="17" t="s">
        <v>196</v>
      </c>
      <c r="H208" s="21" t="s">
        <v>197</v>
      </c>
      <c r="I208" s="18">
        <f>SUM(BL208:BU208)</f>
        <v>0</v>
      </c>
      <c r="J208" s="18">
        <f>IF(COUNT(BV208:CD208)=9,SUM(BV208:CD208),"")</f>
        <v>0</v>
      </c>
      <c r="K208" s="18">
        <f>SUM(BL208:CD208)</f>
        <v>0</v>
      </c>
      <c r="L208" s="18">
        <f>--(K208&gt;='Codebook'!$C$8)</f>
        <v>0</v>
      </c>
      <c r="M208" s="18">
        <f>--(COUNT(BL208:CD208)=19)</f>
        <v>1</v>
      </c>
      <c r="N208" s="18">
        <f>SUM(CE208:CL208)</f>
        <v>0</v>
      </c>
      <c r="O208" s="18">
        <f>SUM(CM208:CR208)</f>
        <v>0</v>
      </c>
      <c r="P208" s="18">
        <f>N208+O208</f>
        <v>0</v>
      </c>
      <c r="Q208" s="21" t="s">
        <v>198</v>
      </c>
      <c r="R208" s="17" t="s">
        <v>155</v>
      </c>
      <c r="S208" s="18">
        <f>--OR(Overview!$B$6="All",E208=Overview!$B$6)*--OR(Overview!$F$6="All",F208=Overview!$F$6)*--OR(Overview!$J$6="All",G208=Overview!$J$6)*--OR(Overview!$N$6="All",H208=Overview!$N$6)</f>
        <v>1</v>
      </c>
      <c r="T208" s="21" t="s">
        <v>198</v>
      </c>
      <c r="U208" s="21" t="s">
        <v>198</v>
      </c>
      <c r="V208" s="21" t="s">
        <v>198</v>
      </c>
      <c r="W208" s="21" t="s">
        <v>198</v>
      </c>
      <c r="X208" s="21" t="s">
        <v>198</v>
      </c>
      <c r="Y208" s="21" t="s">
        <v>198</v>
      </c>
      <c r="Z208" s="21" t="s">
        <v>198</v>
      </c>
      <c r="AA208" s="21" t="s">
        <v>198</v>
      </c>
      <c r="AB208" s="21" t="s">
        <v>198</v>
      </c>
      <c r="AC208" s="21" t="s">
        <v>198</v>
      </c>
      <c r="AD208" s="21" t="s">
        <v>198</v>
      </c>
      <c r="AE208" s="21" t="s">
        <v>198</v>
      </c>
      <c r="AF208" s="21" t="s">
        <v>198</v>
      </c>
      <c r="AG208" s="21" t="s">
        <v>198</v>
      </c>
      <c r="AH208" s="21" t="s">
        <v>198</v>
      </c>
      <c r="AI208" s="21" t="s">
        <v>198</v>
      </c>
      <c r="AJ208" s="21" t="s">
        <v>198</v>
      </c>
      <c r="AK208" s="21" t="s">
        <v>198</v>
      </c>
      <c r="AL208" s="21" t="s">
        <v>198</v>
      </c>
      <c r="AM208" s="21" t="s">
        <v>198</v>
      </c>
      <c r="AN208" s="21" t="s">
        <v>198</v>
      </c>
      <c r="AO208" s="21" t="s">
        <v>198</v>
      </c>
      <c r="AP208" s="21" t="s">
        <v>198</v>
      </c>
      <c r="AQ208" s="21" t="s">
        <v>198</v>
      </c>
      <c r="AR208" s="21" t="s">
        <v>198</v>
      </c>
      <c r="AS208" s="21" t="s">
        <v>198</v>
      </c>
      <c r="AT208" s="21" t="s">
        <v>198</v>
      </c>
      <c r="AU208" s="21" t="s">
        <v>198</v>
      </c>
      <c r="AV208" s="21" t="s">
        <v>198</v>
      </c>
      <c r="AW208" s="21" t="s">
        <v>198</v>
      </c>
      <c r="AX208" s="21" t="s">
        <v>198</v>
      </c>
      <c r="AY208" s="21" t="s">
        <v>198</v>
      </c>
      <c r="AZ208" s="21" t="s">
        <v>198</v>
      </c>
      <c r="BA208" s="17" t="s">
        <v>325</v>
      </c>
      <c r="BB208" s="17" t="s">
        <v>219</v>
      </c>
      <c r="BC208" s="18">
        <f>--ISNUMBER(SEARCH("Radio or television",BA208))</f>
        <v>0</v>
      </c>
      <c r="BD208" s="18">
        <f>--ISNUMBER(SEARCH("Newspapers or print media",BA208))</f>
        <v>0</v>
      </c>
      <c r="BE208" s="18">
        <f>--ISNUMBER(SEARCH("Social media (e.g. Facebook, WhatsApp, YouTube, X/Twitter)",BA208))</f>
        <v>0</v>
      </c>
      <c r="BF208" s="18">
        <f>--ISNUMBER(SEARCH("Family members",BA208))</f>
        <v>1</v>
      </c>
      <c r="BG208" s="18">
        <f>--ISNUMBER(SEARCH("Friends or fellow students",BA208))</f>
        <v>0</v>
      </c>
      <c r="BH208" s="18">
        <f>--ISNUMBER(SEARCH("School coursework or lectures",BA208))</f>
        <v>1</v>
      </c>
      <c r="BI208" s="18">
        <f>--ISNUMBER(SEARCH("NHIMA outreach activities or NHIMA offices",BA208))</f>
        <v>0</v>
      </c>
      <c r="BJ208" s="18">
        <f>--ISNUMBER(SEARCH("Health facility staff",BA208))</f>
        <v>0</v>
      </c>
      <c r="BK208" s="18">
        <f>--ISNUMBER(SEARCH("not received information",BA208))</f>
        <v>0</v>
      </c>
      <c r="BL208" s="18">
        <f>IF(T208="","",--(T208='Codebook'!$F$13))</f>
        <v>0</v>
      </c>
      <c r="BM208" s="18">
        <f>IF(U208="","",--(U208='Codebook'!$F$14))</f>
        <v>0</v>
      </c>
      <c r="BN208" s="18">
        <f>IF(V208="","",--(V208='Codebook'!$F$15))</f>
        <v>0</v>
      </c>
      <c r="BO208" s="18">
        <f>IF(W208="","",--(W208='Codebook'!$F$16))</f>
        <v>0</v>
      </c>
      <c r="BP208" s="18">
        <f>IF(X208="","",--(X208='Codebook'!$F$17))</f>
        <v>0</v>
      </c>
      <c r="BQ208" s="18">
        <f>IF(Y208="","",--(Y208='Codebook'!$F$18))</f>
        <v>0</v>
      </c>
      <c r="BR208" s="18">
        <f>IF(Z208="","",--(Z208='Codebook'!$F$19))</f>
        <v>0</v>
      </c>
      <c r="BS208" s="18">
        <f>IF(AA208="","",--(AA208='Codebook'!$F$20))</f>
        <v>0</v>
      </c>
      <c r="BT208" s="18">
        <f>IF(AB208="","",--(AB208='Codebook'!$F$21))</f>
        <v>0</v>
      </c>
      <c r="BU208" s="18">
        <f>IF(AC208="","",--(AC208='Codebook'!$F$22))</f>
        <v>0</v>
      </c>
      <c r="BV208" s="18">
        <f>IF(AD208="","",--(AD208='Codebook'!$F$23))</f>
        <v>0</v>
      </c>
      <c r="BW208" s="18">
        <f>IF(AE208="","",--(AE208='Codebook'!$F$24))</f>
        <v>0</v>
      </c>
      <c r="BX208" s="18">
        <f>IF(AF208="","",--(AF208='Codebook'!$F$25))</f>
        <v>0</v>
      </c>
      <c r="BY208" s="18">
        <f>IF(AG208="","",--(AG208='Codebook'!$F$26))</f>
        <v>0</v>
      </c>
      <c r="BZ208" s="18">
        <f>IF(AH208="","",--(AH208='Codebook'!$F$27))</f>
        <v>0</v>
      </c>
      <c r="CA208" s="18">
        <f>IF(AI208="","",--(AI208='Codebook'!$F$28))</f>
        <v>0</v>
      </c>
      <c r="CB208" s="18">
        <f>IF(AJ208="","",--(AJ208='Codebook'!$F$29))</f>
        <v>0</v>
      </c>
      <c r="CC208" s="18">
        <f>IF(AK208="","",--(AK208='Codebook'!$F$30))</f>
        <v>0</v>
      </c>
      <c r="CD208" s="18">
        <f>IF(AL208="","",--(AL208='Codebook'!$F$31))</f>
        <v>0</v>
      </c>
      <c r="CE208" s="18">
        <f>IF(AM208="","",--(AM208='Codebook'!$F$32))</f>
        <v>0</v>
      </c>
      <c r="CF208" s="18">
        <f>IF(AN208="","",--(AN208='Codebook'!$F$33))</f>
        <v>0</v>
      </c>
      <c r="CG208" s="18">
        <f>IF(AO208="","",--(AO208='Codebook'!$F$34))</f>
        <v>0</v>
      </c>
      <c r="CH208" s="18">
        <f>IF(AP208="","",--(AP208='Codebook'!$F$35))</f>
        <v>0</v>
      </c>
      <c r="CI208" s="18">
        <f>IF(AQ208="","",--(AQ208='Codebook'!$F$36))</f>
        <v>0</v>
      </c>
      <c r="CJ208" s="18">
        <f>IF(AR208="","",--(AR208='Codebook'!$F$37))</f>
        <v>0</v>
      </c>
      <c r="CK208" s="18">
        <f>IF(AS208="","",--(AS208='Codebook'!$F$38))</f>
        <v>0</v>
      </c>
      <c r="CL208" s="18">
        <f>IF(AT208="","",--(AT208='Codebook'!$F$39))</f>
        <v>0</v>
      </c>
      <c r="CM208" s="18">
        <f>IF(AU208="","",--(AU208='Codebook'!$F$40))</f>
        <v>0</v>
      </c>
      <c r="CN208" s="18">
        <f>IF(AV208="","",--(AV208='Codebook'!$F$41))</f>
        <v>0</v>
      </c>
      <c r="CO208" s="18">
        <f>IF(AW208="","",--(AW208='Codebook'!$F$42))</f>
        <v>0</v>
      </c>
      <c r="CP208" s="18">
        <f>IF(AX208="","",--(AX208='Codebook'!$F$43))</f>
        <v>0</v>
      </c>
      <c r="CQ208" s="18">
        <f>IF(AY208="","",--(AY208='Codebook'!$F$44))</f>
        <v>0</v>
      </c>
      <c r="CR208" s="18">
        <f>IF(AZ208="","",--(AZ208='Codebook'!$F$45))</f>
        <v>0</v>
      </c>
    </row>
    <row r="209" spans="2:96" ht="24" customHeight="1">
      <c r="B209" s="18">
        <v>204</v>
      </c>
      <c r="C209" s="23">
        <v>46287.40648013889</v>
      </c>
      <c r="D209" s="21" t="s">
        <v>275</v>
      </c>
      <c r="E209" s="21" t="s">
        <v>194</v>
      </c>
      <c r="F209" s="21" t="s">
        <v>201</v>
      </c>
      <c r="G209" s="17" t="s">
        <v>215</v>
      </c>
      <c r="H209" s="21" t="s">
        <v>207</v>
      </c>
      <c r="I209" s="18">
        <f>SUM(BL209:BU209)</f>
        <v>6</v>
      </c>
      <c r="J209" s="18">
        <f>IF(COUNT(BV209:CD209)=9,SUM(BV209:CD209),"")</f>
        <v>6</v>
      </c>
      <c r="K209" s="18">
        <f>SUM(BL209:CD209)</f>
        <v>12</v>
      </c>
      <c r="L209" s="18">
        <f>--(K209&gt;='Codebook'!$C$8)</f>
        <v>1</v>
      </c>
      <c r="M209" s="18">
        <f>--(COUNT(BL209:CD209)=19)</f>
        <v>1</v>
      </c>
      <c r="N209" s="18">
        <f>SUM(CE209:CL209)</f>
        <v>5</v>
      </c>
      <c r="O209" s="18">
        <f>SUM(CM209:CR209)</f>
        <v>3</v>
      </c>
      <c r="P209" s="18">
        <f>N209+O209</f>
        <v>8</v>
      </c>
      <c r="Q209" s="21" t="s">
        <v>198</v>
      </c>
      <c r="R209" s="17" t="s">
        <v>156</v>
      </c>
      <c r="S209" s="18">
        <f>--OR(Overview!$B$6="All",E209=Overview!$B$6)*--OR(Overview!$F$6="All",F209=Overview!$F$6)*--OR(Overview!$J$6="All",G209=Overview!$J$6)*--OR(Overview!$N$6="All",H209=Overview!$N$6)</f>
        <v>1</v>
      </c>
      <c r="T209" s="21" t="s">
        <v>22</v>
      </c>
      <c r="U209" s="21" t="s">
        <v>198</v>
      </c>
      <c r="V209" s="21" t="s">
        <v>26</v>
      </c>
      <c r="W209" s="21" t="s">
        <v>22</v>
      </c>
      <c r="X209" s="21" t="s">
        <v>26</v>
      </c>
      <c r="Y209" s="21" t="s">
        <v>22</v>
      </c>
      <c r="Z209" s="21" t="s">
        <v>26</v>
      </c>
      <c r="AA209" s="21" t="s">
        <v>22</v>
      </c>
      <c r="AB209" s="21" t="s">
        <v>26</v>
      </c>
      <c r="AC209" s="21" t="s">
        <v>22</v>
      </c>
      <c r="AD209" s="21" t="s">
        <v>26</v>
      </c>
      <c r="AE209" s="21" t="s">
        <v>22</v>
      </c>
      <c r="AF209" s="21" t="s">
        <v>26</v>
      </c>
      <c r="AG209" s="21" t="s">
        <v>22</v>
      </c>
      <c r="AH209" s="21" t="s">
        <v>26</v>
      </c>
      <c r="AI209" s="21" t="s">
        <v>22</v>
      </c>
      <c r="AJ209" s="21" t="s">
        <v>26</v>
      </c>
      <c r="AK209" s="21" t="s">
        <v>22</v>
      </c>
      <c r="AL209" s="21" t="s">
        <v>26</v>
      </c>
      <c r="AM209" s="21" t="s">
        <v>83</v>
      </c>
      <c r="AN209" s="21" t="s">
        <v>109</v>
      </c>
      <c r="AO209" s="21" t="s">
        <v>83</v>
      </c>
      <c r="AP209" s="21" t="s">
        <v>109</v>
      </c>
      <c r="AQ209" s="21" t="s">
        <v>83</v>
      </c>
      <c r="AR209" s="21" t="s">
        <v>109</v>
      </c>
      <c r="AS209" s="21" t="s">
        <v>83</v>
      </c>
      <c r="AT209" s="21" t="s">
        <v>83</v>
      </c>
      <c r="AU209" s="21" t="s">
        <v>109</v>
      </c>
      <c r="AV209" s="21" t="s">
        <v>83</v>
      </c>
      <c r="AW209" s="21" t="s">
        <v>109</v>
      </c>
      <c r="AX209" s="21" t="s">
        <v>83</v>
      </c>
      <c r="AY209" s="21" t="s">
        <v>109</v>
      </c>
      <c r="AZ209" s="21" t="s">
        <v>83</v>
      </c>
      <c r="BA209" s="17" t="s">
        <v>298</v>
      </c>
      <c r="BB209" s="17" t="s">
        <v>313</v>
      </c>
      <c r="BC209" s="18">
        <f>--ISNUMBER(SEARCH("Radio or television",BA209))</f>
        <v>1</v>
      </c>
      <c r="BD209" s="18">
        <f>--ISNUMBER(SEARCH("Newspapers or print media",BA209))</f>
        <v>0</v>
      </c>
      <c r="BE209" s="18">
        <f>--ISNUMBER(SEARCH("Social media (e.g. Facebook, WhatsApp, YouTube, X/Twitter)",BA209))</f>
        <v>0</v>
      </c>
      <c r="BF209" s="18">
        <f>--ISNUMBER(SEARCH("Family members",BA209))</f>
        <v>1</v>
      </c>
      <c r="BG209" s="18">
        <f>--ISNUMBER(SEARCH("Friends or fellow students",BA209))</f>
        <v>1</v>
      </c>
      <c r="BH209" s="18">
        <f>--ISNUMBER(SEARCH("School coursework or lectures",BA209))</f>
        <v>0</v>
      </c>
      <c r="BI209" s="18">
        <f>--ISNUMBER(SEARCH("NHIMA outreach activities or NHIMA offices",BA209))</f>
        <v>0</v>
      </c>
      <c r="BJ209" s="18">
        <f>--ISNUMBER(SEARCH("Health facility staff",BA209))</f>
        <v>0</v>
      </c>
      <c r="BK209" s="18">
        <f>--ISNUMBER(SEARCH("not received information",BA209))</f>
        <v>0</v>
      </c>
      <c r="BL209" s="18">
        <f>IF(T209="","",--(T209='Codebook'!$F$13))</f>
        <v>1</v>
      </c>
      <c r="BM209" s="18">
        <f>IF(U209="","",--(U209='Codebook'!$F$14))</f>
        <v>0</v>
      </c>
      <c r="BN209" s="18">
        <f>IF(V209="","",--(V209='Codebook'!$F$15))</f>
        <v>1</v>
      </c>
      <c r="BO209" s="18">
        <f>IF(W209="","",--(W209='Codebook'!$F$16))</f>
        <v>1</v>
      </c>
      <c r="BP209" s="18">
        <f>IF(X209="","",--(X209='Codebook'!$F$17))</f>
        <v>0</v>
      </c>
      <c r="BQ209" s="18">
        <f>IF(Y209="","",--(Y209='Codebook'!$F$18))</f>
        <v>0</v>
      </c>
      <c r="BR209" s="18">
        <f>IF(Z209="","",--(Z209='Codebook'!$F$19))</f>
        <v>0</v>
      </c>
      <c r="BS209" s="18">
        <f>IF(AA209="","",--(AA209='Codebook'!$F$20))</f>
        <v>1</v>
      </c>
      <c r="BT209" s="18">
        <f>IF(AB209="","",--(AB209='Codebook'!$F$21))</f>
        <v>1</v>
      </c>
      <c r="BU209" s="18">
        <f>IF(AC209="","",--(AC209='Codebook'!$F$22))</f>
        <v>1</v>
      </c>
      <c r="BV209" s="18">
        <f>IF(AD209="","",--(AD209='Codebook'!$F$23))</f>
        <v>0</v>
      </c>
      <c r="BW209" s="18">
        <f>IF(AE209="","",--(AE209='Codebook'!$F$24))</f>
        <v>1</v>
      </c>
      <c r="BX209" s="18">
        <f>IF(AF209="","",--(AF209='Codebook'!$F$25))</f>
        <v>1</v>
      </c>
      <c r="BY209" s="18">
        <f>IF(AG209="","",--(AG209='Codebook'!$F$26))</f>
        <v>1</v>
      </c>
      <c r="BZ209" s="18">
        <f>IF(AH209="","",--(AH209='Codebook'!$F$27))</f>
        <v>0</v>
      </c>
      <c r="CA209" s="18">
        <f>IF(AI209="","",--(AI209='Codebook'!$F$28))</f>
        <v>0</v>
      </c>
      <c r="CB209" s="18">
        <f>IF(AJ209="","",--(AJ209='Codebook'!$F$29))</f>
        <v>1</v>
      </c>
      <c r="CC209" s="18">
        <f>IF(AK209="","",--(AK209='Codebook'!$F$30))</f>
        <v>1</v>
      </c>
      <c r="CD209" s="18">
        <f>IF(AL209="","",--(AL209='Codebook'!$F$31))</f>
        <v>1</v>
      </c>
      <c r="CE209" s="18">
        <f>IF(AM209="","",--(AM209='Codebook'!$F$32))</f>
        <v>1</v>
      </c>
      <c r="CF209" s="18">
        <f>IF(AN209="","",--(AN209='Codebook'!$F$33))</f>
        <v>0</v>
      </c>
      <c r="CG209" s="18">
        <f>IF(AO209="","",--(AO209='Codebook'!$F$34))</f>
        <v>1</v>
      </c>
      <c r="CH209" s="18">
        <f>IF(AP209="","",--(AP209='Codebook'!$F$35))</f>
        <v>0</v>
      </c>
      <c r="CI209" s="18">
        <f>IF(AQ209="","",--(AQ209='Codebook'!$F$36))</f>
        <v>1</v>
      </c>
      <c r="CJ209" s="18">
        <f>IF(AR209="","",--(AR209='Codebook'!$F$37))</f>
        <v>0</v>
      </c>
      <c r="CK209" s="18">
        <f>IF(AS209="","",--(AS209='Codebook'!$F$38))</f>
        <v>1</v>
      </c>
      <c r="CL209" s="18">
        <f>IF(AT209="","",--(AT209='Codebook'!$F$39))</f>
        <v>1</v>
      </c>
      <c r="CM209" s="18">
        <f>IF(AU209="","",--(AU209='Codebook'!$F$40))</f>
        <v>1</v>
      </c>
      <c r="CN209" s="18">
        <f>IF(AV209="","",--(AV209='Codebook'!$F$41))</f>
        <v>0</v>
      </c>
      <c r="CO209" s="18">
        <f>IF(AW209="","",--(AW209='Codebook'!$F$42))</f>
        <v>1</v>
      </c>
      <c r="CP209" s="18">
        <f>IF(AX209="","",--(AX209='Codebook'!$F$43))</f>
        <v>0</v>
      </c>
      <c r="CQ209" s="18">
        <f>IF(AY209="","",--(AY209='Codebook'!$F$44))</f>
        <v>1</v>
      </c>
      <c r="CR209" s="18">
        <f>IF(AZ209="","",--(AZ209='Codebook'!$F$45))</f>
        <v>0</v>
      </c>
    </row>
    <row r="210" spans="2:96" ht="24" customHeight="1">
      <c r="B210" s="18">
        <v>205</v>
      </c>
      <c r="C210" s="23">
        <v>46287.4072271412</v>
      </c>
      <c r="D210" s="21" t="s">
        <v>268</v>
      </c>
      <c r="E210" s="21" t="s">
        <v>194</v>
      </c>
      <c r="F210" s="21" t="s">
        <v>226</v>
      </c>
      <c r="G210" s="17" t="s">
        <v>247</v>
      </c>
      <c r="H210" s="21" t="s">
        <v>207</v>
      </c>
      <c r="I210" s="18">
        <f>SUM(BL210:BU210)</f>
        <v>5</v>
      </c>
      <c r="J210" s="18">
        <f>IF(COUNT(BV210:CD210)=9,SUM(BV210:CD210),"")</f>
        <v>3</v>
      </c>
      <c r="K210" s="18">
        <f>SUM(BL210:CD210)</f>
        <v>8</v>
      </c>
      <c r="L210" s="18">
        <f>--(K210&gt;='Codebook'!$C$8)</f>
        <v>0</v>
      </c>
      <c r="M210" s="18">
        <f>--(COUNT(BL210:CD210)=19)</f>
        <v>1</v>
      </c>
      <c r="N210" s="18">
        <f>SUM(CE210:CL210)</f>
        <v>4</v>
      </c>
      <c r="O210" s="18">
        <f>SUM(CM210:CR210)</f>
        <v>3</v>
      </c>
      <c r="P210" s="18">
        <f>N210+O210</f>
        <v>7</v>
      </c>
      <c r="Q210" s="21" t="s">
        <v>198</v>
      </c>
      <c r="R210" s="17" t="s">
        <v>155</v>
      </c>
      <c r="S210" s="18">
        <f>--OR(Overview!$B$6="All",E210=Overview!$B$6)*--OR(Overview!$F$6="All",F210=Overview!$F$6)*--OR(Overview!$J$6="All",G210=Overview!$J$6)*--OR(Overview!$N$6="All",H210=Overview!$N$6)</f>
        <v>1</v>
      </c>
      <c r="T210" s="21" t="s">
        <v>22</v>
      </c>
      <c r="U210" s="21" t="s">
        <v>26</v>
      </c>
      <c r="V210" s="21" t="s">
        <v>22</v>
      </c>
      <c r="W210" s="21" t="s">
        <v>26</v>
      </c>
      <c r="X210" s="21" t="s">
        <v>22</v>
      </c>
      <c r="Y210" s="21" t="s">
        <v>26</v>
      </c>
      <c r="Z210" s="21" t="s">
        <v>22</v>
      </c>
      <c r="AA210" s="21" t="s">
        <v>26</v>
      </c>
      <c r="AB210" s="21" t="s">
        <v>22</v>
      </c>
      <c r="AC210" s="21" t="s">
        <v>26</v>
      </c>
      <c r="AD210" s="21" t="s">
        <v>22</v>
      </c>
      <c r="AE210" s="21" t="s">
        <v>26</v>
      </c>
      <c r="AF210" s="21" t="s">
        <v>22</v>
      </c>
      <c r="AG210" s="21" t="s">
        <v>26</v>
      </c>
      <c r="AH210" s="21" t="s">
        <v>22</v>
      </c>
      <c r="AI210" s="21" t="s">
        <v>26</v>
      </c>
      <c r="AJ210" s="21" t="s">
        <v>22</v>
      </c>
      <c r="AK210" s="21" t="s">
        <v>26</v>
      </c>
      <c r="AL210" s="21" t="s">
        <v>22</v>
      </c>
      <c r="AM210" s="21" t="s">
        <v>83</v>
      </c>
      <c r="AN210" s="21" t="s">
        <v>109</v>
      </c>
      <c r="AO210" s="21" t="s">
        <v>83</v>
      </c>
      <c r="AP210" s="21" t="s">
        <v>109</v>
      </c>
      <c r="AQ210" s="21" t="s">
        <v>83</v>
      </c>
      <c r="AR210" s="21" t="s">
        <v>109</v>
      </c>
      <c r="AS210" s="21" t="s">
        <v>83</v>
      </c>
      <c r="AT210" s="21" t="s">
        <v>109</v>
      </c>
      <c r="AU210" s="21" t="s">
        <v>83</v>
      </c>
      <c r="AV210" s="21" t="s">
        <v>109</v>
      </c>
      <c r="AW210" s="21" t="s">
        <v>83</v>
      </c>
      <c r="AX210" s="21" t="s">
        <v>109</v>
      </c>
      <c r="AY210" s="21" t="s">
        <v>83</v>
      </c>
      <c r="AZ210" s="21" t="s">
        <v>109</v>
      </c>
      <c r="BA210" s="17" t="s">
        <v>258</v>
      </c>
      <c r="BB210" s="17" t="s">
        <v>219</v>
      </c>
      <c r="BC210" s="18">
        <f>--ISNUMBER(SEARCH("Radio or television",BA210))</f>
        <v>0</v>
      </c>
      <c r="BD210" s="18">
        <f>--ISNUMBER(SEARCH("Newspapers or print media",BA210))</f>
        <v>0</v>
      </c>
      <c r="BE210" s="18">
        <f>--ISNUMBER(SEARCH("Social media (e.g. Facebook, WhatsApp, YouTube, X/Twitter)",BA210))</f>
        <v>1</v>
      </c>
      <c r="BF210" s="18">
        <f>--ISNUMBER(SEARCH("Family members",BA210))</f>
        <v>1</v>
      </c>
      <c r="BG210" s="18">
        <f>--ISNUMBER(SEARCH("Friends or fellow students",BA210))</f>
        <v>1</v>
      </c>
      <c r="BH210" s="18">
        <f>--ISNUMBER(SEARCH("School coursework or lectures",BA210))</f>
        <v>0</v>
      </c>
      <c r="BI210" s="18">
        <f>--ISNUMBER(SEARCH("NHIMA outreach activities or NHIMA offices",BA210))</f>
        <v>0</v>
      </c>
      <c r="BJ210" s="18">
        <f>--ISNUMBER(SEARCH("Health facility staff",BA210))</f>
        <v>0</v>
      </c>
      <c r="BK210" s="18">
        <f>--ISNUMBER(SEARCH("not received information",BA210))</f>
        <v>0</v>
      </c>
      <c r="BL210" s="18">
        <f>IF(T210="","",--(T210='Codebook'!$F$13))</f>
        <v>1</v>
      </c>
      <c r="BM210" s="18">
        <f>IF(U210="","",--(U210='Codebook'!$F$14))</f>
        <v>1</v>
      </c>
      <c r="BN210" s="18">
        <f>IF(V210="","",--(V210='Codebook'!$F$15))</f>
        <v>0</v>
      </c>
      <c r="BO210" s="18">
        <f>IF(W210="","",--(W210='Codebook'!$F$16))</f>
        <v>0</v>
      </c>
      <c r="BP210" s="18">
        <f>IF(X210="","",--(X210='Codebook'!$F$17))</f>
        <v>1</v>
      </c>
      <c r="BQ210" s="18">
        <f>IF(Y210="","",--(Y210='Codebook'!$F$18))</f>
        <v>1</v>
      </c>
      <c r="BR210" s="18">
        <f>IF(Z210="","",--(Z210='Codebook'!$F$19))</f>
        <v>1</v>
      </c>
      <c r="BS210" s="18">
        <f>IF(AA210="","",--(AA210='Codebook'!$F$20))</f>
        <v>0</v>
      </c>
      <c r="BT210" s="18">
        <f>IF(AB210="","",--(AB210='Codebook'!$F$21))</f>
        <v>0</v>
      </c>
      <c r="BU210" s="18">
        <f>IF(AC210="","",--(AC210='Codebook'!$F$22))</f>
        <v>0</v>
      </c>
      <c r="BV210" s="18">
        <f>IF(AD210="","",--(AD210='Codebook'!$F$23))</f>
        <v>1</v>
      </c>
      <c r="BW210" s="18">
        <f>IF(AE210="","",--(AE210='Codebook'!$F$24))</f>
        <v>0</v>
      </c>
      <c r="BX210" s="18">
        <f>IF(AF210="","",--(AF210='Codebook'!$F$25))</f>
        <v>0</v>
      </c>
      <c r="BY210" s="18">
        <f>IF(AG210="","",--(AG210='Codebook'!$F$26))</f>
        <v>0</v>
      </c>
      <c r="BZ210" s="18">
        <f>IF(AH210="","",--(AH210='Codebook'!$F$27))</f>
        <v>1</v>
      </c>
      <c r="CA210" s="18">
        <f>IF(AI210="","",--(AI210='Codebook'!$F$28))</f>
        <v>1</v>
      </c>
      <c r="CB210" s="18">
        <f>IF(AJ210="","",--(AJ210='Codebook'!$F$29))</f>
        <v>0</v>
      </c>
      <c r="CC210" s="18">
        <f>IF(AK210="","",--(AK210='Codebook'!$F$30))</f>
        <v>0</v>
      </c>
      <c r="CD210" s="18">
        <f>IF(AL210="","",--(AL210='Codebook'!$F$31))</f>
        <v>0</v>
      </c>
      <c r="CE210" s="18">
        <f>IF(AM210="","",--(AM210='Codebook'!$F$32))</f>
        <v>1</v>
      </c>
      <c r="CF210" s="18">
        <f>IF(AN210="","",--(AN210='Codebook'!$F$33))</f>
        <v>0</v>
      </c>
      <c r="CG210" s="18">
        <f>IF(AO210="","",--(AO210='Codebook'!$F$34))</f>
        <v>1</v>
      </c>
      <c r="CH210" s="18">
        <f>IF(AP210="","",--(AP210='Codebook'!$F$35))</f>
        <v>0</v>
      </c>
      <c r="CI210" s="18">
        <f>IF(AQ210="","",--(AQ210='Codebook'!$F$36))</f>
        <v>1</v>
      </c>
      <c r="CJ210" s="18">
        <f>IF(AR210="","",--(AR210='Codebook'!$F$37))</f>
        <v>0</v>
      </c>
      <c r="CK210" s="18">
        <f>IF(AS210="","",--(AS210='Codebook'!$F$38))</f>
        <v>1</v>
      </c>
      <c r="CL210" s="18">
        <f>IF(AT210="","",--(AT210='Codebook'!$F$39))</f>
        <v>0</v>
      </c>
      <c r="CM210" s="18">
        <f>IF(AU210="","",--(AU210='Codebook'!$F$40))</f>
        <v>0</v>
      </c>
      <c r="CN210" s="18">
        <f>IF(AV210="","",--(AV210='Codebook'!$F$41))</f>
        <v>1</v>
      </c>
      <c r="CO210" s="18">
        <f>IF(AW210="","",--(AW210='Codebook'!$F$42))</f>
        <v>0</v>
      </c>
      <c r="CP210" s="18">
        <f>IF(AX210="","",--(AX210='Codebook'!$F$43))</f>
        <v>1</v>
      </c>
      <c r="CQ210" s="18">
        <f>IF(AY210="","",--(AY210='Codebook'!$F$44))</f>
        <v>0</v>
      </c>
      <c r="CR210" s="18">
        <f>IF(AZ210="","",--(AZ210='Codebook'!$F$45))</f>
        <v>1</v>
      </c>
    </row>
    <row r="211" spans="2:96" ht="24" customHeight="1">
      <c r="B211" s="18">
        <v>206</v>
      </c>
      <c r="C211" s="23">
        <v>46287.40805820602</v>
      </c>
      <c r="D211" s="21" t="s">
        <v>268</v>
      </c>
      <c r="E211" s="21" t="s">
        <v>206</v>
      </c>
      <c r="F211" s="21" t="s">
        <v>201</v>
      </c>
      <c r="G211" s="17" t="s">
        <v>215</v>
      </c>
      <c r="H211" s="21" t="s">
        <v>198</v>
      </c>
      <c r="I211" s="18">
        <f>SUM(BL211:BU211)</f>
        <v>4</v>
      </c>
      <c r="J211" s="18">
        <f>IF(COUNT(BV211:CD211)=9,SUM(BV211:CD211),"")</f>
        <v>1</v>
      </c>
      <c r="K211" s="18">
        <f>SUM(BL211:CD211)</f>
        <v>5</v>
      </c>
      <c r="L211" s="18">
        <f>--(K211&gt;='Codebook'!$C$8)</f>
        <v>0</v>
      </c>
      <c r="M211" s="18">
        <f>--(COUNT(BL211:CD211)=19)</f>
        <v>1</v>
      </c>
      <c r="N211" s="18">
        <f>SUM(CE211:CL211)</f>
        <v>4</v>
      </c>
      <c r="O211" s="18">
        <f>SUM(CM211:CR211)</f>
        <v>1</v>
      </c>
      <c r="P211" s="18">
        <f>N211+O211</f>
        <v>5</v>
      </c>
      <c r="Q211" s="21" t="s">
        <v>198</v>
      </c>
      <c r="R211" s="17" t="s">
        <v>216</v>
      </c>
      <c r="S211" s="18">
        <f>--OR(Overview!$B$6="All",E211=Overview!$B$6)*--OR(Overview!$F$6="All",F211=Overview!$F$6)*--OR(Overview!$J$6="All",G211=Overview!$J$6)*--OR(Overview!$N$6="All",H211=Overview!$N$6)</f>
        <v>1</v>
      </c>
      <c r="T211" s="21" t="s">
        <v>22</v>
      </c>
      <c r="U211" s="21" t="s">
        <v>26</v>
      </c>
      <c r="V211" s="21" t="s">
        <v>22</v>
      </c>
      <c r="W211" s="21" t="s">
        <v>22</v>
      </c>
      <c r="X211" s="21" t="s">
        <v>26</v>
      </c>
      <c r="Y211" s="21" t="s">
        <v>22</v>
      </c>
      <c r="Z211" s="21" t="s">
        <v>198</v>
      </c>
      <c r="AA211" s="21" t="s">
        <v>22</v>
      </c>
      <c r="AB211" s="21" t="s">
        <v>22</v>
      </c>
      <c r="AC211" s="21" t="s">
        <v>26</v>
      </c>
      <c r="AD211" s="21" t="s">
        <v>26</v>
      </c>
      <c r="AE211" s="21" t="s">
        <v>22</v>
      </c>
      <c r="AF211" s="21" t="s">
        <v>22</v>
      </c>
      <c r="AG211" s="21" t="s">
        <v>198</v>
      </c>
      <c r="AH211" s="21" t="s">
        <v>198</v>
      </c>
      <c r="AI211" s="21" t="s">
        <v>22</v>
      </c>
      <c r="AJ211" s="21" t="s">
        <v>22</v>
      </c>
      <c r="AK211" s="21" t="s">
        <v>26</v>
      </c>
      <c r="AL211" s="21" t="s">
        <v>198</v>
      </c>
      <c r="AM211" s="21" t="s">
        <v>109</v>
      </c>
      <c r="AN211" s="21" t="s">
        <v>83</v>
      </c>
      <c r="AO211" s="21" t="s">
        <v>198</v>
      </c>
      <c r="AP211" s="21" t="s">
        <v>83</v>
      </c>
      <c r="AQ211" s="21" t="s">
        <v>83</v>
      </c>
      <c r="AR211" s="21" t="s">
        <v>198</v>
      </c>
      <c r="AS211" s="21" t="s">
        <v>198</v>
      </c>
      <c r="AT211" s="21" t="s">
        <v>83</v>
      </c>
      <c r="AU211" s="21" t="s">
        <v>83</v>
      </c>
      <c r="AV211" s="21" t="s">
        <v>83</v>
      </c>
      <c r="AW211" s="21" t="s">
        <v>109</v>
      </c>
      <c r="AX211" s="21" t="s">
        <v>83</v>
      </c>
      <c r="AY211" s="21" t="s">
        <v>83</v>
      </c>
      <c r="AZ211" s="21" t="s">
        <v>198</v>
      </c>
      <c r="BA211" s="17" t="s">
        <v>326</v>
      </c>
      <c r="BB211" s="17" t="s">
        <v>263</v>
      </c>
      <c r="BC211" s="18">
        <f>--ISNUMBER(SEARCH("Radio or television",BA211))</f>
        <v>0</v>
      </c>
      <c r="BD211" s="18">
        <f>--ISNUMBER(SEARCH("Newspapers or print media",BA211))</f>
        <v>1</v>
      </c>
      <c r="BE211" s="18">
        <f>--ISNUMBER(SEARCH("Social media (e.g. Facebook, WhatsApp, YouTube, X/Twitter)",BA211))</f>
        <v>1</v>
      </c>
      <c r="BF211" s="18">
        <f>--ISNUMBER(SEARCH("Family members",BA211))</f>
        <v>1</v>
      </c>
      <c r="BG211" s="18">
        <f>--ISNUMBER(SEARCH("Friends or fellow students",BA211))</f>
        <v>0</v>
      </c>
      <c r="BH211" s="18">
        <f>--ISNUMBER(SEARCH("School coursework or lectures",BA211))</f>
        <v>1</v>
      </c>
      <c r="BI211" s="18">
        <f>--ISNUMBER(SEARCH("NHIMA outreach activities or NHIMA offices",BA211))</f>
        <v>0</v>
      </c>
      <c r="BJ211" s="18">
        <f>--ISNUMBER(SEARCH("Health facility staff",BA211))</f>
        <v>0</v>
      </c>
      <c r="BK211" s="18">
        <f>--ISNUMBER(SEARCH("not received information",BA211))</f>
        <v>0</v>
      </c>
      <c r="BL211" s="18">
        <f>IF(T211="","",--(T211='Codebook'!$F$13))</f>
        <v>1</v>
      </c>
      <c r="BM211" s="18">
        <f>IF(U211="","",--(U211='Codebook'!$F$14))</f>
        <v>1</v>
      </c>
      <c r="BN211" s="18">
        <f>IF(V211="","",--(V211='Codebook'!$F$15))</f>
        <v>0</v>
      </c>
      <c r="BO211" s="18">
        <f>IF(W211="","",--(W211='Codebook'!$F$16))</f>
        <v>1</v>
      </c>
      <c r="BP211" s="18">
        <f>IF(X211="","",--(X211='Codebook'!$F$17))</f>
        <v>0</v>
      </c>
      <c r="BQ211" s="18">
        <f>IF(Y211="","",--(Y211='Codebook'!$F$18))</f>
        <v>0</v>
      </c>
      <c r="BR211" s="18">
        <f>IF(Z211="","",--(Z211='Codebook'!$F$19))</f>
        <v>0</v>
      </c>
      <c r="BS211" s="18">
        <f>IF(AA211="","",--(AA211='Codebook'!$F$20))</f>
        <v>1</v>
      </c>
      <c r="BT211" s="18">
        <f>IF(AB211="","",--(AB211='Codebook'!$F$21))</f>
        <v>0</v>
      </c>
      <c r="BU211" s="18">
        <f>IF(AC211="","",--(AC211='Codebook'!$F$22))</f>
        <v>0</v>
      </c>
      <c r="BV211" s="18">
        <f>IF(AD211="","",--(AD211='Codebook'!$F$23))</f>
        <v>0</v>
      </c>
      <c r="BW211" s="18">
        <f>IF(AE211="","",--(AE211='Codebook'!$F$24))</f>
        <v>1</v>
      </c>
      <c r="BX211" s="18">
        <f>IF(AF211="","",--(AF211='Codebook'!$F$25))</f>
        <v>0</v>
      </c>
      <c r="BY211" s="18">
        <f>IF(AG211="","",--(AG211='Codebook'!$F$26))</f>
        <v>0</v>
      </c>
      <c r="BZ211" s="18">
        <f>IF(AH211="","",--(AH211='Codebook'!$F$27))</f>
        <v>0</v>
      </c>
      <c r="CA211" s="18">
        <f>IF(AI211="","",--(AI211='Codebook'!$F$28))</f>
        <v>0</v>
      </c>
      <c r="CB211" s="18">
        <f>IF(AJ211="","",--(AJ211='Codebook'!$F$29))</f>
        <v>0</v>
      </c>
      <c r="CC211" s="18">
        <f>IF(AK211="","",--(AK211='Codebook'!$F$30))</f>
        <v>0</v>
      </c>
      <c r="CD211" s="18">
        <f>IF(AL211="","",--(AL211='Codebook'!$F$31))</f>
        <v>0</v>
      </c>
      <c r="CE211" s="18">
        <f>IF(AM211="","",--(AM211='Codebook'!$F$32))</f>
        <v>0</v>
      </c>
      <c r="CF211" s="18">
        <f>IF(AN211="","",--(AN211='Codebook'!$F$33))</f>
        <v>1</v>
      </c>
      <c r="CG211" s="18">
        <f>IF(AO211="","",--(AO211='Codebook'!$F$34))</f>
        <v>0</v>
      </c>
      <c r="CH211" s="18">
        <f>IF(AP211="","",--(AP211='Codebook'!$F$35))</f>
        <v>1</v>
      </c>
      <c r="CI211" s="18">
        <f>IF(AQ211="","",--(AQ211='Codebook'!$F$36))</f>
        <v>1</v>
      </c>
      <c r="CJ211" s="18">
        <f>IF(AR211="","",--(AR211='Codebook'!$F$37))</f>
        <v>0</v>
      </c>
      <c r="CK211" s="18">
        <f>IF(AS211="","",--(AS211='Codebook'!$F$38))</f>
        <v>0</v>
      </c>
      <c r="CL211" s="18">
        <f>IF(AT211="","",--(AT211='Codebook'!$F$39))</f>
        <v>1</v>
      </c>
      <c r="CM211" s="18">
        <f>IF(AU211="","",--(AU211='Codebook'!$F$40))</f>
        <v>0</v>
      </c>
      <c r="CN211" s="18">
        <f>IF(AV211="","",--(AV211='Codebook'!$F$41))</f>
        <v>0</v>
      </c>
      <c r="CO211" s="18">
        <f>IF(AW211="","",--(AW211='Codebook'!$F$42))</f>
        <v>1</v>
      </c>
      <c r="CP211" s="18">
        <f>IF(AX211="","",--(AX211='Codebook'!$F$43))</f>
        <v>0</v>
      </c>
      <c r="CQ211" s="18">
        <f>IF(AY211="","",--(AY211='Codebook'!$F$44))</f>
        <v>0</v>
      </c>
      <c r="CR211" s="18">
        <f>IF(AZ211="","",--(AZ211='Codebook'!$F$45))</f>
        <v>0</v>
      </c>
    </row>
    <row r="212" spans="2:96" ht="24" customHeight="1">
      <c r="B212" s="18">
        <v>207</v>
      </c>
      <c r="C212" s="23">
        <v>46287.40889546296</v>
      </c>
      <c r="D212" s="21" t="s">
        <v>275</v>
      </c>
      <c r="E212" s="21" t="s">
        <v>206</v>
      </c>
      <c r="F212" s="21" t="s">
        <v>201</v>
      </c>
      <c r="G212" s="17" t="s">
        <v>215</v>
      </c>
      <c r="H212" s="21" t="s">
        <v>198</v>
      </c>
      <c r="I212" s="18">
        <f>SUM(BL212:BU212)</f>
        <v>3</v>
      </c>
      <c r="J212" s="18">
        <f>IF(COUNT(BV212:CD212)=9,SUM(BV212:CD212),"")</f>
        <v>6</v>
      </c>
      <c r="K212" s="18">
        <f>SUM(BL212:CD212)</f>
        <v>9</v>
      </c>
      <c r="L212" s="18">
        <f>--(K212&gt;='Codebook'!$C$8)</f>
        <v>0</v>
      </c>
      <c r="M212" s="18">
        <f>--(COUNT(BL212:CD212)=19)</f>
        <v>1</v>
      </c>
      <c r="N212" s="18">
        <f>SUM(CE212:CL212)</f>
        <v>4</v>
      </c>
      <c r="O212" s="18">
        <f>SUM(CM212:CR212)</f>
        <v>3</v>
      </c>
      <c r="P212" s="18">
        <f>N212+O212</f>
        <v>7</v>
      </c>
      <c r="Q212" s="21" t="s">
        <v>198</v>
      </c>
      <c r="R212" s="17" t="s">
        <v>156</v>
      </c>
      <c r="S212" s="18">
        <f>--OR(Overview!$B$6="All",E212=Overview!$B$6)*--OR(Overview!$F$6="All",F212=Overview!$F$6)*--OR(Overview!$J$6="All",G212=Overview!$J$6)*--OR(Overview!$N$6="All",H212=Overview!$N$6)</f>
        <v>1</v>
      </c>
      <c r="T212" s="21" t="s">
        <v>22</v>
      </c>
      <c r="U212" s="21" t="s">
        <v>198</v>
      </c>
      <c r="V212" s="21" t="s">
        <v>22</v>
      </c>
      <c r="W212" s="21" t="s">
        <v>26</v>
      </c>
      <c r="X212" s="21" t="s">
        <v>22</v>
      </c>
      <c r="Y212" s="21" t="s">
        <v>22</v>
      </c>
      <c r="Z212" s="21" t="s">
        <v>26</v>
      </c>
      <c r="AA212" s="21" t="s">
        <v>22</v>
      </c>
      <c r="AB212" s="21" t="s">
        <v>22</v>
      </c>
      <c r="AC212" s="21" t="s">
        <v>26</v>
      </c>
      <c r="AD212" s="21" t="s">
        <v>22</v>
      </c>
      <c r="AE212" s="21" t="s">
        <v>22</v>
      </c>
      <c r="AF212" s="21" t="s">
        <v>26</v>
      </c>
      <c r="AG212" s="21" t="s">
        <v>22</v>
      </c>
      <c r="AH212" s="21" t="s">
        <v>22</v>
      </c>
      <c r="AI212" s="21" t="s">
        <v>22</v>
      </c>
      <c r="AJ212" s="21" t="s">
        <v>198</v>
      </c>
      <c r="AK212" s="21" t="s">
        <v>26</v>
      </c>
      <c r="AL212" s="21" t="s">
        <v>26</v>
      </c>
      <c r="AM212" s="21" t="s">
        <v>198</v>
      </c>
      <c r="AN212" s="21" t="s">
        <v>198</v>
      </c>
      <c r="AO212" s="21" t="s">
        <v>109</v>
      </c>
      <c r="AP212" s="21" t="s">
        <v>83</v>
      </c>
      <c r="AQ212" s="21" t="s">
        <v>109</v>
      </c>
      <c r="AR212" s="21" t="s">
        <v>83</v>
      </c>
      <c r="AS212" s="21" t="s">
        <v>83</v>
      </c>
      <c r="AT212" s="21" t="s">
        <v>83</v>
      </c>
      <c r="AU212" s="21" t="s">
        <v>83</v>
      </c>
      <c r="AV212" s="21" t="s">
        <v>83</v>
      </c>
      <c r="AW212" s="21" t="s">
        <v>109</v>
      </c>
      <c r="AX212" s="21" t="s">
        <v>109</v>
      </c>
      <c r="AY212" s="21" t="s">
        <v>109</v>
      </c>
      <c r="AZ212" s="21" t="s">
        <v>83</v>
      </c>
      <c r="BA212" s="17" t="s">
        <v>315</v>
      </c>
      <c r="BB212" s="17" t="s">
        <v>313</v>
      </c>
      <c r="BC212" s="18">
        <f>--ISNUMBER(SEARCH("Radio or television",BA212))</f>
        <v>0</v>
      </c>
      <c r="BD212" s="18">
        <f>--ISNUMBER(SEARCH("Newspapers or print media",BA212))</f>
        <v>0</v>
      </c>
      <c r="BE212" s="18">
        <f>--ISNUMBER(SEARCH("Social media (e.g. Facebook, WhatsApp, YouTube, X/Twitter)",BA212))</f>
        <v>1</v>
      </c>
      <c r="BF212" s="18">
        <f>--ISNUMBER(SEARCH("Family members",BA212))</f>
        <v>0</v>
      </c>
      <c r="BG212" s="18">
        <f>--ISNUMBER(SEARCH("Friends or fellow students",BA212))</f>
        <v>1</v>
      </c>
      <c r="BH212" s="18">
        <f>--ISNUMBER(SEARCH("School coursework or lectures",BA212))</f>
        <v>0</v>
      </c>
      <c r="BI212" s="18">
        <f>--ISNUMBER(SEARCH("NHIMA outreach activities or NHIMA offices",BA212))</f>
        <v>0</v>
      </c>
      <c r="BJ212" s="18">
        <f>--ISNUMBER(SEARCH("Health facility staff",BA212))</f>
        <v>0</v>
      </c>
      <c r="BK212" s="18">
        <f>--ISNUMBER(SEARCH("not received information",BA212))</f>
        <v>0</v>
      </c>
      <c r="BL212" s="18">
        <f>IF(T212="","",--(T212='Codebook'!$F$13))</f>
        <v>1</v>
      </c>
      <c r="BM212" s="18">
        <f>IF(U212="","",--(U212='Codebook'!$F$14))</f>
        <v>0</v>
      </c>
      <c r="BN212" s="18">
        <f>IF(V212="","",--(V212='Codebook'!$F$15))</f>
        <v>0</v>
      </c>
      <c r="BO212" s="18">
        <f>IF(W212="","",--(W212='Codebook'!$F$16))</f>
        <v>0</v>
      </c>
      <c r="BP212" s="18">
        <f>IF(X212="","",--(X212='Codebook'!$F$17))</f>
        <v>1</v>
      </c>
      <c r="BQ212" s="18">
        <f>IF(Y212="","",--(Y212='Codebook'!$F$18))</f>
        <v>0</v>
      </c>
      <c r="BR212" s="18">
        <f>IF(Z212="","",--(Z212='Codebook'!$F$19))</f>
        <v>0</v>
      </c>
      <c r="BS212" s="18">
        <f>IF(AA212="","",--(AA212='Codebook'!$F$20))</f>
        <v>1</v>
      </c>
      <c r="BT212" s="18">
        <f>IF(AB212="","",--(AB212='Codebook'!$F$21))</f>
        <v>0</v>
      </c>
      <c r="BU212" s="18">
        <f>IF(AC212="","",--(AC212='Codebook'!$F$22))</f>
        <v>0</v>
      </c>
      <c r="BV212" s="18">
        <f>IF(AD212="","",--(AD212='Codebook'!$F$23))</f>
        <v>1</v>
      </c>
      <c r="BW212" s="18">
        <f>IF(AE212="","",--(AE212='Codebook'!$F$24))</f>
        <v>1</v>
      </c>
      <c r="BX212" s="18">
        <f>IF(AF212="","",--(AF212='Codebook'!$F$25))</f>
        <v>1</v>
      </c>
      <c r="BY212" s="18">
        <f>IF(AG212="","",--(AG212='Codebook'!$F$26))</f>
        <v>1</v>
      </c>
      <c r="BZ212" s="18">
        <f>IF(AH212="","",--(AH212='Codebook'!$F$27))</f>
        <v>1</v>
      </c>
      <c r="CA212" s="18">
        <f>IF(AI212="","",--(AI212='Codebook'!$F$28))</f>
        <v>0</v>
      </c>
      <c r="CB212" s="18">
        <f>IF(AJ212="","",--(AJ212='Codebook'!$F$29))</f>
        <v>0</v>
      </c>
      <c r="CC212" s="18">
        <f>IF(AK212="","",--(AK212='Codebook'!$F$30))</f>
        <v>0</v>
      </c>
      <c r="CD212" s="18">
        <f>IF(AL212="","",--(AL212='Codebook'!$F$31))</f>
        <v>1</v>
      </c>
      <c r="CE212" s="18">
        <f>IF(AM212="","",--(AM212='Codebook'!$F$32))</f>
        <v>0</v>
      </c>
      <c r="CF212" s="18">
        <f>IF(AN212="","",--(AN212='Codebook'!$F$33))</f>
        <v>0</v>
      </c>
      <c r="CG212" s="18">
        <f>IF(AO212="","",--(AO212='Codebook'!$F$34))</f>
        <v>0</v>
      </c>
      <c r="CH212" s="18">
        <f>IF(AP212="","",--(AP212='Codebook'!$F$35))</f>
        <v>1</v>
      </c>
      <c r="CI212" s="18">
        <f>IF(AQ212="","",--(AQ212='Codebook'!$F$36))</f>
        <v>0</v>
      </c>
      <c r="CJ212" s="18">
        <f>IF(AR212="","",--(AR212='Codebook'!$F$37))</f>
        <v>1</v>
      </c>
      <c r="CK212" s="18">
        <f>IF(AS212="","",--(AS212='Codebook'!$F$38))</f>
        <v>1</v>
      </c>
      <c r="CL212" s="18">
        <f>IF(AT212="","",--(AT212='Codebook'!$F$39))</f>
        <v>1</v>
      </c>
      <c r="CM212" s="18">
        <f>IF(AU212="","",--(AU212='Codebook'!$F$40))</f>
        <v>0</v>
      </c>
      <c r="CN212" s="18">
        <f>IF(AV212="","",--(AV212='Codebook'!$F$41))</f>
        <v>0</v>
      </c>
      <c r="CO212" s="18">
        <f>IF(AW212="","",--(AW212='Codebook'!$F$42))</f>
        <v>1</v>
      </c>
      <c r="CP212" s="18">
        <f>IF(AX212="","",--(AX212='Codebook'!$F$43))</f>
        <v>1</v>
      </c>
      <c r="CQ212" s="18">
        <f>IF(AY212="","",--(AY212='Codebook'!$F$44))</f>
        <v>1</v>
      </c>
      <c r="CR212" s="18">
        <f>IF(AZ212="","",--(AZ212='Codebook'!$F$45))</f>
        <v>0</v>
      </c>
    </row>
    <row r="213" spans="2:96" ht="24" customHeight="1">
      <c r="B213" s="18">
        <v>208</v>
      </c>
      <c r="C213" s="23">
        <v>46287.40978916667</v>
      </c>
      <c r="D213" s="21" t="s">
        <v>275</v>
      </c>
      <c r="E213" s="21" t="s">
        <v>194</v>
      </c>
      <c r="F213" s="21" t="s">
        <v>212</v>
      </c>
      <c r="G213" s="17" t="s">
        <v>196</v>
      </c>
      <c r="H213" s="21" t="s">
        <v>207</v>
      </c>
      <c r="I213" s="18">
        <f>SUM(BL213:BU213)</f>
        <v>6</v>
      </c>
      <c r="J213" s="18">
        <f>IF(COUNT(BV213:CD213)=9,SUM(BV213:CD213),"")</f>
        <v>6</v>
      </c>
      <c r="K213" s="18">
        <f>SUM(BL213:CD213)</f>
        <v>12</v>
      </c>
      <c r="L213" s="18">
        <f>--(K213&gt;='Codebook'!$C$8)</f>
        <v>1</v>
      </c>
      <c r="M213" s="18">
        <f>--(COUNT(BL213:CD213)=19)</f>
        <v>1</v>
      </c>
      <c r="N213" s="18">
        <f>SUM(CE213:CL213)</f>
        <v>7</v>
      </c>
      <c r="O213" s="18">
        <f>SUM(CM213:CR213)</f>
        <v>2</v>
      </c>
      <c r="P213" s="18">
        <f>N213+O213</f>
        <v>9</v>
      </c>
      <c r="Q213" s="21" t="s">
        <v>197</v>
      </c>
      <c r="R213" s="17" t="s">
        <v>216</v>
      </c>
      <c r="S213" s="18">
        <f>--OR(Overview!$B$6="All",E213=Overview!$B$6)*--OR(Overview!$F$6="All",F213=Overview!$F$6)*--OR(Overview!$J$6="All",G213=Overview!$J$6)*--OR(Overview!$N$6="All",H213=Overview!$N$6)</f>
        <v>1</v>
      </c>
      <c r="T213" s="21" t="s">
        <v>22</v>
      </c>
      <c r="U213" s="21" t="s">
        <v>22</v>
      </c>
      <c r="V213" s="21" t="s">
        <v>22</v>
      </c>
      <c r="W213" s="21" t="s">
        <v>22</v>
      </c>
      <c r="X213" s="21" t="s">
        <v>22</v>
      </c>
      <c r="Y213" s="21" t="s">
        <v>22</v>
      </c>
      <c r="Z213" s="21" t="s">
        <v>22</v>
      </c>
      <c r="AA213" s="21" t="s">
        <v>22</v>
      </c>
      <c r="AB213" s="21" t="s">
        <v>22</v>
      </c>
      <c r="AC213" s="21" t="s">
        <v>22</v>
      </c>
      <c r="AD213" s="21" t="s">
        <v>22</v>
      </c>
      <c r="AE213" s="21" t="s">
        <v>22</v>
      </c>
      <c r="AF213" s="21" t="s">
        <v>26</v>
      </c>
      <c r="AG213" s="21" t="s">
        <v>22</v>
      </c>
      <c r="AH213" s="21" t="s">
        <v>22</v>
      </c>
      <c r="AI213" s="21" t="s">
        <v>22</v>
      </c>
      <c r="AJ213" s="21" t="s">
        <v>22</v>
      </c>
      <c r="AK213" s="21" t="s">
        <v>22</v>
      </c>
      <c r="AL213" s="21" t="s">
        <v>22</v>
      </c>
      <c r="AM213" s="21" t="s">
        <v>83</v>
      </c>
      <c r="AN213" s="21" t="s">
        <v>83</v>
      </c>
      <c r="AO213" s="21" t="s">
        <v>83</v>
      </c>
      <c r="AP213" s="21" t="s">
        <v>83</v>
      </c>
      <c r="AQ213" s="21" t="s">
        <v>83</v>
      </c>
      <c r="AR213" s="21" t="s">
        <v>109</v>
      </c>
      <c r="AS213" s="21" t="s">
        <v>83</v>
      </c>
      <c r="AT213" s="21" t="s">
        <v>83</v>
      </c>
      <c r="AU213" s="21" t="s">
        <v>83</v>
      </c>
      <c r="AV213" s="21" t="s">
        <v>109</v>
      </c>
      <c r="AW213" s="21" t="s">
        <v>83</v>
      </c>
      <c r="AX213" s="21" t="s">
        <v>83</v>
      </c>
      <c r="AY213" s="21" t="s">
        <v>109</v>
      </c>
      <c r="AZ213" s="21" t="s">
        <v>198</v>
      </c>
      <c r="BA213" s="17" t="s">
        <v>325</v>
      </c>
      <c r="BB213" s="17" t="s">
        <v>291</v>
      </c>
      <c r="BC213" s="18">
        <f>--ISNUMBER(SEARCH("Radio or television",BA213))</f>
        <v>0</v>
      </c>
      <c r="BD213" s="18">
        <f>--ISNUMBER(SEARCH("Newspapers or print media",BA213))</f>
        <v>0</v>
      </c>
      <c r="BE213" s="18">
        <f>--ISNUMBER(SEARCH("Social media (e.g. Facebook, WhatsApp, YouTube, X/Twitter)",BA213))</f>
        <v>0</v>
      </c>
      <c r="BF213" s="18">
        <f>--ISNUMBER(SEARCH("Family members",BA213))</f>
        <v>1</v>
      </c>
      <c r="BG213" s="18">
        <f>--ISNUMBER(SEARCH("Friends or fellow students",BA213))</f>
        <v>0</v>
      </c>
      <c r="BH213" s="18">
        <f>--ISNUMBER(SEARCH("School coursework or lectures",BA213))</f>
        <v>1</v>
      </c>
      <c r="BI213" s="18">
        <f>--ISNUMBER(SEARCH("NHIMA outreach activities or NHIMA offices",BA213))</f>
        <v>0</v>
      </c>
      <c r="BJ213" s="18">
        <f>--ISNUMBER(SEARCH("Health facility staff",BA213))</f>
        <v>0</v>
      </c>
      <c r="BK213" s="18">
        <f>--ISNUMBER(SEARCH("not received information",BA213))</f>
        <v>0</v>
      </c>
      <c r="BL213" s="18">
        <f>IF(T213="","",--(T213='Codebook'!$F$13))</f>
        <v>1</v>
      </c>
      <c r="BM213" s="18">
        <f>IF(U213="","",--(U213='Codebook'!$F$14))</f>
        <v>0</v>
      </c>
      <c r="BN213" s="18">
        <f>IF(V213="","",--(V213='Codebook'!$F$15))</f>
        <v>0</v>
      </c>
      <c r="BO213" s="18">
        <f>IF(W213="","",--(W213='Codebook'!$F$16))</f>
        <v>1</v>
      </c>
      <c r="BP213" s="18">
        <f>IF(X213="","",--(X213='Codebook'!$F$17))</f>
        <v>1</v>
      </c>
      <c r="BQ213" s="18">
        <f>IF(Y213="","",--(Y213='Codebook'!$F$18))</f>
        <v>0</v>
      </c>
      <c r="BR213" s="18">
        <f>IF(Z213="","",--(Z213='Codebook'!$F$19))</f>
        <v>1</v>
      </c>
      <c r="BS213" s="18">
        <f>IF(AA213="","",--(AA213='Codebook'!$F$20))</f>
        <v>1</v>
      </c>
      <c r="BT213" s="18">
        <f>IF(AB213="","",--(AB213='Codebook'!$F$21))</f>
        <v>0</v>
      </c>
      <c r="BU213" s="18">
        <f>IF(AC213="","",--(AC213='Codebook'!$F$22))</f>
        <v>1</v>
      </c>
      <c r="BV213" s="18">
        <f>IF(AD213="","",--(AD213='Codebook'!$F$23))</f>
        <v>1</v>
      </c>
      <c r="BW213" s="18">
        <f>IF(AE213="","",--(AE213='Codebook'!$F$24))</f>
        <v>1</v>
      </c>
      <c r="BX213" s="18">
        <f>IF(AF213="","",--(AF213='Codebook'!$F$25))</f>
        <v>1</v>
      </c>
      <c r="BY213" s="18">
        <f>IF(AG213="","",--(AG213='Codebook'!$F$26))</f>
        <v>1</v>
      </c>
      <c r="BZ213" s="18">
        <f>IF(AH213="","",--(AH213='Codebook'!$F$27))</f>
        <v>1</v>
      </c>
      <c r="CA213" s="18">
        <f>IF(AI213="","",--(AI213='Codebook'!$F$28))</f>
        <v>0</v>
      </c>
      <c r="CB213" s="18">
        <f>IF(AJ213="","",--(AJ213='Codebook'!$F$29))</f>
        <v>0</v>
      </c>
      <c r="CC213" s="18">
        <f>IF(AK213="","",--(AK213='Codebook'!$F$30))</f>
        <v>1</v>
      </c>
      <c r="CD213" s="18">
        <f>IF(AL213="","",--(AL213='Codebook'!$F$31))</f>
        <v>0</v>
      </c>
      <c r="CE213" s="18">
        <f>IF(AM213="","",--(AM213='Codebook'!$F$32))</f>
        <v>1</v>
      </c>
      <c r="CF213" s="18">
        <f>IF(AN213="","",--(AN213='Codebook'!$F$33))</f>
        <v>1</v>
      </c>
      <c r="CG213" s="18">
        <f>IF(AO213="","",--(AO213='Codebook'!$F$34))</f>
        <v>1</v>
      </c>
      <c r="CH213" s="18">
        <f>IF(AP213="","",--(AP213='Codebook'!$F$35))</f>
        <v>1</v>
      </c>
      <c r="CI213" s="18">
        <f>IF(AQ213="","",--(AQ213='Codebook'!$F$36))</f>
        <v>1</v>
      </c>
      <c r="CJ213" s="18">
        <f>IF(AR213="","",--(AR213='Codebook'!$F$37))</f>
        <v>0</v>
      </c>
      <c r="CK213" s="18">
        <f>IF(AS213="","",--(AS213='Codebook'!$F$38))</f>
        <v>1</v>
      </c>
      <c r="CL213" s="18">
        <f>IF(AT213="","",--(AT213='Codebook'!$F$39))</f>
        <v>1</v>
      </c>
      <c r="CM213" s="18">
        <f>IF(AU213="","",--(AU213='Codebook'!$F$40))</f>
        <v>0</v>
      </c>
      <c r="CN213" s="18">
        <f>IF(AV213="","",--(AV213='Codebook'!$F$41))</f>
        <v>1</v>
      </c>
      <c r="CO213" s="18">
        <f>IF(AW213="","",--(AW213='Codebook'!$F$42))</f>
        <v>0</v>
      </c>
      <c r="CP213" s="18">
        <f>IF(AX213="","",--(AX213='Codebook'!$F$43))</f>
        <v>0</v>
      </c>
      <c r="CQ213" s="18">
        <f>IF(AY213="","",--(AY213='Codebook'!$F$44))</f>
        <v>1</v>
      </c>
      <c r="CR213" s="18">
        <f>IF(AZ213="","",--(AZ213='Codebook'!$F$45))</f>
        <v>0</v>
      </c>
    </row>
    <row r="214" spans="2:96" ht="24" customHeight="1">
      <c r="B214" s="18">
        <v>209</v>
      </c>
      <c r="C214" s="23">
        <v>46287.46264340278</v>
      </c>
      <c r="D214" s="21" t="s">
        <v>275</v>
      </c>
      <c r="E214" s="21" t="s">
        <v>206</v>
      </c>
      <c r="F214" s="21" t="s">
        <v>212</v>
      </c>
      <c r="G214" s="17" t="s">
        <v>224</v>
      </c>
      <c r="H214" s="21" t="s">
        <v>197</v>
      </c>
      <c r="I214" s="18">
        <f>SUM(BL214:BU214)</f>
        <v>6</v>
      </c>
      <c r="J214" s="18">
        <f>IF(COUNT(BV214:CD214)=9,SUM(BV214:CD214),"")</f>
        <v>5</v>
      </c>
      <c r="K214" s="18">
        <f>SUM(BL214:CD214)</f>
        <v>11</v>
      </c>
      <c r="L214" s="18">
        <f>--(K214&gt;='Codebook'!$C$8)</f>
        <v>0</v>
      </c>
      <c r="M214" s="18">
        <f>--(COUNT(BL214:CD214)=19)</f>
        <v>1</v>
      </c>
      <c r="N214" s="18">
        <f>SUM(CE214:CL214)</f>
        <v>8</v>
      </c>
      <c r="O214" s="18">
        <f>SUM(CM214:CR214)</f>
        <v>1</v>
      </c>
      <c r="P214" s="18">
        <f>N214+O214</f>
        <v>9</v>
      </c>
      <c r="Q214" s="21" t="s">
        <v>198</v>
      </c>
      <c r="R214" s="17" t="s">
        <v>156</v>
      </c>
      <c r="S214" s="18">
        <f>--OR(Overview!$B$6="All",E214=Overview!$B$6)*--OR(Overview!$F$6="All",F214=Overview!$F$6)*--OR(Overview!$J$6="All",G214=Overview!$J$6)*--OR(Overview!$N$6="All",H214=Overview!$N$6)</f>
        <v>1</v>
      </c>
      <c r="T214" s="21" t="s">
        <v>22</v>
      </c>
      <c r="U214" s="21" t="s">
        <v>22</v>
      </c>
      <c r="V214" s="21" t="s">
        <v>22</v>
      </c>
      <c r="W214" s="21" t="s">
        <v>22</v>
      </c>
      <c r="X214" s="21" t="s">
        <v>22</v>
      </c>
      <c r="Y214" s="21" t="s">
        <v>22</v>
      </c>
      <c r="Z214" s="21" t="s">
        <v>22</v>
      </c>
      <c r="AA214" s="21" t="s">
        <v>22</v>
      </c>
      <c r="AB214" s="21" t="s">
        <v>22</v>
      </c>
      <c r="AC214" s="21" t="s">
        <v>22</v>
      </c>
      <c r="AD214" s="21" t="s">
        <v>22</v>
      </c>
      <c r="AE214" s="21" t="s">
        <v>22</v>
      </c>
      <c r="AF214" s="21" t="s">
        <v>22</v>
      </c>
      <c r="AG214" s="21" t="s">
        <v>22</v>
      </c>
      <c r="AH214" s="21" t="s">
        <v>22</v>
      </c>
      <c r="AI214" s="21" t="s">
        <v>22</v>
      </c>
      <c r="AJ214" s="21" t="s">
        <v>22</v>
      </c>
      <c r="AK214" s="21" t="s">
        <v>26</v>
      </c>
      <c r="AL214" s="21" t="s">
        <v>26</v>
      </c>
      <c r="AM214" s="21" t="s">
        <v>83</v>
      </c>
      <c r="AN214" s="21" t="s">
        <v>83</v>
      </c>
      <c r="AO214" s="21" t="s">
        <v>83</v>
      </c>
      <c r="AP214" s="21" t="s">
        <v>83</v>
      </c>
      <c r="AQ214" s="21" t="s">
        <v>83</v>
      </c>
      <c r="AR214" s="21" t="s">
        <v>83</v>
      </c>
      <c r="AS214" s="21" t="s">
        <v>83</v>
      </c>
      <c r="AT214" s="21" t="s">
        <v>83</v>
      </c>
      <c r="AU214" s="21" t="s">
        <v>109</v>
      </c>
      <c r="AV214" s="21" t="s">
        <v>198</v>
      </c>
      <c r="AW214" s="21" t="s">
        <v>83</v>
      </c>
      <c r="AX214" s="21" t="s">
        <v>198</v>
      </c>
      <c r="AY214" s="21" t="s">
        <v>83</v>
      </c>
      <c r="AZ214" s="21" t="s">
        <v>198</v>
      </c>
      <c r="BA214" s="17" t="s">
        <v>291</v>
      </c>
      <c r="BB214" s="17" t="s">
        <v>313</v>
      </c>
      <c r="BC214" s="18">
        <f>--ISNUMBER(SEARCH("Radio or television",BA214))</f>
        <v>0</v>
      </c>
      <c r="BD214" s="18">
        <f>--ISNUMBER(SEARCH("Newspapers or print media",BA214))</f>
        <v>0</v>
      </c>
      <c r="BE214" s="18">
        <f>--ISNUMBER(SEARCH("Social media (e.g. Facebook, WhatsApp, YouTube, X/Twitter)",BA214))</f>
        <v>0</v>
      </c>
      <c r="BF214" s="18">
        <f>--ISNUMBER(SEARCH("Family members",BA214))</f>
        <v>1</v>
      </c>
      <c r="BG214" s="18">
        <f>--ISNUMBER(SEARCH("Friends or fellow students",BA214))</f>
        <v>1</v>
      </c>
      <c r="BH214" s="18">
        <f>--ISNUMBER(SEARCH("School coursework or lectures",BA214))</f>
        <v>0</v>
      </c>
      <c r="BI214" s="18">
        <f>--ISNUMBER(SEARCH("NHIMA outreach activities or NHIMA offices",BA214))</f>
        <v>0</v>
      </c>
      <c r="BJ214" s="18">
        <f>--ISNUMBER(SEARCH("Health facility staff",BA214))</f>
        <v>0</v>
      </c>
      <c r="BK214" s="18">
        <f>--ISNUMBER(SEARCH("not received information",BA214))</f>
        <v>0</v>
      </c>
      <c r="BL214" s="18">
        <f>IF(T214="","",--(T214='Codebook'!$F$13))</f>
        <v>1</v>
      </c>
      <c r="BM214" s="18">
        <f>IF(U214="","",--(U214='Codebook'!$F$14))</f>
        <v>0</v>
      </c>
      <c r="BN214" s="18">
        <f>IF(V214="","",--(V214='Codebook'!$F$15))</f>
        <v>0</v>
      </c>
      <c r="BO214" s="18">
        <f>IF(W214="","",--(W214='Codebook'!$F$16))</f>
        <v>1</v>
      </c>
      <c r="BP214" s="18">
        <f>IF(X214="","",--(X214='Codebook'!$F$17))</f>
        <v>1</v>
      </c>
      <c r="BQ214" s="18">
        <f>IF(Y214="","",--(Y214='Codebook'!$F$18))</f>
        <v>0</v>
      </c>
      <c r="BR214" s="18">
        <f>IF(Z214="","",--(Z214='Codebook'!$F$19))</f>
        <v>1</v>
      </c>
      <c r="BS214" s="18">
        <f>IF(AA214="","",--(AA214='Codebook'!$F$20))</f>
        <v>1</v>
      </c>
      <c r="BT214" s="18">
        <f>IF(AB214="","",--(AB214='Codebook'!$F$21))</f>
        <v>0</v>
      </c>
      <c r="BU214" s="18">
        <f>IF(AC214="","",--(AC214='Codebook'!$F$22))</f>
        <v>1</v>
      </c>
      <c r="BV214" s="18">
        <f>IF(AD214="","",--(AD214='Codebook'!$F$23))</f>
        <v>1</v>
      </c>
      <c r="BW214" s="18">
        <f>IF(AE214="","",--(AE214='Codebook'!$F$24))</f>
        <v>1</v>
      </c>
      <c r="BX214" s="18">
        <f>IF(AF214="","",--(AF214='Codebook'!$F$25))</f>
        <v>0</v>
      </c>
      <c r="BY214" s="18">
        <f>IF(AG214="","",--(AG214='Codebook'!$F$26))</f>
        <v>1</v>
      </c>
      <c r="BZ214" s="18">
        <f>IF(AH214="","",--(AH214='Codebook'!$F$27))</f>
        <v>1</v>
      </c>
      <c r="CA214" s="18">
        <f>IF(AI214="","",--(AI214='Codebook'!$F$28))</f>
        <v>0</v>
      </c>
      <c r="CB214" s="18">
        <f>IF(AJ214="","",--(AJ214='Codebook'!$F$29))</f>
        <v>0</v>
      </c>
      <c r="CC214" s="18">
        <f>IF(AK214="","",--(AK214='Codebook'!$F$30))</f>
        <v>0</v>
      </c>
      <c r="CD214" s="18">
        <f>IF(AL214="","",--(AL214='Codebook'!$F$31))</f>
        <v>1</v>
      </c>
      <c r="CE214" s="18">
        <f>IF(AM214="","",--(AM214='Codebook'!$F$32))</f>
        <v>1</v>
      </c>
      <c r="CF214" s="18">
        <f>IF(AN214="","",--(AN214='Codebook'!$F$33))</f>
        <v>1</v>
      </c>
      <c r="CG214" s="18">
        <f>IF(AO214="","",--(AO214='Codebook'!$F$34))</f>
        <v>1</v>
      </c>
      <c r="CH214" s="18">
        <f>IF(AP214="","",--(AP214='Codebook'!$F$35))</f>
        <v>1</v>
      </c>
      <c r="CI214" s="18">
        <f>IF(AQ214="","",--(AQ214='Codebook'!$F$36))</f>
        <v>1</v>
      </c>
      <c r="CJ214" s="18">
        <f>IF(AR214="","",--(AR214='Codebook'!$F$37))</f>
        <v>1</v>
      </c>
      <c r="CK214" s="18">
        <f>IF(AS214="","",--(AS214='Codebook'!$F$38))</f>
        <v>1</v>
      </c>
      <c r="CL214" s="18">
        <f>IF(AT214="","",--(AT214='Codebook'!$F$39))</f>
        <v>1</v>
      </c>
      <c r="CM214" s="18">
        <f>IF(AU214="","",--(AU214='Codebook'!$F$40))</f>
        <v>1</v>
      </c>
      <c r="CN214" s="18">
        <f>IF(AV214="","",--(AV214='Codebook'!$F$41))</f>
        <v>0</v>
      </c>
      <c r="CO214" s="18">
        <f>IF(AW214="","",--(AW214='Codebook'!$F$42))</f>
        <v>0</v>
      </c>
      <c r="CP214" s="18">
        <f>IF(AX214="","",--(AX214='Codebook'!$F$43))</f>
        <v>0</v>
      </c>
      <c r="CQ214" s="18">
        <f>IF(AY214="","",--(AY214='Codebook'!$F$44))</f>
        <v>0</v>
      </c>
      <c r="CR214" s="18">
        <f>IF(AZ214="","",--(AZ214='Codebook'!$F$45))</f>
        <v>0</v>
      </c>
    </row>
    <row r="215" spans="2:96" ht="24" customHeight="1">
      <c r="B215" s="18">
        <v>210</v>
      </c>
      <c r="C215" s="23">
        <v>46287.46347236111</v>
      </c>
      <c r="D215" s="21" t="s">
        <v>275</v>
      </c>
      <c r="E215" s="21" t="s">
        <v>194</v>
      </c>
      <c r="F215" s="21" t="s">
        <v>195</v>
      </c>
      <c r="G215" s="17" t="s">
        <v>202</v>
      </c>
      <c r="H215" s="21" t="s">
        <v>197</v>
      </c>
      <c r="I215" s="18">
        <f>SUM(BL215:BU215)</f>
        <v>6</v>
      </c>
      <c r="J215" s="18">
        <f>IF(COUNT(BV215:CD215)=9,SUM(BV215:CD215),"")</f>
        <v>6</v>
      </c>
      <c r="K215" s="18">
        <f>SUM(BL215:CD215)</f>
        <v>12</v>
      </c>
      <c r="L215" s="18">
        <f>--(K215&gt;='Codebook'!$C$8)</f>
        <v>1</v>
      </c>
      <c r="M215" s="18">
        <f>--(COUNT(BL215:CD215)=19)</f>
        <v>1</v>
      </c>
      <c r="N215" s="18">
        <f>SUM(CE215:CL215)</f>
        <v>5</v>
      </c>
      <c r="O215" s="18">
        <f>SUM(CM215:CR215)</f>
        <v>1</v>
      </c>
      <c r="P215" s="18">
        <f>N215+O215</f>
        <v>6</v>
      </c>
      <c r="Q215" s="21" t="s">
        <v>207</v>
      </c>
      <c r="R215" s="17" t="s">
        <v>156</v>
      </c>
      <c r="S215" s="18">
        <f>--OR(Overview!$B$6="All",E215=Overview!$B$6)*--OR(Overview!$F$6="All",F215=Overview!$F$6)*--OR(Overview!$J$6="All",G215=Overview!$J$6)*--OR(Overview!$N$6="All",H215=Overview!$N$6)</f>
        <v>1</v>
      </c>
      <c r="T215" s="21" t="s">
        <v>22</v>
      </c>
      <c r="U215" s="21" t="s">
        <v>22</v>
      </c>
      <c r="V215" s="21" t="s">
        <v>22</v>
      </c>
      <c r="W215" s="21" t="s">
        <v>22</v>
      </c>
      <c r="X215" s="21" t="s">
        <v>22</v>
      </c>
      <c r="Y215" s="21" t="s">
        <v>22</v>
      </c>
      <c r="Z215" s="21" t="s">
        <v>22</v>
      </c>
      <c r="AA215" s="21" t="s">
        <v>22</v>
      </c>
      <c r="AB215" s="21" t="s">
        <v>22</v>
      </c>
      <c r="AC215" s="21" t="s">
        <v>22</v>
      </c>
      <c r="AD215" s="21" t="s">
        <v>22</v>
      </c>
      <c r="AE215" s="21" t="s">
        <v>22</v>
      </c>
      <c r="AF215" s="21" t="s">
        <v>26</v>
      </c>
      <c r="AG215" s="21" t="s">
        <v>22</v>
      </c>
      <c r="AH215" s="21" t="s">
        <v>22</v>
      </c>
      <c r="AI215" s="21" t="s">
        <v>22</v>
      </c>
      <c r="AJ215" s="21" t="s">
        <v>198</v>
      </c>
      <c r="AK215" s="21" t="s">
        <v>22</v>
      </c>
      <c r="AL215" s="21" t="s">
        <v>22</v>
      </c>
      <c r="AM215" s="21" t="s">
        <v>83</v>
      </c>
      <c r="AN215" s="21" t="s">
        <v>109</v>
      </c>
      <c r="AO215" s="21" t="s">
        <v>83</v>
      </c>
      <c r="AP215" s="21" t="s">
        <v>198</v>
      </c>
      <c r="AQ215" s="21" t="s">
        <v>83</v>
      </c>
      <c r="AR215" s="21" t="s">
        <v>198</v>
      </c>
      <c r="AS215" s="21" t="s">
        <v>83</v>
      </c>
      <c r="AT215" s="21" t="s">
        <v>83</v>
      </c>
      <c r="AU215" s="21" t="s">
        <v>198</v>
      </c>
      <c r="AV215" s="21" t="s">
        <v>83</v>
      </c>
      <c r="AW215" s="21" t="s">
        <v>83</v>
      </c>
      <c r="AX215" s="21" t="s">
        <v>83</v>
      </c>
      <c r="AY215" s="21" t="s">
        <v>109</v>
      </c>
      <c r="AZ215" s="21" t="s">
        <v>198</v>
      </c>
      <c r="BA215" s="17" t="s">
        <v>291</v>
      </c>
      <c r="BB215" s="17" t="s">
        <v>313</v>
      </c>
      <c r="BC215" s="18">
        <f>--ISNUMBER(SEARCH("Radio or television",BA215))</f>
        <v>0</v>
      </c>
      <c r="BD215" s="18">
        <f>--ISNUMBER(SEARCH("Newspapers or print media",BA215))</f>
        <v>0</v>
      </c>
      <c r="BE215" s="18">
        <f>--ISNUMBER(SEARCH("Social media (e.g. Facebook, WhatsApp, YouTube, X/Twitter)",BA215))</f>
        <v>0</v>
      </c>
      <c r="BF215" s="18">
        <f>--ISNUMBER(SEARCH("Family members",BA215))</f>
        <v>1</v>
      </c>
      <c r="BG215" s="18">
        <f>--ISNUMBER(SEARCH("Friends or fellow students",BA215))</f>
        <v>1</v>
      </c>
      <c r="BH215" s="18">
        <f>--ISNUMBER(SEARCH("School coursework or lectures",BA215))</f>
        <v>0</v>
      </c>
      <c r="BI215" s="18">
        <f>--ISNUMBER(SEARCH("NHIMA outreach activities or NHIMA offices",BA215))</f>
        <v>0</v>
      </c>
      <c r="BJ215" s="18">
        <f>--ISNUMBER(SEARCH("Health facility staff",BA215))</f>
        <v>0</v>
      </c>
      <c r="BK215" s="18">
        <f>--ISNUMBER(SEARCH("not received information",BA215))</f>
        <v>0</v>
      </c>
      <c r="BL215" s="18">
        <f>IF(T215="","",--(T215='Codebook'!$F$13))</f>
        <v>1</v>
      </c>
      <c r="BM215" s="18">
        <f>IF(U215="","",--(U215='Codebook'!$F$14))</f>
        <v>0</v>
      </c>
      <c r="BN215" s="18">
        <f>IF(V215="","",--(V215='Codebook'!$F$15))</f>
        <v>0</v>
      </c>
      <c r="BO215" s="18">
        <f>IF(W215="","",--(W215='Codebook'!$F$16))</f>
        <v>1</v>
      </c>
      <c r="BP215" s="18">
        <f>IF(X215="","",--(X215='Codebook'!$F$17))</f>
        <v>1</v>
      </c>
      <c r="BQ215" s="18">
        <f>IF(Y215="","",--(Y215='Codebook'!$F$18))</f>
        <v>0</v>
      </c>
      <c r="BR215" s="18">
        <f>IF(Z215="","",--(Z215='Codebook'!$F$19))</f>
        <v>1</v>
      </c>
      <c r="BS215" s="18">
        <f>IF(AA215="","",--(AA215='Codebook'!$F$20))</f>
        <v>1</v>
      </c>
      <c r="BT215" s="18">
        <f>IF(AB215="","",--(AB215='Codebook'!$F$21))</f>
        <v>0</v>
      </c>
      <c r="BU215" s="18">
        <f>IF(AC215="","",--(AC215='Codebook'!$F$22))</f>
        <v>1</v>
      </c>
      <c r="BV215" s="18">
        <f>IF(AD215="","",--(AD215='Codebook'!$F$23))</f>
        <v>1</v>
      </c>
      <c r="BW215" s="18">
        <f>IF(AE215="","",--(AE215='Codebook'!$F$24))</f>
        <v>1</v>
      </c>
      <c r="BX215" s="18">
        <f>IF(AF215="","",--(AF215='Codebook'!$F$25))</f>
        <v>1</v>
      </c>
      <c r="BY215" s="18">
        <f>IF(AG215="","",--(AG215='Codebook'!$F$26))</f>
        <v>1</v>
      </c>
      <c r="BZ215" s="18">
        <f>IF(AH215="","",--(AH215='Codebook'!$F$27))</f>
        <v>1</v>
      </c>
      <c r="CA215" s="18">
        <f>IF(AI215="","",--(AI215='Codebook'!$F$28))</f>
        <v>0</v>
      </c>
      <c r="CB215" s="18">
        <f>IF(AJ215="","",--(AJ215='Codebook'!$F$29))</f>
        <v>0</v>
      </c>
      <c r="CC215" s="18">
        <f>IF(AK215="","",--(AK215='Codebook'!$F$30))</f>
        <v>1</v>
      </c>
      <c r="CD215" s="18">
        <f>IF(AL215="","",--(AL215='Codebook'!$F$31))</f>
        <v>0</v>
      </c>
      <c r="CE215" s="18">
        <f>IF(AM215="","",--(AM215='Codebook'!$F$32))</f>
        <v>1</v>
      </c>
      <c r="CF215" s="18">
        <f>IF(AN215="","",--(AN215='Codebook'!$F$33))</f>
        <v>0</v>
      </c>
      <c r="CG215" s="18">
        <f>IF(AO215="","",--(AO215='Codebook'!$F$34))</f>
        <v>1</v>
      </c>
      <c r="CH215" s="18">
        <f>IF(AP215="","",--(AP215='Codebook'!$F$35))</f>
        <v>0</v>
      </c>
      <c r="CI215" s="18">
        <f>IF(AQ215="","",--(AQ215='Codebook'!$F$36))</f>
        <v>1</v>
      </c>
      <c r="CJ215" s="18">
        <f>IF(AR215="","",--(AR215='Codebook'!$F$37))</f>
        <v>0</v>
      </c>
      <c r="CK215" s="18">
        <f>IF(AS215="","",--(AS215='Codebook'!$F$38))</f>
        <v>1</v>
      </c>
      <c r="CL215" s="18">
        <f>IF(AT215="","",--(AT215='Codebook'!$F$39))</f>
        <v>1</v>
      </c>
      <c r="CM215" s="18">
        <f>IF(AU215="","",--(AU215='Codebook'!$F$40))</f>
        <v>0</v>
      </c>
      <c r="CN215" s="18">
        <f>IF(AV215="","",--(AV215='Codebook'!$F$41))</f>
        <v>0</v>
      </c>
      <c r="CO215" s="18">
        <f>IF(AW215="","",--(AW215='Codebook'!$F$42))</f>
        <v>0</v>
      </c>
      <c r="CP215" s="18">
        <f>IF(AX215="","",--(AX215='Codebook'!$F$43))</f>
        <v>0</v>
      </c>
      <c r="CQ215" s="18">
        <f>IF(AY215="","",--(AY215='Codebook'!$F$44))</f>
        <v>1</v>
      </c>
      <c r="CR215" s="18">
        <f>IF(AZ215="","",--(AZ215='Codebook'!$F$45))</f>
        <v>0</v>
      </c>
    </row>
    <row r="216" spans="2:96" ht="24" customHeight="1">
      <c r="B216" s="18">
        <v>211</v>
      </c>
      <c r="C216" s="23">
        <v>46287.46413159723</v>
      </c>
      <c r="D216" s="21" t="s">
        <v>275</v>
      </c>
      <c r="E216" s="21" t="s">
        <v>206</v>
      </c>
      <c r="F216" s="21" t="s">
        <v>201</v>
      </c>
      <c r="G216" s="17" t="s">
        <v>196</v>
      </c>
      <c r="H216" s="21" t="s">
        <v>197</v>
      </c>
      <c r="I216" s="18">
        <f>SUM(BL216:BU216)</f>
        <v>6</v>
      </c>
      <c r="J216" s="18">
        <f>IF(COUNT(BV216:CD216)=9,SUM(BV216:CD216),"")</f>
        <v>5</v>
      </c>
      <c r="K216" s="18">
        <f>SUM(BL216:CD216)</f>
        <v>11</v>
      </c>
      <c r="L216" s="18">
        <f>--(K216&gt;='Codebook'!$C$8)</f>
        <v>0</v>
      </c>
      <c r="M216" s="18">
        <f>--(COUNT(BL216:CD216)=19)</f>
        <v>1</v>
      </c>
      <c r="N216" s="18">
        <f>SUM(CE216:CL216)</f>
        <v>6</v>
      </c>
      <c r="O216" s="18">
        <f>SUM(CM216:CR216)</f>
        <v>0</v>
      </c>
      <c r="P216" s="18">
        <f>N216+O216</f>
        <v>6</v>
      </c>
      <c r="Q216" s="21" t="s">
        <v>198</v>
      </c>
      <c r="R216" s="17" t="s">
        <v>216</v>
      </c>
      <c r="S216" s="18">
        <f>--OR(Overview!$B$6="All",E216=Overview!$B$6)*--OR(Overview!$F$6="All",F216=Overview!$F$6)*--OR(Overview!$J$6="All",G216=Overview!$J$6)*--OR(Overview!$N$6="All",H216=Overview!$N$6)</f>
        <v>1</v>
      </c>
      <c r="T216" s="21" t="s">
        <v>22</v>
      </c>
      <c r="U216" s="21" t="s">
        <v>22</v>
      </c>
      <c r="V216" s="21" t="s">
        <v>22</v>
      </c>
      <c r="W216" s="21" t="s">
        <v>22</v>
      </c>
      <c r="X216" s="21" t="s">
        <v>22</v>
      </c>
      <c r="Y216" s="21" t="s">
        <v>22</v>
      </c>
      <c r="Z216" s="21" t="s">
        <v>22</v>
      </c>
      <c r="AA216" s="21" t="s">
        <v>22</v>
      </c>
      <c r="AB216" s="21" t="s">
        <v>198</v>
      </c>
      <c r="AC216" s="21" t="s">
        <v>22</v>
      </c>
      <c r="AD216" s="21" t="s">
        <v>22</v>
      </c>
      <c r="AE216" s="21" t="s">
        <v>22</v>
      </c>
      <c r="AF216" s="21" t="s">
        <v>198</v>
      </c>
      <c r="AG216" s="21" t="s">
        <v>22</v>
      </c>
      <c r="AH216" s="21" t="s">
        <v>198</v>
      </c>
      <c r="AI216" s="21" t="s">
        <v>22</v>
      </c>
      <c r="AJ216" s="21" t="s">
        <v>198</v>
      </c>
      <c r="AK216" s="21" t="s">
        <v>22</v>
      </c>
      <c r="AL216" s="21" t="s">
        <v>26</v>
      </c>
      <c r="AM216" s="21" t="s">
        <v>109</v>
      </c>
      <c r="AN216" s="21" t="s">
        <v>83</v>
      </c>
      <c r="AO216" s="21" t="s">
        <v>83</v>
      </c>
      <c r="AP216" s="21" t="s">
        <v>83</v>
      </c>
      <c r="AQ216" s="21" t="s">
        <v>83</v>
      </c>
      <c r="AR216" s="21" t="s">
        <v>83</v>
      </c>
      <c r="AS216" s="21" t="s">
        <v>83</v>
      </c>
      <c r="AT216" s="21" t="s">
        <v>109</v>
      </c>
      <c r="AU216" s="21" t="s">
        <v>83</v>
      </c>
      <c r="AV216" s="21" t="s">
        <v>83</v>
      </c>
      <c r="AW216" s="21" t="s">
        <v>83</v>
      </c>
      <c r="AX216" s="21" t="s">
        <v>198</v>
      </c>
      <c r="AY216" s="21" t="s">
        <v>83</v>
      </c>
      <c r="AZ216" s="21" t="s">
        <v>198</v>
      </c>
      <c r="BA216" s="17" t="s">
        <v>227</v>
      </c>
      <c r="BB216" s="17" t="s">
        <v>327</v>
      </c>
      <c r="BC216" s="18">
        <f>--ISNUMBER(SEARCH("Radio or television",BA216))</f>
        <v>0</v>
      </c>
      <c r="BD216" s="18">
        <f>--ISNUMBER(SEARCH("Newspapers or print media",BA216))</f>
        <v>0</v>
      </c>
      <c r="BE216" s="18">
        <f>--ISNUMBER(SEARCH("Social media (e.g. Facebook, WhatsApp, YouTube, X/Twitter)",BA216))</f>
        <v>1</v>
      </c>
      <c r="BF216" s="18">
        <f>--ISNUMBER(SEARCH("Family members",BA216))</f>
        <v>1</v>
      </c>
      <c r="BG216" s="18">
        <f>--ISNUMBER(SEARCH("Friends or fellow students",BA216))</f>
        <v>1</v>
      </c>
      <c r="BH216" s="18">
        <f>--ISNUMBER(SEARCH("School coursework or lectures",BA216))</f>
        <v>1</v>
      </c>
      <c r="BI216" s="18">
        <f>--ISNUMBER(SEARCH("NHIMA outreach activities or NHIMA offices",BA216))</f>
        <v>0</v>
      </c>
      <c r="BJ216" s="18">
        <f>--ISNUMBER(SEARCH("Health facility staff",BA216))</f>
        <v>0</v>
      </c>
      <c r="BK216" s="18">
        <f>--ISNUMBER(SEARCH("not received information",BA216))</f>
        <v>0</v>
      </c>
      <c r="BL216" s="18">
        <f>IF(T216="","",--(T216='Codebook'!$F$13))</f>
        <v>1</v>
      </c>
      <c r="BM216" s="18">
        <f>IF(U216="","",--(U216='Codebook'!$F$14))</f>
        <v>0</v>
      </c>
      <c r="BN216" s="18">
        <f>IF(V216="","",--(V216='Codebook'!$F$15))</f>
        <v>0</v>
      </c>
      <c r="BO216" s="18">
        <f>IF(W216="","",--(W216='Codebook'!$F$16))</f>
        <v>1</v>
      </c>
      <c r="BP216" s="18">
        <f>IF(X216="","",--(X216='Codebook'!$F$17))</f>
        <v>1</v>
      </c>
      <c r="BQ216" s="18">
        <f>IF(Y216="","",--(Y216='Codebook'!$F$18))</f>
        <v>0</v>
      </c>
      <c r="BR216" s="18">
        <f>IF(Z216="","",--(Z216='Codebook'!$F$19))</f>
        <v>1</v>
      </c>
      <c r="BS216" s="18">
        <f>IF(AA216="","",--(AA216='Codebook'!$F$20))</f>
        <v>1</v>
      </c>
      <c r="BT216" s="18">
        <f>IF(AB216="","",--(AB216='Codebook'!$F$21))</f>
        <v>0</v>
      </c>
      <c r="BU216" s="18">
        <f>IF(AC216="","",--(AC216='Codebook'!$F$22))</f>
        <v>1</v>
      </c>
      <c r="BV216" s="18">
        <f>IF(AD216="","",--(AD216='Codebook'!$F$23))</f>
        <v>1</v>
      </c>
      <c r="BW216" s="18">
        <f>IF(AE216="","",--(AE216='Codebook'!$F$24))</f>
        <v>1</v>
      </c>
      <c r="BX216" s="18">
        <f>IF(AF216="","",--(AF216='Codebook'!$F$25))</f>
        <v>0</v>
      </c>
      <c r="BY216" s="18">
        <f>IF(AG216="","",--(AG216='Codebook'!$F$26))</f>
        <v>1</v>
      </c>
      <c r="BZ216" s="18">
        <f>IF(AH216="","",--(AH216='Codebook'!$F$27))</f>
        <v>0</v>
      </c>
      <c r="CA216" s="18">
        <f>IF(AI216="","",--(AI216='Codebook'!$F$28))</f>
        <v>0</v>
      </c>
      <c r="CB216" s="18">
        <f>IF(AJ216="","",--(AJ216='Codebook'!$F$29))</f>
        <v>0</v>
      </c>
      <c r="CC216" s="18">
        <f>IF(AK216="","",--(AK216='Codebook'!$F$30))</f>
        <v>1</v>
      </c>
      <c r="CD216" s="18">
        <f>IF(AL216="","",--(AL216='Codebook'!$F$31))</f>
        <v>1</v>
      </c>
      <c r="CE216" s="18">
        <f>IF(AM216="","",--(AM216='Codebook'!$F$32))</f>
        <v>0</v>
      </c>
      <c r="CF216" s="18">
        <f>IF(AN216="","",--(AN216='Codebook'!$F$33))</f>
        <v>1</v>
      </c>
      <c r="CG216" s="18">
        <f>IF(AO216="","",--(AO216='Codebook'!$F$34))</f>
        <v>1</v>
      </c>
      <c r="CH216" s="18">
        <f>IF(AP216="","",--(AP216='Codebook'!$F$35))</f>
        <v>1</v>
      </c>
      <c r="CI216" s="18">
        <f>IF(AQ216="","",--(AQ216='Codebook'!$F$36))</f>
        <v>1</v>
      </c>
      <c r="CJ216" s="18">
        <f>IF(AR216="","",--(AR216='Codebook'!$F$37))</f>
        <v>1</v>
      </c>
      <c r="CK216" s="18">
        <f>IF(AS216="","",--(AS216='Codebook'!$F$38))</f>
        <v>1</v>
      </c>
      <c r="CL216" s="18">
        <f>IF(AT216="","",--(AT216='Codebook'!$F$39))</f>
        <v>0</v>
      </c>
      <c r="CM216" s="18">
        <f>IF(AU216="","",--(AU216='Codebook'!$F$40))</f>
        <v>0</v>
      </c>
      <c r="CN216" s="18">
        <f>IF(AV216="","",--(AV216='Codebook'!$F$41))</f>
        <v>0</v>
      </c>
      <c r="CO216" s="18">
        <f>IF(AW216="","",--(AW216='Codebook'!$F$42))</f>
        <v>0</v>
      </c>
      <c r="CP216" s="18">
        <f>IF(AX216="","",--(AX216='Codebook'!$F$43))</f>
        <v>0</v>
      </c>
      <c r="CQ216" s="18">
        <f>IF(AY216="","",--(AY216='Codebook'!$F$44))</f>
        <v>0</v>
      </c>
      <c r="CR216" s="18">
        <f>IF(AZ216="","",--(AZ216='Codebook'!$F$45))</f>
        <v>0</v>
      </c>
    </row>
    <row r="217" spans="2:96" ht="24" customHeight="1">
      <c r="B217" s="18">
        <v>212</v>
      </c>
      <c r="C217" s="23">
        <v>46287.46487460648</v>
      </c>
      <c r="D217" s="21" t="s">
        <v>275</v>
      </c>
      <c r="E217" s="21" t="s">
        <v>206</v>
      </c>
      <c r="F217" s="21" t="s">
        <v>226</v>
      </c>
      <c r="G217" s="17" t="s">
        <v>247</v>
      </c>
      <c r="H217" s="21" t="s">
        <v>207</v>
      </c>
      <c r="I217" s="18">
        <f>SUM(BL217:BU217)</f>
        <v>6</v>
      </c>
      <c r="J217" s="18">
        <f>IF(COUNT(BV217:CD217)=9,SUM(BV217:CD217),"")</f>
        <v>5</v>
      </c>
      <c r="K217" s="18">
        <f>SUM(BL217:CD217)</f>
        <v>11</v>
      </c>
      <c r="L217" s="18">
        <f>--(K217&gt;='Codebook'!$C$8)</f>
        <v>0</v>
      </c>
      <c r="M217" s="18">
        <f>--(COUNT(BL217:CD217)=19)</f>
        <v>1</v>
      </c>
      <c r="N217" s="18">
        <f>SUM(CE217:CL217)</f>
        <v>4</v>
      </c>
      <c r="O217" s="18">
        <f>SUM(CM217:CR217)</f>
        <v>0</v>
      </c>
      <c r="P217" s="18">
        <f>N217+O217</f>
        <v>4</v>
      </c>
      <c r="Q217" s="21" t="s">
        <v>207</v>
      </c>
      <c r="R217" s="17" t="s">
        <v>152</v>
      </c>
      <c r="S217" s="18">
        <f>--OR(Overview!$B$6="All",E217=Overview!$B$6)*--OR(Overview!$F$6="All",F217=Overview!$F$6)*--OR(Overview!$J$6="All",G217=Overview!$J$6)*--OR(Overview!$N$6="All",H217=Overview!$N$6)</f>
        <v>1</v>
      </c>
      <c r="T217" s="21" t="s">
        <v>22</v>
      </c>
      <c r="U217" s="21" t="s">
        <v>22</v>
      </c>
      <c r="V217" s="21" t="s">
        <v>22</v>
      </c>
      <c r="W217" s="21" t="s">
        <v>22</v>
      </c>
      <c r="X217" s="21" t="s">
        <v>22</v>
      </c>
      <c r="Y217" s="21" t="s">
        <v>22</v>
      </c>
      <c r="Z217" s="21" t="s">
        <v>22</v>
      </c>
      <c r="AA217" s="21" t="s">
        <v>22</v>
      </c>
      <c r="AB217" s="21" t="s">
        <v>22</v>
      </c>
      <c r="AC217" s="21" t="s">
        <v>22</v>
      </c>
      <c r="AD217" s="21" t="s">
        <v>22</v>
      </c>
      <c r="AE217" s="21" t="s">
        <v>22</v>
      </c>
      <c r="AF217" s="21" t="s">
        <v>22</v>
      </c>
      <c r="AG217" s="21" t="s">
        <v>22</v>
      </c>
      <c r="AH217" s="21" t="s">
        <v>22</v>
      </c>
      <c r="AI217" s="21" t="s">
        <v>22</v>
      </c>
      <c r="AJ217" s="21" t="s">
        <v>22</v>
      </c>
      <c r="AK217" s="21" t="s">
        <v>22</v>
      </c>
      <c r="AL217" s="21" t="s">
        <v>22</v>
      </c>
      <c r="AM217" s="21" t="s">
        <v>198</v>
      </c>
      <c r="AN217" s="21" t="s">
        <v>83</v>
      </c>
      <c r="AO217" s="21" t="s">
        <v>198</v>
      </c>
      <c r="AP217" s="21" t="s">
        <v>198</v>
      </c>
      <c r="AQ217" s="21" t="s">
        <v>83</v>
      </c>
      <c r="AR217" s="21" t="s">
        <v>198</v>
      </c>
      <c r="AS217" s="21" t="s">
        <v>83</v>
      </c>
      <c r="AT217" s="21" t="s">
        <v>83</v>
      </c>
      <c r="AU217" s="21" t="s">
        <v>83</v>
      </c>
      <c r="AV217" s="21" t="s">
        <v>83</v>
      </c>
      <c r="AW217" s="21" t="s">
        <v>83</v>
      </c>
      <c r="AX217" s="21" t="s">
        <v>83</v>
      </c>
      <c r="AY217" s="21" t="s">
        <v>83</v>
      </c>
      <c r="AZ217" s="21" t="s">
        <v>83</v>
      </c>
      <c r="BA217" s="17" t="s">
        <v>252</v>
      </c>
      <c r="BB217" s="17" t="s">
        <v>223</v>
      </c>
      <c r="BC217" s="18">
        <f>--ISNUMBER(SEARCH("Radio or television",BA217))</f>
        <v>1</v>
      </c>
      <c r="BD217" s="18">
        <f>--ISNUMBER(SEARCH("Newspapers or print media",BA217))</f>
        <v>0</v>
      </c>
      <c r="BE217" s="18">
        <f>--ISNUMBER(SEARCH("Social media (e.g. Facebook, WhatsApp, YouTube, X/Twitter)",BA217))</f>
        <v>1</v>
      </c>
      <c r="BF217" s="18">
        <f>--ISNUMBER(SEARCH("Family members",BA217))</f>
        <v>1</v>
      </c>
      <c r="BG217" s="18">
        <f>--ISNUMBER(SEARCH("Friends or fellow students",BA217))</f>
        <v>0</v>
      </c>
      <c r="BH217" s="18">
        <f>--ISNUMBER(SEARCH("School coursework or lectures",BA217))</f>
        <v>0</v>
      </c>
      <c r="BI217" s="18">
        <f>--ISNUMBER(SEARCH("NHIMA outreach activities or NHIMA offices",BA217))</f>
        <v>0</v>
      </c>
      <c r="BJ217" s="18">
        <f>--ISNUMBER(SEARCH("Health facility staff",BA217))</f>
        <v>0</v>
      </c>
      <c r="BK217" s="18">
        <f>--ISNUMBER(SEARCH("not received information",BA217))</f>
        <v>0</v>
      </c>
      <c r="BL217" s="18">
        <f>IF(T217="","",--(T217='Codebook'!$F$13))</f>
        <v>1</v>
      </c>
      <c r="BM217" s="18">
        <f>IF(U217="","",--(U217='Codebook'!$F$14))</f>
        <v>0</v>
      </c>
      <c r="BN217" s="18">
        <f>IF(V217="","",--(V217='Codebook'!$F$15))</f>
        <v>0</v>
      </c>
      <c r="BO217" s="18">
        <f>IF(W217="","",--(W217='Codebook'!$F$16))</f>
        <v>1</v>
      </c>
      <c r="BP217" s="18">
        <f>IF(X217="","",--(X217='Codebook'!$F$17))</f>
        <v>1</v>
      </c>
      <c r="BQ217" s="18">
        <f>IF(Y217="","",--(Y217='Codebook'!$F$18))</f>
        <v>0</v>
      </c>
      <c r="BR217" s="18">
        <f>IF(Z217="","",--(Z217='Codebook'!$F$19))</f>
        <v>1</v>
      </c>
      <c r="BS217" s="18">
        <f>IF(AA217="","",--(AA217='Codebook'!$F$20))</f>
        <v>1</v>
      </c>
      <c r="BT217" s="18">
        <f>IF(AB217="","",--(AB217='Codebook'!$F$21))</f>
        <v>0</v>
      </c>
      <c r="BU217" s="18">
        <f>IF(AC217="","",--(AC217='Codebook'!$F$22))</f>
        <v>1</v>
      </c>
      <c r="BV217" s="18">
        <f>IF(AD217="","",--(AD217='Codebook'!$F$23))</f>
        <v>1</v>
      </c>
      <c r="BW217" s="18">
        <f>IF(AE217="","",--(AE217='Codebook'!$F$24))</f>
        <v>1</v>
      </c>
      <c r="BX217" s="18">
        <f>IF(AF217="","",--(AF217='Codebook'!$F$25))</f>
        <v>0</v>
      </c>
      <c r="BY217" s="18">
        <f>IF(AG217="","",--(AG217='Codebook'!$F$26))</f>
        <v>1</v>
      </c>
      <c r="BZ217" s="18">
        <f>IF(AH217="","",--(AH217='Codebook'!$F$27))</f>
        <v>1</v>
      </c>
      <c r="CA217" s="18">
        <f>IF(AI217="","",--(AI217='Codebook'!$F$28))</f>
        <v>0</v>
      </c>
      <c r="CB217" s="18">
        <f>IF(AJ217="","",--(AJ217='Codebook'!$F$29))</f>
        <v>0</v>
      </c>
      <c r="CC217" s="18">
        <f>IF(AK217="","",--(AK217='Codebook'!$F$30))</f>
        <v>1</v>
      </c>
      <c r="CD217" s="18">
        <f>IF(AL217="","",--(AL217='Codebook'!$F$31))</f>
        <v>0</v>
      </c>
      <c r="CE217" s="18">
        <f>IF(AM217="","",--(AM217='Codebook'!$F$32))</f>
        <v>0</v>
      </c>
      <c r="CF217" s="18">
        <f>IF(AN217="","",--(AN217='Codebook'!$F$33))</f>
        <v>1</v>
      </c>
      <c r="CG217" s="18">
        <f>IF(AO217="","",--(AO217='Codebook'!$F$34))</f>
        <v>0</v>
      </c>
      <c r="CH217" s="18">
        <f>IF(AP217="","",--(AP217='Codebook'!$F$35))</f>
        <v>0</v>
      </c>
      <c r="CI217" s="18">
        <f>IF(AQ217="","",--(AQ217='Codebook'!$F$36))</f>
        <v>1</v>
      </c>
      <c r="CJ217" s="18">
        <f>IF(AR217="","",--(AR217='Codebook'!$F$37))</f>
        <v>0</v>
      </c>
      <c r="CK217" s="18">
        <f>IF(AS217="","",--(AS217='Codebook'!$F$38))</f>
        <v>1</v>
      </c>
      <c r="CL217" s="18">
        <f>IF(AT217="","",--(AT217='Codebook'!$F$39))</f>
        <v>1</v>
      </c>
      <c r="CM217" s="18">
        <f>IF(AU217="","",--(AU217='Codebook'!$F$40))</f>
        <v>0</v>
      </c>
      <c r="CN217" s="18">
        <f>IF(AV217="","",--(AV217='Codebook'!$F$41))</f>
        <v>0</v>
      </c>
      <c r="CO217" s="18">
        <f>IF(AW217="","",--(AW217='Codebook'!$F$42))</f>
        <v>0</v>
      </c>
      <c r="CP217" s="18">
        <f>IF(AX217="","",--(AX217='Codebook'!$F$43))</f>
        <v>0</v>
      </c>
      <c r="CQ217" s="18">
        <f>IF(AY217="","",--(AY217='Codebook'!$F$44))</f>
        <v>0</v>
      </c>
      <c r="CR217" s="18">
        <f>IF(AZ217="","",--(AZ217='Codebook'!$F$45))</f>
        <v>0</v>
      </c>
    </row>
    <row r="218" spans="2:96" ht="24" customHeight="1">
      <c r="B218" s="18">
        <v>213</v>
      </c>
      <c r="C218" s="23">
        <v>46287.46571005787</v>
      </c>
      <c r="D218" s="21" t="s">
        <v>275</v>
      </c>
      <c r="E218" s="21" t="s">
        <v>206</v>
      </c>
      <c r="F218" s="21" t="s">
        <v>195</v>
      </c>
      <c r="G218" s="17" t="s">
        <v>215</v>
      </c>
      <c r="H218" s="21" t="s">
        <v>198</v>
      </c>
      <c r="I218" s="18">
        <f>SUM(BL218:BU218)</f>
        <v>6</v>
      </c>
      <c r="J218" s="18">
        <f>IF(COUNT(BV218:CD218)=9,SUM(BV218:CD218),"")</f>
        <v>4</v>
      </c>
      <c r="K218" s="18">
        <f>SUM(BL218:CD218)</f>
        <v>10</v>
      </c>
      <c r="L218" s="18">
        <f>--(K218&gt;='Codebook'!$C$8)</f>
        <v>0</v>
      </c>
      <c r="M218" s="18">
        <f>--(COUNT(BL218:CD218)=19)</f>
        <v>1</v>
      </c>
      <c r="N218" s="18">
        <f>SUM(CE218:CL218)</f>
        <v>5</v>
      </c>
      <c r="O218" s="18">
        <f>SUM(CM218:CR218)</f>
        <v>1</v>
      </c>
      <c r="P218" s="18">
        <f>N218+O218</f>
        <v>6</v>
      </c>
      <c r="Q218" s="21" t="s">
        <v>197</v>
      </c>
      <c r="R218" s="17" t="s">
        <v>216</v>
      </c>
      <c r="S218" s="18">
        <f>--OR(Overview!$B$6="All",E218=Overview!$B$6)*--OR(Overview!$F$6="All",F218=Overview!$F$6)*--OR(Overview!$J$6="All",G218=Overview!$J$6)*--OR(Overview!$N$6="All",H218=Overview!$N$6)</f>
        <v>1</v>
      </c>
      <c r="T218" s="21" t="s">
        <v>22</v>
      </c>
      <c r="U218" s="21" t="s">
        <v>22</v>
      </c>
      <c r="V218" s="21" t="s">
        <v>22</v>
      </c>
      <c r="W218" s="21" t="s">
        <v>22</v>
      </c>
      <c r="X218" s="21" t="s">
        <v>22</v>
      </c>
      <c r="Y218" s="21" t="s">
        <v>22</v>
      </c>
      <c r="Z218" s="21" t="s">
        <v>22</v>
      </c>
      <c r="AA218" s="21" t="s">
        <v>22</v>
      </c>
      <c r="AB218" s="21" t="s">
        <v>22</v>
      </c>
      <c r="AC218" s="21" t="s">
        <v>22</v>
      </c>
      <c r="AD218" s="21" t="s">
        <v>26</v>
      </c>
      <c r="AE218" s="21" t="s">
        <v>22</v>
      </c>
      <c r="AF218" s="21" t="s">
        <v>22</v>
      </c>
      <c r="AG218" s="21" t="s">
        <v>22</v>
      </c>
      <c r="AH218" s="21" t="s">
        <v>22</v>
      </c>
      <c r="AI218" s="21" t="s">
        <v>22</v>
      </c>
      <c r="AJ218" s="21" t="s">
        <v>22</v>
      </c>
      <c r="AK218" s="21" t="s">
        <v>22</v>
      </c>
      <c r="AL218" s="21" t="s">
        <v>22</v>
      </c>
      <c r="AM218" s="21" t="s">
        <v>83</v>
      </c>
      <c r="AN218" s="21" t="s">
        <v>198</v>
      </c>
      <c r="AO218" s="21" t="s">
        <v>83</v>
      </c>
      <c r="AP218" s="21" t="s">
        <v>83</v>
      </c>
      <c r="AQ218" s="21" t="s">
        <v>109</v>
      </c>
      <c r="AR218" s="21" t="s">
        <v>109</v>
      </c>
      <c r="AS218" s="21" t="s">
        <v>83</v>
      </c>
      <c r="AT218" s="21" t="s">
        <v>83</v>
      </c>
      <c r="AU218" s="21" t="s">
        <v>83</v>
      </c>
      <c r="AV218" s="21" t="s">
        <v>83</v>
      </c>
      <c r="AW218" s="21" t="s">
        <v>83</v>
      </c>
      <c r="AX218" s="21" t="s">
        <v>109</v>
      </c>
      <c r="AY218" s="21" t="s">
        <v>83</v>
      </c>
      <c r="AZ218" s="21" t="s">
        <v>198</v>
      </c>
      <c r="BA218" s="17" t="s">
        <v>258</v>
      </c>
      <c r="BB218" s="17" t="s">
        <v>291</v>
      </c>
      <c r="BC218" s="18">
        <f>--ISNUMBER(SEARCH("Radio or television",BA218))</f>
        <v>0</v>
      </c>
      <c r="BD218" s="18">
        <f>--ISNUMBER(SEARCH("Newspapers or print media",BA218))</f>
        <v>0</v>
      </c>
      <c r="BE218" s="18">
        <f>--ISNUMBER(SEARCH("Social media (e.g. Facebook, WhatsApp, YouTube, X/Twitter)",BA218))</f>
        <v>1</v>
      </c>
      <c r="BF218" s="18">
        <f>--ISNUMBER(SEARCH("Family members",BA218))</f>
        <v>1</v>
      </c>
      <c r="BG218" s="18">
        <f>--ISNUMBER(SEARCH("Friends or fellow students",BA218))</f>
        <v>1</v>
      </c>
      <c r="BH218" s="18">
        <f>--ISNUMBER(SEARCH("School coursework or lectures",BA218))</f>
        <v>0</v>
      </c>
      <c r="BI218" s="18">
        <f>--ISNUMBER(SEARCH("NHIMA outreach activities or NHIMA offices",BA218))</f>
        <v>0</v>
      </c>
      <c r="BJ218" s="18">
        <f>--ISNUMBER(SEARCH("Health facility staff",BA218))</f>
        <v>0</v>
      </c>
      <c r="BK218" s="18">
        <f>--ISNUMBER(SEARCH("not received information",BA218))</f>
        <v>0</v>
      </c>
      <c r="BL218" s="18">
        <f>IF(T218="","",--(T218='Codebook'!$F$13))</f>
        <v>1</v>
      </c>
      <c r="BM218" s="18">
        <f>IF(U218="","",--(U218='Codebook'!$F$14))</f>
        <v>0</v>
      </c>
      <c r="BN218" s="18">
        <f>IF(V218="","",--(V218='Codebook'!$F$15))</f>
        <v>0</v>
      </c>
      <c r="BO218" s="18">
        <f>IF(W218="","",--(W218='Codebook'!$F$16))</f>
        <v>1</v>
      </c>
      <c r="BP218" s="18">
        <f>IF(X218="","",--(X218='Codebook'!$F$17))</f>
        <v>1</v>
      </c>
      <c r="BQ218" s="18">
        <f>IF(Y218="","",--(Y218='Codebook'!$F$18))</f>
        <v>0</v>
      </c>
      <c r="BR218" s="18">
        <f>IF(Z218="","",--(Z218='Codebook'!$F$19))</f>
        <v>1</v>
      </c>
      <c r="BS218" s="18">
        <f>IF(AA218="","",--(AA218='Codebook'!$F$20))</f>
        <v>1</v>
      </c>
      <c r="BT218" s="18">
        <f>IF(AB218="","",--(AB218='Codebook'!$F$21))</f>
        <v>0</v>
      </c>
      <c r="BU218" s="18">
        <f>IF(AC218="","",--(AC218='Codebook'!$F$22))</f>
        <v>1</v>
      </c>
      <c r="BV218" s="18">
        <f>IF(AD218="","",--(AD218='Codebook'!$F$23))</f>
        <v>0</v>
      </c>
      <c r="BW218" s="18">
        <f>IF(AE218="","",--(AE218='Codebook'!$F$24))</f>
        <v>1</v>
      </c>
      <c r="BX218" s="18">
        <f>IF(AF218="","",--(AF218='Codebook'!$F$25))</f>
        <v>0</v>
      </c>
      <c r="BY218" s="18">
        <f>IF(AG218="","",--(AG218='Codebook'!$F$26))</f>
        <v>1</v>
      </c>
      <c r="BZ218" s="18">
        <f>IF(AH218="","",--(AH218='Codebook'!$F$27))</f>
        <v>1</v>
      </c>
      <c r="CA218" s="18">
        <f>IF(AI218="","",--(AI218='Codebook'!$F$28))</f>
        <v>0</v>
      </c>
      <c r="CB218" s="18">
        <f>IF(AJ218="","",--(AJ218='Codebook'!$F$29))</f>
        <v>0</v>
      </c>
      <c r="CC218" s="18">
        <f>IF(AK218="","",--(AK218='Codebook'!$F$30))</f>
        <v>1</v>
      </c>
      <c r="CD218" s="18">
        <f>IF(AL218="","",--(AL218='Codebook'!$F$31))</f>
        <v>0</v>
      </c>
      <c r="CE218" s="18">
        <f>IF(AM218="","",--(AM218='Codebook'!$F$32))</f>
        <v>1</v>
      </c>
      <c r="CF218" s="18">
        <f>IF(AN218="","",--(AN218='Codebook'!$F$33))</f>
        <v>0</v>
      </c>
      <c r="CG218" s="18">
        <f>IF(AO218="","",--(AO218='Codebook'!$F$34))</f>
        <v>1</v>
      </c>
      <c r="CH218" s="18">
        <f>IF(AP218="","",--(AP218='Codebook'!$F$35))</f>
        <v>1</v>
      </c>
      <c r="CI218" s="18">
        <f>IF(AQ218="","",--(AQ218='Codebook'!$F$36))</f>
        <v>0</v>
      </c>
      <c r="CJ218" s="18">
        <f>IF(AR218="","",--(AR218='Codebook'!$F$37))</f>
        <v>0</v>
      </c>
      <c r="CK218" s="18">
        <f>IF(AS218="","",--(AS218='Codebook'!$F$38))</f>
        <v>1</v>
      </c>
      <c r="CL218" s="18">
        <f>IF(AT218="","",--(AT218='Codebook'!$F$39))</f>
        <v>1</v>
      </c>
      <c r="CM218" s="18">
        <f>IF(AU218="","",--(AU218='Codebook'!$F$40))</f>
        <v>0</v>
      </c>
      <c r="CN218" s="18">
        <f>IF(AV218="","",--(AV218='Codebook'!$F$41))</f>
        <v>0</v>
      </c>
      <c r="CO218" s="18">
        <f>IF(AW218="","",--(AW218='Codebook'!$F$42))</f>
        <v>0</v>
      </c>
      <c r="CP218" s="18">
        <f>IF(AX218="","",--(AX218='Codebook'!$F$43))</f>
        <v>1</v>
      </c>
      <c r="CQ218" s="18">
        <f>IF(AY218="","",--(AY218='Codebook'!$F$44))</f>
        <v>0</v>
      </c>
      <c r="CR218" s="18">
        <f>IF(AZ218="","",--(AZ218='Codebook'!$F$45))</f>
        <v>0</v>
      </c>
    </row>
    <row r="219" spans="2:96" ht="24" customHeight="1">
      <c r="B219" s="18">
        <v>214</v>
      </c>
      <c r="C219" s="23">
        <v>46287.69936380787</v>
      </c>
      <c r="D219" s="21" t="s">
        <v>275</v>
      </c>
      <c r="E219" s="21" t="s">
        <v>206</v>
      </c>
      <c r="F219" s="21" t="s">
        <v>212</v>
      </c>
      <c r="G219" s="17" t="s">
        <v>224</v>
      </c>
      <c r="H219" s="21" t="s">
        <v>197</v>
      </c>
      <c r="I219" s="18">
        <f>SUM(BL219:BU219)</f>
        <v>6</v>
      </c>
      <c r="J219" s="18">
        <f>IF(COUNT(BV219:CD219)=9,SUM(BV219:CD219),"")</f>
        <v>5</v>
      </c>
      <c r="K219" s="18">
        <f>SUM(BL219:CD219)</f>
        <v>11</v>
      </c>
      <c r="L219" s="18">
        <f>--(K219&gt;='Codebook'!$C$8)</f>
        <v>0</v>
      </c>
      <c r="M219" s="18">
        <f>--(COUNT(BL219:CD219)=19)</f>
        <v>1</v>
      </c>
      <c r="N219" s="18">
        <f>SUM(CE219:CL219)</f>
        <v>6</v>
      </c>
      <c r="O219" s="18">
        <f>SUM(CM219:CR219)</f>
        <v>0</v>
      </c>
      <c r="P219" s="18">
        <f>N219+O219</f>
        <v>6</v>
      </c>
      <c r="Q219" s="21" t="s">
        <v>197</v>
      </c>
      <c r="R219" s="17" t="s">
        <v>155</v>
      </c>
      <c r="S219" s="18">
        <f>--OR(Overview!$B$6="All",E219=Overview!$B$6)*--OR(Overview!$F$6="All",F219=Overview!$F$6)*--OR(Overview!$J$6="All",G219=Overview!$J$6)*--OR(Overview!$N$6="All",H219=Overview!$N$6)</f>
        <v>1</v>
      </c>
      <c r="T219" s="21" t="s">
        <v>22</v>
      </c>
      <c r="U219" s="21" t="s">
        <v>22</v>
      </c>
      <c r="V219" s="21" t="s">
        <v>22</v>
      </c>
      <c r="W219" s="21" t="s">
        <v>22</v>
      </c>
      <c r="X219" s="21" t="s">
        <v>22</v>
      </c>
      <c r="Y219" s="21" t="s">
        <v>22</v>
      </c>
      <c r="Z219" s="21" t="s">
        <v>22</v>
      </c>
      <c r="AA219" s="21" t="s">
        <v>22</v>
      </c>
      <c r="AB219" s="21" t="s">
        <v>22</v>
      </c>
      <c r="AC219" s="21" t="s">
        <v>22</v>
      </c>
      <c r="AD219" s="21" t="s">
        <v>22</v>
      </c>
      <c r="AE219" s="21" t="s">
        <v>22</v>
      </c>
      <c r="AF219" s="21" t="s">
        <v>22</v>
      </c>
      <c r="AG219" s="21" t="s">
        <v>22</v>
      </c>
      <c r="AH219" s="21" t="s">
        <v>22</v>
      </c>
      <c r="AI219" s="21" t="s">
        <v>22</v>
      </c>
      <c r="AJ219" s="21" t="s">
        <v>22</v>
      </c>
      <c r="AK219" s="21" t="s">
        <v>22</v>
      </c>
      <c r="AL219" s="21" t="s">
        <v>22</v>
      </c>
      <c r="AM219" s="21" t="s">
        <v>83</v>
      </c>
      <c r="AN219" s="21" t="s">
        <v>83</v>
      </c>
      <c r="AO219" s="21" t="s">
        <v>83</v>
      </c>
      <c r="AP219" s="21" t="s">
        <v>109</v>
      </c>
      <c r="AQ219" s="21" t="s">
        <v>83</v>
      </c>
      <c r="AR219" s="21" t="s">
        <v>83</v>
      </c>
      <c r="AS219" s="21" t="s">
        <v>109</v>
      </c>
      <c r="AT219" s="21" t="s">
        <v>83</v>
      </c>
      <c r="AU219" s="21" t="s">
        <v>83</v>
      </c>
      <c r="AV219" s="21" t="s">
        <v>198</v>
      </c>
      <c r="AW219" s="21" t="s">
        <v>198</v>
      </c>
      <c r="AX219" s="21" t="s">
        <v>198</v>
      </c>
      <c r="AY219" s="21" t="s">
        <v>198</v>
      </c>
      <c r="AZ219" s="21" t="s">
        <v>83</v>
      </c>
      <c r="BA219" s="17" t="s">
        <v>328</v>
      </c>
      <c r="BB219" s="17" t="s">
        <v>219</v>
      </c>
      <c r="BC219" s="18">
        <f>--ISNUMBER(SEARCH("Radio or television",BA219))</f>
        <v>0</v>
      </c>
      <c r="BD219" s="18">
        <f>--ISNUMBER(SEARCH("Newspapers or print media",BA219))</f>
        <v>1</v>
      </c>
      <c r="BE219" s="18">
        <f>--ISNUMBER(SEARCH("Social media (e.g. Facebook, WhatsApp, YouTube, X/Twitter)",BA219))</f>
        <v>1</v>
      </c>
      <c r="BF219" s="18">
        <f>--ISNUMBER(SEARCH("Family members",BA219))</f>
        <v>1</v>
      </c>
      <c r="BG219" s="18">
        <f>--ISNUMBER(SEARCH("Friends or fellow students",BA219))</f>
        <v>0</v>
      </c>
      <c r="BH219" s="18">
        <f>--ISNUMBER(SEARCH("School coursework or lectures",BA219))</f>
        <v>0</v>
      </c>
      <c r="BI219" s="18">
        <f>--ISNUMBER(SEARCH("NHIMA outreach activities or NHIMA offices",BA219))</f>
        <v>0</v>
      </c>
      <c r="BJ219" s="18">
        <f>--ISNUMBER(SEARCH("Health facility staff",BA219))</f>
        <v>0</v>
      </c>
      <c r="BK219" s="18">
        <f>--ISNUMBER(SEARCH("not received information",BA219))</f>
        <v>0</v>
      </c>
      <c r="BL219" s="18">
        <f>IF(T219="","",--(T219='Codebook'!$F$13))</f>
        <v>1</v>
      </c>
      <c r="BM219" s="18">
        <f>IF(U219="","",--(U219='Codebook'!$F$14))</f>
        <v>0</v>
      </c>
      <c r="BN219" s="18">
        <f>IF(V219="","",--(V219='Codebook'!$F$15))</f>
        <v>0</v>
      </c>
      <c r="BO219" s="18">
        <f>IF(W219="","",--(W219='Codebook'!$F$16))</f>
        <v>1</v>
      </c>
      <c r="BP219" s="18">
        <f>IF(X219="","",--(X219='Codebook'!$F$17))</f>
        <v>1</v>
      </c>
      <c r="BQ219" s="18">
        <f>IF(Y219="","",--(Y219='Codebook'!$F$18))</f>
        <v>0</v>
      </c>
      <c r="BR219" s="18">
        <f>IF(Z219="","",--(Z219='Codebook'!$F$19))</f>
        <v>1</v>
      </c>
      <c r="BS219" s="18">
        <f>IF(AA219="","",--(AA219='Codebook'!$F$20))</f>
        <v>1</v>
      </c>
      <c r="BT219" s="18">
        <f>IF(AB219="","",--(AB219='Codebook'!$F$21))</f>
        <v>0</v>
      </c>
      <c r="BU219" s="18">
        <f>IF(AC219="","",--(AC219='Codebook'!$F$22))</f>
        <v>1</v>
      </c>
      <c r="BV219" s="18">
        <f>IF(AD219="","",--(AD219='Codebook'!$F$23))</f>
        <v>1</v>
      </c>
      <c r="BW219" s="18">
        <f>IF(AE219="","",--(AE219='Codebook'!$F$24))</f>
        <v>1</v>
      </c>
      <c r="BX219" s="18">
        <f>IF(AF219="","",--(AF219='Codebook'!$F$25))</f>
        <v>0</v>
      </c>
      <c r="BY219" s="18">
        <f>IF(AG219="","",--(AG219='Codebook'!$F$26))</f>
        <v>1</v>
      </c>
      <c r="BZ219" s="18">
        <f>IF(AH219="","",--(AH219='Codebook'!$F$27))</f>
        <v>1</v>
      </c>
      <c r="CA219" s="18">
        <f>IF(AI219="","",--(AI219='Codebook'!$F$28))</f>
        <v>0</v>
      </c>
      <c r="CB219" s="18">
        <f>IF(AJ219="","",--(AJ219='Codebook'!$F$29))</f>
        <v>0</v>
      </c>
      <c r="CC219" s="18">
        <f>IF(AK219="","",--(AK219='Codebook'!$F$30))</f>
        <v>1</v>
      </c>
      <c r="CD219" s="18">
        <f>IF(AL219="","",--(AL219='Codebook'!$F$31))</f>
        <v>0</v>
      </c>
      <c r="CE219" s="18">
        <f>IF(AM219="","",--(AM219='Codebook'!$F$32))</f>
        <v>1</v>
      </c>
      <c r="CF219" s="18">
        <f>IF(AN219="","",--(AN219='Codebook'!$F$33))</f>
        <v>1</v>
      </c>
      <c r="CG219" s="18">
        <f>IF(AO219="","",--(AO219='Codebook'!$F$34))</f>
        <v>1</v>
      </c>
      <c r="CH219" s="18">
        <f>IF(AP219="","",--(AP219='Codebook'!$F$35))</f>
        <v>0</v>
      </c>
      <c r="CI219" s="18">
        <f>IF(AQ219="","",--(AQ219='Codebook'!$F$36))</f>
        <v>1</v>
      </c>
      <c r="CJ219" s="18">
        <f>IF(AR219="","",--(AR219='Codebook'!$F$37))</f>
        <v>1</v>
      </c>
      <c r="CK219" s="18">
        <f>IF(AS219="","",--(AS219='Codebook'!$F$38))</f>
        <v>0</v>
      </c>
      <c r="CL219" s="18">
        <f>IF(AT219="","",--(AT219='Codebook'!$F$39))</f>
        <v>1</v>
      </c>
      <c r="CM219" s="18">
        <f>IF(AU219="","",--(AU219='Codebook'!$F$40))</f>
        <v>0</v>
      </c>
      <c r="CN219" s="18">
        <f>IF(AV219="","",--(AV219='Codebook'!$F$41))</f>
        <v>0</v>
      </c>
      <c r="CO219" s="18">
        <f>IF(AW219="","",--(AW219='Codebook'!$F$42))</f>
        <v>0</v>
      </c>
      <c r="CP219" s="18">
        <f>IF(AX219="","",--(AX219='Codebook'!$F$43))</f>
        <v>0</v>
      </c>
      <c r="CQ219" s="18">
        <f>IF(AY219="","",--(AY219='Codebook'!$F$44))</f>
        <v>0</v>
      </c>
      <c r="CR219" s="18">
        <f>IF(AZ219="","",--(AZ219='Codebook'!$F$45))</f>
        <v>0</v>
      </c>
    </row>
    <row r="220" spans="2:96" ht="24" customHeight="1">
      <c r="B220" s="18">
        <v>215</v>
      </c>
      <c r="C220" s="23">
        <v>46287.70000023148</v>
      </c>
      <c r="D220" s="21" t="s">
        <v>275</v>
      </c>
      <c r="E220" s="21" t="s">
        <v>206</v>
      </c>
      <c r="F220" s="21" t="s">
        <v>195</v>
      </c>
      <c r="G220" s="17" t="s">
        <v>202</v>
      </c>
      <c r="H220" s="21" t="s">
        <v>197</v>
      </c>
      <c r="I220" s="18">
        <f>SUM(BL220:BU220)</f>
        <v>5</v>
      </c>
      <c r="J220" s="18">
        <f>IF(COUNT(BV220:CD220)=9,SUM(BV220:CD220),"")</f>
        <v>6</v>
      </c>
      <c r="K220" s="18">
        <f>SUM(BL220:CD220)</f>
        <v>11</v>
      </c>
      <c r="L220" s="18">
        <f>--(K220&gt;='Codebook'!$C$8)</f>
        <v>0</v>
      </c>
      <c r="M220" s="18">
        <f>--(COUNT(BL220:CD220)=19)</f>
        <v>1</v>
      </c>
      <c r="N220" s="18">
        <f>SUM(CE220:CL220)</f>
        <v>6</v>
      </c>
      <c r="O220" s="18">
        <f>SUM(CM220:CR220)</f>
        <v>0</v>
      </c>
      <c r="P220" s="18">
        <f>N220+O220</f>
        <v>6</v>
      </c>
      <c r="Q220" s="21" t="s">
        <v>198</v>
      </c>
      <c r="R220" s="17" t="s">
        <v>155</v>
      </c>
      <c r="S220" s="18">
        <f>--OR(Overview!$B$6="All",E220=Overview!$B$6)*--OR(Overview!$F$6="All",F220=Overview!$F$6)*--OR(Overview!$J$6="All",G220=Overview!$J$6)*--OR(Overview!$N$6="All",H220=Overview!$N$6)</f>
        <v>1</v>
      </c>
      <c r="T220" s="21" t="s">
        <v>26</v>
      </c>
      <c r="U220" s="21" t="s">
        <v>22</v>
      </c>
      <c r="V220" s="21" t="s">
        <v>22</v>
      </c>
      <c r="W220" s="21" t="s">
        <v>22</v>
      </c>
      <c r="X220" s="21" t="s">
        <v>22</v>
      </c>
      <c r="Y220" s="21" t="s">
        <v>22</v>
      </c>
      <c r="Z220" s="21" t="s">
        <v>22</v>
      </c>
      <c r="AA220" s="21" t="s">
        <v>22</v>
      </c>
      <c r="AB220" s="21" t="s">
        <v>22</v>
      </c>
      <c r="AC220" s="21" t="s">
        <v>22</v>
      </c>
      <c r="AD220" s="21" t="s">
        <v>22</v>
      </c>
      <c r="AE220" s="21" t="s">
        <v>22</v>
      </c>
      <c r="AF220" s="21" t="s">
        <v>26</v>
      </c>
      <c r="AG220" s="21" t="s">
        <v>22</v>
      </c>
      <c r="AH220" s="21" t="s">
        <v>22</v>
      </c>
      <c r="AI220" s="21" t="s">
        <v>22</v>
      </c>
      <c r="AJ220" s="21" t="s">
        <v>22</v>
      </c>
      <c r="AK220" s="21" t="s">
        <v>22</v>
      </c>
      <c r="AL220" s="21" t="s">
        <v>22</v>
      </c>
      <c r="AM220" s="21" t="s">
        <v>83</v>
      </c>
      <c r="AN220" s="21" t="s">
        <v>83</v>
      </c>
      <c r="AO220" s="21" t="s">
        <v>109</v>
      </c>
      <c r="AP220" s="21" t="s">
        <v>198</v>
      </c>
      <c r="AQ220" s="21" t="s">
        <v>83</v>
      </c>
      <c r="AR220" s="21" t="s">
        <v>83</v>
      </c>
      <c r="AS220" s="21" t="s">
        <v>83</v>
      </c>
      <c r="AT220" s="21" t="s">
        <v>83</v>
      </c>
      <c r="AU220" s="21" t="s">
        <v>83</v>
      </c>
      <c r="AV220" s="21" t="s">
        <v>83</v>
      </c>
      <c r="AW220" s="21" t="s">
        <v>83</v>
      </c>
      <c r="AX220" s="21" t="s">
        <v>83</v>
      </c>
      <c r="AY220" s="21" t="s">
        <v>83</v>
      </c>
      <c r="AZ220" s="21" t="s">
        <v>83</v>
      </c>
      <c r="BA220" s="17" t="s">
        <v>258</v>
      </c>
      <c r="BB220" s="17" t="s">
        <v>219</v>
      </c>
      <c r="BC220" s="18">
        <f>--ISNUMBER(SEARCH("Radio or television",BA220))</f>
        <v>0</v>
      </c>
      <c r="BD220" s="18">
        <f>--ISNUMBER(SEARCH("Newspapers or print media",BA220))</f>
        <v>0</v>
      </c>
      <c r="BE220" s="18">
        <f>--ISNUMBER(SEARCH("Social media (e.g. Facebook, WhatsApp, YouTube, X/Twitter)",BA220))</f>
        <v>1</v>
      </c>
      <c r="BF220" s="18">
        <f>--ISNUMBER(SEARCH("Family members",BA220))</f>
        <v>1</v>
      </c>
      <c r="BG220" s="18">
        <f>--ISNUMBER(SEARCH("Friends or fellow students",BA220))</f>
        <v>1</v>
      </c>
      <c r="BH220" s="18">
        <f>--ISNUMBER(SEARCH("School coursework or lectures",BA220))</f>
        <v>0</v>
      </c>
      <c r="BI220" s="18">
        <f>--ISNUMBER(SEARCH("NHIMA outreach activities or NHIMA offices",BA220))</f>
        <v>0</v>
      </c>
      <c r="BJ220" s="18">
        <f>--ISNUMBER(SEARCH("Health facility staff",BA220))</f>
        <v>0</v>
      </c>
      <c r="BK220" s="18">
        <f>--ISNUMBER(SEARCH("not received information",BA220))</f>
        <v>0</v>
      </c>
      <c r="BL220" s="18">
        <f>IF(T220="","",--(T220='Codebook'!$F$13))</f>
        <v>0</v>
      </c>
      <c r="BM220" s="18">
        <f>IF(U220="","",--(U220='Codebook'!$F$14))</f>
        <v>0</v>
      </c>
      <c r="BN220" s="18">
        <f>IF(V220="","",--(V220='Codebook'!$F$15))</f>
        <v>0</v>
      </c>
      <c r="BO220" s="18">
        <f>IF(W220="","",--(W220='Codebook'!$F$16))</f>
        <v>1</v>
      </c>
      <c r="BP220" s="18">
        <f>IF(X220="","",--(X220='Codebook'!$F$17))</f>
        <v>1</v>
      </c>
      <c r="BQ220" s="18">
        <f>IF(Y220="","",--(Y220='Codebook'!$F$18))</f>
        <v>0</v>
      </c>
      <c r="BR220" s="18">
        <f>IF(Z220="","",--(Z220='Codebook'!$F$19))</f>
        <v>1</v>
      </c>
      <c r="BS220" s="18">
        <f>IF(AA220="","",--(AA220='Codebook'!$F$20))</f>
        <v>1</v>
      </c>
      <c r="BT220" s="18">
        <f>IF(AB220="","",--(AB220='Codebook'!$F$21))</f>
        <v>0</v>
      </c>
      <c r="BU220" s="18">
        <f>IF(AC220="","",--(AC220='Codebook'!$F$22))</f>
        <v>1</v>
      </c>
      <c r="BV220" s="18">
        <f>IF(AD220="","",--(AD220='Codebook'!$F$23))</f>
        <v>1</v>
      </c>
      <c r="BW220" s="18">
        <f>IF(AE220="","",--(AE220='Codebook'!$F$24))</f>
        <v>1</v>
      </c>
      <c r="BX220" s="18">
        <f>IF(AF220="","",--(AF220='Codebook'!$F$25))</f>
        <v>1</v>
      </c>
      <c r="BY220" s="18">
        <f>IF(AG220="","",--(AG220='Codebook'!$F$26))</f>
        <v>1</v>
      </c>
      <c r="BZ220" s="18">
        <f>IF(AH220="","",--(AH220='Codebook'!$F$27))</f>
        <v>1</v>
      </c>
      <c r="CA220" s="18">
        <f>IF(AI220="","",--(AI220='Codebook'!$F$28))</f>
        <v>0</v>
      </c>
      <c r="CB220" s="18">
        <f>IF(AJ220="","",--(AJ220='Codebook'!$F$29))</f>
        <v>0</v>
      </c>
      <c r="CC220" s="18">
        <f>IF(AK220="","",--(AK220='Codebook'!$F$30))</f>
        <v>1</v>
      </c>
      <c r="CD220" s="18">
        <f>IF(AL220="","",--(AL220='Codebook'!$F$31))</f>
        <v>0</v>
      </c>
      <c r="CE220" s="18">
        <f>IF(AM220="","",--(AM220='Codebook'!$F$32))</f>
        <v>1</v>
      </c>
      <c r="CF220" s="18">
        <f>IF(AN220="","",--(AN220='Codebook'!$F$33))</f>
        <v>1</v>
      </c>
      <c r="CG220" s="18">
        <f>IF(AO220="","",--(AO220='Codebook'!$F$34))</f>
        <v>0</v>
      </c>
      <c r="CH220" s="18">
        <f>IF(AP220="","",--(AP220='Codebook'!$F$35))</f>
        <v>0</v>
      </c>
      <c r="CI220" s="18">
        <f>IF(AQ220="","",--(AQ220='Codebook'!$F$36))</f>
        <v>1</v>
      </c>
      <c r="CJ220" s="18">
        <f>IF(AR220="","",--(AR220='Codebook'!$F$37))</f>
        <v>1</v>
      </c>
      <c r="CK220" s="18">
        <f>IF(AS220="","",--(AS220='Codebook'!$F$38))</f>
        <v>1</v>
      </c>
      <c r="CL220" s="18">
        <f>IF(AT220="","",--(AT220='Codebook'!$F$39))</f>
        <v>1</v>
      </c>
      <c r="CM220" s="18">
        <f>IF(AU220="","",--(AU220='Codebook'!$F$40))</f>
        <v>0</v>
      </c>
      <c r="CN220" s="18">
        <f>IF(AV220="","",--(AV220='Codebook'!$F$41))</f>
        <v>0</v>
      </c>
      <c r="CO220" s="18">
        <f>IF(AW220="","",--(AW220='Codebook'!$F$42))</f>
        <v>0</v>
      </c>
      <c r="CP220" s="18">
        <f>IF(AX220="","",--(AX220='Codebook'!$F$43))</f>
        <v>0</v>
      </c>
      <c r="CQ220" s="18">
        <f>IF(AY220="","",--(AY220='Codebook'!$F$44))</f>
        <v>0</v>
      </c>
      <c r="CR220" s="18">
        <f>IF(AZ220="","",--(AZ220='Codebook'!$F$45))</f>
        <v>0</v>
      </c>
    </row>
    <row r="221" spans="2:96" ht="24" customHeight="1">
      <c r="B221" s="18">
        <v>216</v>
      </c>
      <c r="C221" s="23">
        <v>46287.70060502315</v>
      </c>
      <c r="D221" s="21" t="s">
        <v>275</v>
      </c>
      <c r="E221" s="21" t="s">
        <v>206</v>
      </c>
      <c r="F221" s="21" t="s">
        <v>195</v>
      </c>
      <c r="G221" s="17" t="s">
        <v>247</v>
      </c>
      <c r="H221" s="21" t="s">
        <v>197</v>
      </c>
      <c r="I221" s="18">
        <f>SUM(BL221:BU221)</f>
        <v>6</v>
      </c>
      <c r="J221" s="18">
        <f>IF(COUNT(BV221:CD221)=9,SUM(BV221:CD221),"")</f>
        <v>5</v>
      </c>
      <c r="K221" s="18">
        <f>SUM(BL221:CD221)</f>
        <v>11</v>
      </c>
      <c r="L221" s="18">
        <f>--(K221&gt;='Codebook'!$C$8)</f>
        <v>0</v>
      </c>
      <c r="M221" s="18">
        <f>--(COUNT(BL221:CD221)=19)</f>
        <v>1</v>
      </c>
      <c r="N221" s="18">
        <f>SUM(CE221:CL221)</f>
        <v>8</v>
      </c>
      <c r="O221" s="18">
        <f>SUM(CM221:CR221)</f>
        <v>1</v>
      </c>
      <c r="P221" s="18">
        <f>N221+O221</f>
        <v>9</v>
      </c>
      <c r="Q221" s="21" t="s">
        <v>207</v>
      </c>
      <c r="R221" s="17" t="s">
        <v>154</v>
      </c>
      <c r="S221" s="18">
        <f>--OR(Overview!$B$6="All",E221=Overview!$B$6)*--OR(Overview!$F$6="All",F221=Overview!$F$6)*--OR(Overview!$J$6="All",G221=Overview!$J$6)*--OR(Overview!$N$6="All",H221=Overview!$N$6)</f>
        <v>1</v>
      </c>
      <c r="T221" s="21" t="s">
        <v>22</v>
      </c>
      <c r="U221" s="21" t="s">
        <v>22</v>
      </c>
      <c r="V221" s="21" t="s">
        <v>22</v>
      </c>
      <c r="W221" s="21" t="s">
        <v>22</v>
      </c>
      <c r="X221" s="21" t="s">
        <v>22</v>
      </c>
      <c r="Y221" s="21" t="s">
        <v>22</v>
      </c>
      <c r="Z221" s="21" t="s">
        <v>22</v>
      </c>
      <c r="AA221" s="21" t="s">
        <v>22</v>
      </c>
      <c r="AB221" s="21" t="s">
        <v>22</v>
      </c>
      <c r="AC221" s="21" t="s">
        <v>22</v>
      </c>
      <c r="AD221" s="21" t="s">
        <v>22</v>
      </c>
      <c r="AE221" s="21" t="s">
        <v>22</v>
      </c>
      <c r="AF221" s="21" t="s">
        <v>22</v>
      </c>
      <c r="AG221" s="21" t="s">
        <v>22</v>
      </c>
      <c r="AH221" s="21" t="s">
        <v>22</v>
      </c>
      <c r="AI221" s="21" t="s">
        <v>22</v>
      </c>
      <c r="AJ221" s="21" t="s">
        <v>22</v>
      </c>
      <c r="AK221" s="21" t="s">
        <v>22</v>
      </c>
      <c r="AL221" s="21" t="s">
        <v>22</v>
      </c>
      <c r="AM221" s="21" t="s">
        <v>83</v>
      </c>
      <c r="AN221" s="21" t="s">
        <v>83</v>
      </c>
      <c r="AO221" s="21" t="s">
        <v>83</v>
      </c>
      <c r="AP221" s="21" t="s">
        <v>83</v>
      </c>
      <c r="AQ221" s="21" t="s">
        <v>83</v>
      </c>
      <c r="AR221" s="21" t="s">
        <v>83</v>
      </c>
      <c r="AS221" s="21" t="s">
        <v>83</v>
      </c>
      <c r="AT221" s="21" t="s">
        <v>83</v>
      </c>
      <c r="AU221" s="21" t="s">
        <v>83</v>
      </c>
      <c r="AV221" s="21" t="s">
        <v>83</v>
      </c>
      <c r="AW221" s="21" t="s">
        <v>83</v>
      </c>
      <c r="AX221" s="21" t="s">
        <v>198</v>
      </c>
      <c r="AY221" s="21" t="s">
        <v>83</v>
      </c>
      <c r="AZ221" s="21" t="s">
        <v>109</v>
      </c>
      <c r="BA221" s="17" t="s">
        <v>252</v>
      </c>
      <c r="BB221" s="17" t="s">
        <v>250</v>
      </c>
      <c r="BC221" s="18">
        <f>--ISNUMBER(SEARCH("Radio or television",BA221))</f>
        <v>1</v>
      </c>
      <c r="BD221" s="18">
        <f>--ISNUMBER(SEARCH("Newspapers or print media",BA221))</f>
        <v>0</v>
      </c>
      <c r="BE221" s="18">
        <f>--ISNUMBER(SEARCH("Social media (e.g. Facebook, WhatsApp, YouTube, X/Twitter)",BA221))</f>
        <v>1</v>
      </c>
      <c r="BF221" s="18">
        <f>--ISNUMBER(SEARCH("Family members",BA221))</f>
        <v>1</v>
      </c>
      <c r="BG221" s="18">
        <f>--ISNUMBER(SEARCH("Friends or fellow students",BA221))</f>
        <v>0</v>
      </c>
      <c r="BH221" s="18">
        <f>--ISNUMBER(SEARCH("School coursework or lectures",BA221))</f>
        <v>0</v>
      </c>
      <c r="BI221" s="18">
        <f>--ISNUMBER(SEARCH("NHIMA outreach activities or NHIMA offices",BA221))</f>
        <v>0</v>
      </c>
      <c r="BJ221" s="18">
        <f>--ISNUMBER(SEARCH("Health facility staff",BA221))</f>
        <v>0</v>
      </c>
      <c r="BK221" s="18">
        <f>--ISNUMBER(SEARCH("not received information",BA221))</f>
        <v>0</v>
      </c>
      <c r="BL221" s="18">
        <f>IF(T221="","",--(T221='Codebook'!$F$13))</f>
        <v>1</v>
      </c>
      <c r="BM221" s="18">
        <f>IF(U221="","",--(U221='Codebook'!$F$14))</f>
        <v>0</v>
      </c>
      <c r="BN221" s="18">
        <f>IF(V221="","",--(V221='Codebook'!$F$15))</f>
        <v>0</v>
      </c>
      <c r="BO221" s="18">
        <f>IF(W221="","",--(W221='Codebook'!$F$16))</f>
        <v>1</v>
      </c>
      <c r="BP221" s="18">
        <f>IF(X221="","",--(X221='Codebook'!$F$17))</f>
        <v>1</v>
      </c>
      <c r="BQ221" s="18">
        <f>IF(Y221="","",--(Y221='Codebook'!$F$18))</f>
        <v>0</v>
      </c>
      <c r="BR221" s="18">
        <f>IF(Z221="","",--(Z221='Codebook'!$F$19))</f>
        <v>1</v>
      </c>
      <c r="BS221" s="18">
        <f>IF(AA221="","",--(AA221='Codebook'!$F$20))</f>
        <v>1</v>
      </c>
      <c r="BT221" s="18">
        <f>IF(AB221="","",--(AB221='Codebook'!$F$21))</f>
        <v>0</v>
      </c>
      <c r="BU221" s="18">
        <f>IF(AC221="","",--(AC221='Codebook'!$F$22))</f>
        <v>1</v>
      </c>
      <c r="BV221" s="18">
        <f>IF(AD221="","",--(AD221='Codebook'!$F$23))</f>
        <v>1</v>
      </c>
      <c r="BW221" s="18">
        <f>IF(AE221="","",--(AE221='Codebook'!$F$24))</f>
        <v>1</v>
      </c>
      <c r="BX221" s="18">
        <f>IF(AF221="","",--(AF221='Codebook'!$F$25))</f>
        <v>0</v>
      </c>
      <c r="BY221" s="18">
        <f>IF(AG221="","",--(AG221='Codebook'!$F$26))</f>
        <v>1</v>
      </c>
      <c r="BZ221" s="18">
        <f>IF(AH221="","",--(AH221='Codebook'!$F$27))</f>
        <v>1</v>
      </c>
      <c r="CA221" s="18">
        <f>IF(AI221="","",--(AI221='Codebook'!$F$28))</f>
        <v>0</v>
      </c>
      <c r="CB221" s="18">
        <f>IF(AJ221="","",--(AJ221='Codebook'!$F$29))</f>
        <v>0</v>
      </c>
      <c r="CC221" s="18">
        <f>IF(AK221="","",--(AK221='Codebook'!$F$30))</f>
        <v>1</v>
      </c>
      <c r="CD221" s="18">
        <f>IF(AL221="","",--(AL221='Codebook'!$F$31))</f>
        <v>0</v>
      </c>
      <c r="CE221" s="18">
        <f>IF(AM221="","",--(AM221='Codebook'!$F$32))</f>
        <v>1</v>
      </c>
      <c r="CF221" s="18">
        <f>IF(AN221="","",--(AN221='Codebook'!$F$33))</f>
        <v>1</v>
      </c>
      <c r="CG221" s="18">
        <f>IF(AO221="","",--(AO221='Codebook'!$F$34))</f>
        <v>1</v>
      </c>
      <c r="CH221" s="18">
        <f>IF(AP221="","",--(AP221='Codebook'!$F$35))</f>
        <v>1</v>
      </c>
      <c r="CI221" s="18">
        <f>IF(AQ221="","",--(AQ221='Codebook'!$F$36))</f>
        <v>1</v>
      </c>
      <c r="CJ221" s="18">
        <f>IF(AR221="","",--(AR221='Codebook'!$F$37))</f>
        <v>1</v>
      </c>
      <c r="CK221" s="18">
        <f>IF(AS221="","",--(AS221='Codebook'!$F$38))</f>
        <v>1</v>
      </c>
      <c r="CL221" s="18">
        <f>IF(AT221="","",--(AT221='Codebook'!$F$39))</f>
        <v>1</v>
      </c>
      <c r="CM221" s="18">
        <f>IF(AU221="","",--(AU221='Codebook'!$F$40))</f>
        <v>0</v>
      </c>
      <c r="CN221" s="18">
        <f>IF(AV221="","",--(AV221='Codebook'!$F$41))</f>
        <v>0</v>
      </c>
      <c r="CO221" s="18">
        <f>IF(AW221="","",--(AW221='Codebook'!$F$42))</f>
        <v>0</v>
      </c>
      <c r="CP221" s="18">
        <f>IF(AX221="","",--(AX221='Codebook'!$F$43))</f>
        <v>0</v>
      </c>
      <c r="CQ221" s="18">
        <f>IF(AY221="","",--(AY221='Codebook'!$F$44))</f>
        <v>0</v>
      </c>
      <c r="CR221" s="18">
        <f>IF(AZ221="","",--(AZ221='Codebook'!$F$45))</f>
        <v>1</v>
      </c>
    </row>
    <row r="222" spans="2:96" ht="24" customHeight="1">
      <c r="B222" s="18">
        <v>217</v>
      </c>
      <c r="C222" s="23">
        <v>46287.70124793982</v>
      </c>
      <c r="D222" s="21" t="s">
        <v>275</v>
      </c>
      <c r="E222" s="21" t="s">
        <v>206</v>
      </c>
      <c r="F222" s="21" t="s">
        <v>195</v>
      </c>
      <c r="G222" s="17" t="s">
        <v>215</v>
      </c>
      <c r="H222" s="21" t="s">
        <v>197</v>
      </c>
      <c r="I222" s="18">
        <f>SUM(BL222:BU222)</f>
        <v>5</v>
      </c>
      <c r="J222" s="18">
        <f>IF(COUNT(BV222:CD222)=9,SUM(BV222:CD222),"")</f>
        <v>0</v>
      </c>
      <c r="K222" s="18">
        <f>SUM(BL222:CD222)</f>
        <v>5</v>
      </c>
      <c r="L222" s="18">
        <f>--(K222&gt;='Codebook'!$C$8)</f>
        <v>0</v>
      </c>
      <c r="M222" s="18">
        <f>--(COUNT(BL222:CD222)=19)</f>
        <v>1</v>
      </c>
      <c r="N222" s="18">
        <f>SUM(CE222:CL222)</f>
        <v>4</v>
      </c>
      <c r="O222" s="18">
        <f>SUM(CM222:CR222)</f>
        <v>2</v>
      </c>
      <c r="P222" s="18">
        <f>N222+O222</f>
        <v>6</v>
      </c>
      <c r="Q222" s="21" t="s">
        <v>198</v>
      </c>
      <c r="R222" s="17" t="s">
        <v>156</v>
      </c>
      <c r="S222" s="18">
        <f>--OR(Overview!$B$6="All",E222=Overview!$B$6)*--OR(Overview!$F$6="All",F222=Overview!$F$6)*--OR(Overview!$J$6="All",G222=Overview!$J$6)*--OR(Overview!$N$6="All",H222=Overview!$N$6)</f>
        <v>1</v>
      </c>
      <c r="T222" s="21" t="s">
        <v>22</v>
      </c>
      <c r="U222" s="21" t="s">
        <v>198</v>
      </c>
      <c r="V222" s="21" t="s">
        <v>22</v>
      </c>
      <c r="W222" s="21" t="s">
        <v>198</v>
      </c>
      <c r="X222" s="21" t="s">
        <v>22</v>
      </c>
      <c r="Y222" s="21" t="s">
        <v>198</v>
      </c>
      <c r="Z222" s="21" t="s">
        <v>22</v>
      </c>
      <c r="AA222" s="21" t="s">
        <v>22</v>
      </c>
      <c r="AB222" s="21" t="s">
        <v>198</v>
      </c>
      <c r="AC222" s="21" t="s">
        <v>22</v>
      </c>
      <c r="AD222" s="21" t="s">
        <v>198</v>
      </c>
      <c r="AE222" s="21" t="s">
        <v>198</v>
      </c>
      <c r="AF222" s="21" t="s">
        <v>22</v>
      </c>
      <c r="AG222" s="21" t="s">
        <v>198</v>
      </c>
      <c r="AH222" s="21" t="s">
        <v>198</v>
      </c>
      <c r="AI222" s="21" t="s">
        <v>22</v>
      </c>
      <c r="AJ222" s="21" t="s">
        <v>198</v>
      </c>
      <c r="AK222" s="21" t="s">
        <v>198</v>
      </c>
      <c r="AL222" s="21" t="s">
        <v>198</v>
      </c>
      <c r="AM222" s="21" t="s">
        <v>83</v>
      </c>
      <c r="AN222" s="21" t="s">
        <v>198</v>
      </c>
      <c r="AO222" s="21" t="s">
        <v>83</v>
      </c>
      <c r="AP222" s="21" t="s">
        <v>198</v>
      </c>
      <c r="AQ222" s="21" t="s">
        <v>83</v>
      </c>
      <c r="AR222" s="21" t="s">
        <v>198</v>
      </c>
      <c r="AS222" s="21" t="s">
        <v>83</v>
      </c>
      <c r="AT222" s="21" t="s">
        <v>198</v>
      </c>
      <c r="AU222" s="21" t="s">
        <v>109</v>
      </c>
      <c r="AV222" s="21" t="s">
        <v>109</v>
      </c>
      <c r="AW222" s="21" t="s">
        <v>83</v>
      </c>
      <c r="AX222" s="21" t="s">
        <v>83</v>
      </c>
      <c r="AY222" s="21" t="s">
        <v>83</v>
      </c>
      <c r="AZ222" s="21" t="s">
        <v>83</v>
      </c>
      <c r="BA222" s="17" t="s">
        <v>258</v>
      </c>
      <c r="BB222" s="17" t="s">
        <v>313</v>
      </c>
      <c r="BC222" s="18">
        <f>--ISNUMBER(SEARCH("Radio or television",BA222))</f>
        <v>0</v>
      </c>
      <c r="BD222" s="18">
        <f>--ISNUMBER(SEARCH("Newspapers or print media",BA222))</f>
        <v>0</v>
      </c>
      <c r="BE222" s="18">
        <f>--ISNUMBER(SEARCH("Social media (e.g. Facebook, WhatsApp, YouTube, X/Twitter)",BA222))</f>
        <v>1</v>
      </c>
      <c r="BF222" s="18">
        <f>--ISNUMBER(SEARCH("Family members",BA222))</f>
        <v>1</v>
      </c>
      <c r="BG222" s="18">
        <f>--ISNUMBER(SEARCH("Friends or fellow students",BA222))</f>
        <v>1</v>
      </c>
      <c r="BH222" s="18">
        <f>--ISNUMBER(SEARCH("School coursework or lectures",BA222))</f>
        <v>0</v>
      </c>
      <c r="BI222" s="18">
        <f>--ISNUMBER(SEARCH("NHIMA outreach activities or NHIMA offices",BA222))</f>
        <v>0</v>
      </c>
      <c r="BJ222" s="18">
        <f>--ISNUMBER(SEARCH("Health facility staff",BA222))</f>
        <v>0</v>
      </c>
      <c r="BK222" s="18">
        <f>--ISNUMBER(SEARCH("not received information",BA222))</f>
        <v>0</v>
      </c>
      <c r="BL222" s="18">
        <f>IF(T222="","",--(T222='Codebook'!$F$13))</f>
        <v>1</v>
      </c>
      <c r="BM222" s="18">
        <f>IF(U222="","",--(U222='Codebook'!$F$14))</f>
        <v>0</v>
      </c>
      <c r="BN222" s="18">
        <f>IF(V222="","",--(V222='Codebook'!$F$15))</f>
        <v>0</v>
      </c>
      <c r="BO222" s="18">
        <f>IF(W222="","",--(W222='Codebook'!$F$16))</f>
        <v>0</v>
      </c>
      <c r="BP222" s="18">
        <f>IF(X222="","",--(X222='Codebook'!$F$17))</f>
        <v>1</v>
      </c>
      <c r="BQ222" s="18">
        <f>IF(Y222="","",--(Y222='Codebook'!$F$18))</f>
        <v>0</v>
      </c>
      <c r="BR222" s="18">
        <f>IF(Z222="","",--(Z222='Codebook'!$F$19))</f>
        <v>1</v>
      </c>
      <c r="BS222" s="18">
        <f>IF(AA222="","",--(AA222='Codebook'!$F$20))</f>
        <v>1</v>
      </c>
      <c r="BT222" s="18">
        <f>IF(AB222="","",--(AB222='Codebook'!$F$21))</f>
        <v>0</v>
      </c>
      <c r="BU222" s="18">
        <f>IF(AC222="","",--(AC222='Codebook'!$F$22))</f>
        <v>1</v>
      </c>
      <c r="BV222" s="18">
        <f>IF(AD222="","",--(AD222='Codebook'!$F$23))</f>
        <v>0</v>
      </c>
      <c r="BW222" s="18">
        <f>IF(AE222="","",--(AE222='Codebook'!$F$24))</f>
        <v>0</v>
      </c>
      <c r="BX222" s="18">
        <f>IF(AF222="","",--(AF222='Codebook'!$F$25))</f>
        <v>0</v>
      </c>
      <c r="BY222" s="18">
        <f>IF(AG222="","",--(AG222='Codebook'!$F$26))</f>
        <v>0</v>
      </c>
      <c r="BZ222" s="18">
        <f>IF(AH222="","",--(AH222='Codebook'!$F$27))</f>
        <v>0</v>
      </c>
      <c r="CA222" s="18">
        <f>IF(AI222="","",--(AI222='Codebook'!$F$28))</f>
        <v>0</v>
      </c>
      <c r="CB222" s="18">
        <f>IF(AJ222="","",--(AJ222='Codebook'!$F$29))</f>
        <v>0</v>
      </c>
      <c r="CC222" s="18">
        <f>IF(AK222="","",--(AK222='Codebook'!$F$30))</f>
        <v>0</v>
      </c>
      <c r="CD222" s="18">
        <f>IF(AL222="","",--(AL222='Codebook'!$F$31))</f>
        <v>0</v>
      </c>
      <c r="CE222" s="18">
        <f>IF(AM222="","",--(AM222='Codebook'!$F$32))</f>
        <v>1</v>
      </c>
      <c r="CF222" s="18">
        <f>IF(AN222="","",--(AN222='Codebook'!$F$33))</f>
        <v>0</v>
      </c>
      <c r="CG222" s="18">
        <f>IF(AO222="","",--(AO222='Codebook'!$F$34))</f>
        <v>1</v>
      </c>
      <c r="CH222" s="18">
        <f>IF(AP222="","",--(AP222='Codebook'!$F$35))</f>
        <v>0</v>
      </c>
      <c r="CI222" s="18">
        <f>IF(AQ222="","",--(AQ222='Codebook'!$F$36))</f>
        <v>1</v>
      </c>
      <c r="CJ222" s="18">
        <f>IF(AR222="","",--(AR222='Codebook'!$F$37))</f>
        <v>0</v>
      </c>
      <c r="CK222" s="18">
        <f>IF(AS222="","",--(AS222='Codebook'!$F$38))</f>
        <v>1</v>
      </c>
      <c r="CL222" s="18">
        <f>IF(AT222="","",--(AT222='Codebook'!$F$39))</f>
        <v>0</v>
      </c>
      <c r="CM222" s="18">
        <f>IF(AU222="","",--(AU222='Codebook'!$F$40))</f>
        <v>1</v>
      </c>
      <c r="CN222" s="18">
        <f>IF(AV222="","",--(AV222='Codebook'!$F$41))</f>
        <v>1</v>
      </c>
      <c r="CO222" s="18">
        <f>IF(AW222="","",--(AW222='Codebook'!$F$42))</f>
        <v>0</v>
      </c>
      <c r="CP222" s="18">
        <f>IF(AX222="","",--(AX222='Codebook'!$F$43))</f>
        <v>0</v>
      </c>
      <c r="CQ222" s="18">
        <f>IF(AY222="","",--(AY222='Codebook'!$F$44))</f>
        <v>0</v>
      </c>
      <c r="CR222" s="18">
        <f>IF(AZ222="","",--(AZ222='Codebook'!$F$45))</f>
        <v>0</v>
      </c>
    </row>
    <row r="223" spans="2:96" ht="24" customHeight="1">
      <c r="B223" s="18">
        <v>218</v>
      </c>
      <c r="C223" s="23">
        <v>46287.70187032408</v>
      </c>
      <c r="D223" s="21" t="s">
        <v>275</v>
      </c>
      <c r="E223" s="21" t="s">
        <v>194</v>
      </c>
      <c r="F223" s="21" t="s">
        <v>195</v>
      </c>
      <c r="G223" s="17" t="s">
        <v>247</v>
      </c>
      <c r="H223" s="21" t="s">
        <v>197</v>
      </c>
      <c r="I223" s="18">
        <f>SUM(BL223:BU223)</f>
        <v>7</v>
      </c>
      <c r="J223" s="18">
        <f>IF(COUNT(BV223:CD223)=9,SUM(BV223:CD223),"")</f>
        <v>2</v>
      </c>
      <c r="K223" s="18">
        <f>SUM(BL223:CD223)</f>
        <v>9</v>
      </c>
      <c r="L223" s="18">
        <f>--(K223&gt;='Codebook'!$C$8)</f>
        <v>0</v>
      </c>
      <c r="M223" s="18">
        <f>--(COUNT(BL223:CD223)=19)</f>
        <v>1</v>
      </c>
      <c r="N223" s="18">
        <f>SUM(CE223:CL223)</f>
        <v>5</v>
      </c>
      <c r="O223" s="18">
        <f>SUM(CM223:CR223)</f>
        <v>1</v>
      </c>
      <c r="P223" s="18">
        <f>N223+O223</f>
        <v>6</v>
      </c>
      <c r="Q223" s="21" t="s">
        <v>207</v>
      </c>
      <c r="R223" s="17" t="s">
        <v>154</v>
      </c>
      <c r="S223" s="18">
        <f>--OR(Overview!$B$6="All",E223=Overview!$B$6)*--OR(Overview!$F$6="All",F223=Overview!$F$6)*--OR(Overview!$J$6="All",G223=Overview!$J$6)*--OR(Overview!$N$6="All",H223=Overview!$N$6)</f>
        <v>1</v>
      </c>
      <c r="T223" s="21" t="s">
        <v>22</v>
      </c>
      <c r="U223" s="21" t="s">
        <v>22</v>
      </c>
      <c r="V223" s="21" t="s">
        <v>22</v>
      </c>
      <c r="W223" s="21" t="s">
        <v>22</v>
      </c>
      <c r="X223" s="21" t="s">
        <v>22</v>
      </c>
      <c r="Y223" s="21" t="s">
        <v>26</v>
      </c>
      <c r="Z223" s="21" t="s">
        <v>22</v>
      </c>
      <c r="AA223" s="21" t="s">
        <v>22</v>
      </c>
      <c r="AB223" s="21" t="s">
        <v>22</v>
      </c>
      <c r="AC223" s="21" t="s">
        <v>22</v>
      </c>
      <c r="AD223" s="21" t="s">
        <v>22</v>
      </c>
      <c r="AE223" s="21" t="s">
        <v>26</v>
      </c>
      <c r="AF223" s="21" t="s">
        <v>26</v>
      </c>
      <c r="AG223" s="21" t="s">
        <v>26</v>
      </c>
      <c r="AH223" s="21" t="s">
        <v>26</v>
      </c>
      <c r="AI223" s="21" t="s">
        <v>22</v>
      </c>
      <c r="AJ223" s="21" t="s">
        <v>22</v>
      </c>
      <c r="AK223" s="21" t="s">
        <v>198</v>
      </c>
      <c r="AL223" s="21" t="s">
        <v>22</v>
      </c>
      <c r="AM223" s="21" t="s">
        <v>198</v>
      </c>
      <c r="AN223" s="21" t="s">
        <v>83</v>
      </c>
      <c r="AO223" s="21" t="s">
        <v>83</v>
      </c>
      <c r="AP223" s="21" t="s">
        <v>198</v>
      </c>
      <c r="AQ223" s="21" t="s">
        <v>83</v>
      </c>
      <c r="AR223" s="21" t="s">
        <v>198</v>
      </c>
      <c r="AS223" s="21" t="s">
        <v>83</v>
      </c>
      <c r="AT223" s="21" t="s">
        <v>83</v>
      </c>
      <c r="AU223" s="21" t="s">
        <v>83</v>
      </c>
      <c r="AV223" s="21" t="s">
        <v>83</v>
      </c>
      <c r="AW223" s="21" t="s">
        <v>83</v>
      </c>
      <c r="AX223" s="21" t="s">
        <v>109</v>
      </c>
      <c r="AY223" s="21" t="s">
        <v>198</v>
      </c>
      <c r="AZ223" s="21" t="s">
        <v>83</v>
      </c>
      <c r="BA223" s="17" t="s">
        <v>329</v>
      </c>
      <c r="BB223" s="17" t="s">
        <v>250</v>
      </c>
      <c r="BC223" s="18">
        <f>--ISNUMBER(SEARCH("Radio or television",BA223))</f>
        <v>0</v>
      </c>
      <c r="BD223" s="18">
        <f>--ISNUMBER(SEARCH("Newspapers or print media",BA223))</f>
        <v>0</v>
      </c>
      <c r="BE223" s="18">
        <f>--ISNUMBER(SEARCH("Social media (e.g. Facebook, WhatsApp, YouTube, X/Twitter)",BA223))</f>
        <v>1</v>
      </c>
      <c r="BF223" s="18">
        <f>--ISNUMBER(SEARCH("Family members",BA223))</f>
        <v>0</v>
      </c>
      <c r="BG223" s="18">
        <f>--ISNUMBER(SEARCH("Friends or fellow students",BA223))</f>
        <v>0</v>
      </c>
      <c r="BH223" s="18">
        <f>--ISNUMBER(SEARCH("School coursework or lectures",BA223))</f>
        <v>1</v>
      </c>
      <c r="BI223" s="18">
        <f>--ISNUMBER(SEARCH("NHIMA outreach activities or NHIMA offices",BA223))</f>
        <v>0</v>
      </c>
      <c r="BJ223" s="18">
        <f>--ISNUMBER(SEARCH("Health facility staff",BA223))</f>
        <v>0</v>
      </c>
      <c r="BK223" s="18">
        <f>--ISNUMBER(SEARCH("not received information",BA223))</f>
        <v>0</v>
      </c>
      <c r="BL223" s="18">
        <f>IF(T223="","",--(T223='Codebook'!$F$13))</f>
        <v>1</v>
      </c>
      <c r="BM223" s="18">
        <f>IF(U223="","",--(U223='Codebook'!$F$14))</f>
        <v>0</v>
      </c>
      <c r="BN223" s="18">
        <f>IF(V223="","",--(V223='Codebook'!$F$15))</f>
        <v>0</v>
      </c>
      <c r="BO223" s="18">
        <f>IF(W223="","",--(W223='Codebook'!$F$16))</f>
        <v>1</v>
      </c>
      <c r="BP223" s="18">
        <f>IF(X223="","",--(X223='Codebook'!$F$17))</f>
        <v>1</v>
      </c>
      <c r="BQ223" s="18">
        <f>IF(Y223="","",--(Y223='Codebook'!$F$18))</f>
        <v>1</v>
      </c>
      <c r="BR223" s="18">
        <f>IF(Z223="","",--(Z223='Codebook'!$F$19))</f>
        <v>1</v>
      </c>
      <c r="BS223" s="18">
        <f>IF(AA223="","",--(AA223='Codebook'!$F$20))</f>
        <v>1</v>
      </c>
      <c r="BT223" s="18">
        <f>IF(AB223="","",--(AB223='Codebook'!$F$21))</f>
        <v>0</v>
      </c>
      <c r="BU223" s="18">
        <f>IF(AC223="","",--(AC223='Codebook'!$F$22))</f>
        <v>1</v>
      </c>
      <c r="BV223" s="18">
        <f>IF(AD223="","",--(AD223='Codebook'!$F$23))</f>
        <v>1</v>
      </c>
      <c r="BW223" s="18">
        <f>IF(AE223="","",--(AE223='Codebook'!$F$24))</f>
        <v>0</v>
      </c>
      <c r="BX223" s="18">
        <f>IF(AF223="","",--(AF223='Codebook'!$F$25))</f>
        <v>1</v>
      </c>
      <c r="BY223" s="18">
        <f>IF(AG223="","",--(AG223='Codebook'!$F$26))</f>
        <v>0</v>
      </c>
      <c r="BZ223" s="18">
        <f>IF(AH223="","",--(AH223='Codebook'!$F$27))</f>
        <v>0</v>
      </c>
      <c r="CA223" s="18">
        <f>IF(AI223="","",--(AI223='Codebook'!$F$28))</f>
        <v>0</v>
      </c>
      <c r="CB223" s="18">
        <f>IF(AJ223="","",--(AJ223='Codebook'!$F$29))</f>
        <v>0</v>
      </c>
      <c r="CC223" s="18">
        <f>IF(AK223="","",--(AK223='Codebook'!$F$30))</f>
        <v>0</v>
      </c>
      <c r="CD223" s="18">
        <f>IF(AL223="","",--(AL223='Codebook'!$F$31))</f>
        <v>0</v>
      </c>
      <c r="CE223" s="18">
        <f>IF(AM223="","",--(AM223='Codebook'!$F$32))</f>
        <v>0</v>
      </c>
      <c r="CF223" s="18">
        <f>IF(AN223="","",--(AN223='Codebook'!$F$33))</f>
        <v>1</v>
      </c>
      <c r="CG223" s="18">
        <f>IF(AO223="","",--(AO223='Codebook'!$F$34))</f>
        <v>1</v>
      </c>
      <c r="CH223" s="18">
        <f>IF(AP223="","",--(AP223='Codebook'!$F$35))</f>
        <v>0</v>
      </c>
      <c r="CI223" s="18">
        <f>IF(AQ223="","",--(AQ223='Codebook'!$F$36))</f>
        <v>1</v>
      </c>
      <c r="CJ223" s="18">
        <f>IF(AR223="","",--(AR223='Codebook'!$F$37))</f>
        <v>0</v>
      </c>
      <c r="CK223" s="18">
        <f>IF(AS223="","",--(AS223='Codebook'!$F$38))</f>
        <v>1</v>
      </c>
      <c r="CL223" s="18">
        <f>IF(AT223="","",--(AT223='Codebook'!$F$39))</f>
        <v>1</v>
      </c>
      <c r="CM223" s="18">
        <f>IF(AU223="","",--(AU223='Codebook'!$F$40))</f>
        <v>0</v>
      </c>
      <c r="CN223" s="18">
        <f>IF(AV223="","",--(AV223='Codebook'!$F$41))</f>
        <v>0</v>
      </c>
      <c r="CO223" s="18">
        <f>IF(AW223="","",--(AW223='Codebook'!$F$42))</f>
        <v>0</v>
      </c>
      <c r="CP223" s="18">
        <f>IF(AX223="","",--(AX223='Codebook'!$F$43))</f>
        <v>1</v>
      </c>
      <c r="CQ223" s="18">
        <f>IF(AY223="","",--(AY223='Codebook'!$F$44))</f>
        <v>0</v>
      </c>
      <c r="CR223" s="18">
        <f>IF(AZ223="","",--(AZ223='Codebook'!$F$45))</f>
        <v>0</v>
      </c>
    </row>
    <row r="224" spans="2:96" ht="24" customHeight="1">
      <c r="B224" s="18">
        <v>219</v>
      </c>
      <c r="C224" s="23">
        <v>46287.70243175926</v>
      </c>
      <c r="D224" s="21" t="s">
        <v>275</v>
      </c>
      <c r="E224" s="21" t="s">
        <v>206</v>
      </c>
      <c r="F224" s="21" t="s">
        <v>195</v>
      </c>
      <c r="G224" s="17" t="s">
        <v>196</v>
      </c>
      <c r="H224" s="21" t="s">
        <v>198</v>
      </c>
      <c r="I224" s="18">
        <f>SUM(BL224:BU224)</f>
        <v>1</v>
      </c>
      <c r="J224" s="18">
        <f>IF(COUNT(BV224:CD224)=9,SUM(BV224:CD224),"")</f>
        <v>1</v>
      </c>
      <c r="K224" s="18">
        <f>SUM(BL224:CD224)</f>
        <v>2</v>
      </c>
      <c r="L224" s="18">
        <f>--(K224&gt;='Codebook'!$C$8)</f>
        <v>0</v>
      </c>
      <c r="M224" s="18">
        <f>--(COUNT(BL224:CD224)=19)</f>
        <v>1</v>
      </c>
      <c r="N224" s="18">
        <f>SUM(CE224:CL224)</f>
        <v>2</v>
      </c>
      <c r="O224" s="18">
        <f>SUM(CM224:CR224)</f>
        <v>0</v>
      </c>
      <c r="P224" s="18">
        <f>N224+O224</f>
        <v>2</v>
      </c>
      <c r="Q224" s="21" t="s">
        <v>198</v>
      </c>
      <c r="R224" s="17" t="s">
        <v>154</v>
      </c>
      <c r="S224" s="18">
        <f>--OR(Overview!$B$6="All",E224=Overview!$B$6)*--OR(Overview!$F$6="All",F224=Overview!$F$6)*--OR(Overview!$J$6="All",G224=Overview!$J$6)*--OR(Overview!$N$6="All",H224=Overview!$N$6)</f>
        <v>1</v>
      </c>
      <c r="T224" s="21" t="s">
        <v>22</v>
      </c>
      <c r="U224" s="21" t="s">
        <v>22</v>
      </c>
      <c r="V224" s="21" t="s">
        <v>198</v>
      </c>
      <c r="W224" s="21" t="s">
        <v>198</v>
      </c>
      <c r="X224" s="21" t="s">
        <v>198</v>
      </c>
      <c r="Y224" s="21" t="s">
        <v>198</v>
      </c>
      <c r="Z224" s="21" t="s">
        <v>198</v>
      </c>
      <c r="AA224" s="21" t="s">
        <v>26</v>
      </c>
      <c r="AB224" s="21" t="s">
        <v>22</v>
      </c>
      <c r="AC224" s="21" t="s">
        <v>198</v>
      </c>
      <c r="AD224" s="21" t="s">
        <v>22</v>
      </c>
      <c r="AE224" s="21" t="s">
        <v>198</v>
      </c>
      <c r="AF224" s="21" t="s">
        <v>198</v>
      </c>
      <c r="AG224" s="21" t="s">
        <v>198</v>
      </c>
      <c r="AH224" s="21" t="s">
        <v>198</v>
      </c>
      <c r="AI224" s="21" t="s">
        <v>198</v>
      </c>
      <c r="AJ224" s="21" t="s">
        <v>22</v>
      </c>
      <c r="AK224" s="21" t="s">
        <v>198</v>
      </c>
      <c r="AL224" s="21" t="s">
        <v>198</v>
      </c>
      <c r="AM224" s="21" t="s">
        <v>198</v>
      </c>
      <c r="AN224" s="21" t="s">
        <v>109</v>
      </c>
      <c r="AO224" s="21" t="s">
        <v>198</v>
      </c>
      <c r="AP224" s="21" t="s">
        <v>198</v>
      </c>
      <c r="AQ224" s="21" t="s">
        <v>198</v>
      </c>
      <c r="AR224" s="21" t="s">
        <v>83</v>
      </c>
      <c r="AS224" s="21" t="s">
        <v>83</v>
      </c>
      <c r="AT224" s="21" t="s">
        <v>198</v>
      </c>
      <c r="AU224" s="21" t="s">
        <v>198</v>
      </c>
      <c r="AV224" s="21" t="s">
        <v>83</v>
      </c>
      <c r="AW224" s="21" t="s">
        <v>198</v>
      </c>
      <c r="AX224" s="21" t="s">
        <v>83</v>
      </c>
      <c r="AY224" s="21" t="s">
        <v>198</v>
      </c>
      <c r="AZ224" s="21" t="s">
        <v>198</v>
      </c>
      <c r="BA224" s="17" t="s">
        <v>250</v>
      </c>
      <c r="BB224" s="17" t="s">
        <v>250</v>
      </c>
      <c r="BC224" s="18">
        <f>--ISNUMBER(SEARCH("Radio or television",BA224))</f>
        <v>0</v>
      </c>
      <c r="BD224" s="18">
        <f>--ISNUMBER(SEARCH("Newspapers or print media",BA224))</f>
        <v>0</v>
      </c>
      <c r="BE224" s="18">
        <f>--ISNUMBER(SEARCH("Social media (e.g. Facebook, WhatsApp, YouTube, X/Twitter)",BA224))</f>
        <v>1</v>
      </c>
      <c r="BF224" s="18">
        <f>--ISNUMBER(SEARCH("Family members",BA224))</f>
        <v>0</v>
      </c>
      <c r="BG224" s="18">
        <f>--ISNUMBER(SEARCH("Friends or fellow students",BA224))</f>
        <v>0</v>
      </c>
      <c r="BH224" s="18">
        <f>--ISNUMBER(SEARCH("School coursework or lectures",BA224))</f>
        <v>0</v>
      </c>
      <c r="BI224" s="18">
        <f>--ISNUMBER(SEARCH("NHIMA outreach activities or NHIMA offices",BA224))</f>
        <v>0</v>
      </c>
      <c r="BJ224" s="18">
        <f>--ISNUMBER(SEARCH("Health facility staff",BA224))</f>
        <v>0</v>
      </c>
      <c r="BK224" s="18">
        <f>--ISNUMBER(SEARCH("not received information",BA224))</f>
        <v>0</v>
      </c>
      <c r="BL224" s="18">
        <f>IF(T224="","",--(T224='Codebook'!$F$13))</f>
        <v>1</v>
      </c>
      <c r="BM224" s="18">
        <f>IF(U224="","",--(U224='Codebook'!$F$14))</f>
        <v>0</v>
      </c>
      <c r="BN224" s="18">
        <f>IF(V224="","",--(V224='Codebook'!$F$15))</f>
        <v>0</v>
      </c>
      <c r="BO224" s="18">
        <f>IF(W224="","",--(W224='Codebook'!$F$16))</f>
        <v>0</v>
      </c>
      <c r="BP224" s="18">
        <f>IF(X224="","",--(X224='Codebook'!$F$17))</f>
        <v>0</v>
      </c>
      <c r="BQ224" s="18">
        <f>IF(Y224="","",--(Y224='Codebook'!$F$18))</f>
        <v>0</v>
      </c>
      <c r="BR224" s="18">
        <f>IF(Z224="","",--(Z224='Codebook'!$F$19))</f>
        <v>0</v>
      </c>
      <c r="BS224" s="18">
        <f>IF(AA224="","",--(AA224='Codebook'!$F$20))</f>
        <v>0</v>
      </c>
      <c r="BT224" s="18">
        <f>IF(AB224="","",--(AB224='Codebook'!$F$21))</f>
        <v>0</v>
      </c>
      <c r="BU224" s="18">
        <f>IF(AC224="","",--(AC224='Codebook'!$F$22))</f>
        <v>0</v>
      </c>
      <c r="BV224" s="18">
        <f>IF(AD224="","",--(AD224='Codebook'!$F$23))</f>
        <v>1</v>
      </c>
      <c r="BW224" s="18">
        <f>IF(AE224="","",--(AE224='Codebook'!$F$24))</f>
        <v>0</v>
      </c>
      <c r="BX224" s="18">
        <f>IF(AF224="","",--(AF224='Codebook'!$F$25))</f>
        <v>0</v>
      </c>
      <c r="BY224" s="18">
        <f>IF(AG224="","",--(AG224='Codebook'!$F$26))</f>
        <v>0</v>
      </c>
      <c r="BZ224" s="18">
        <f>IF(AH224="","",--(AH224='Codebook'!$F$27))</f>
        <v>0</v>
      </c>
      <c r="CA224" s="18">
        <f>IF(AI224="","",--(AI224='Codebook'!$F$28))</f>
        <v>0</v>
      </c>
      <c r="CB224" s="18">
        <f>IF(AJ224="","",--(AJ224='Codebook'!$F$29))</f>
        <v>0</v>
      </c>
      <c r="CC224" s="18">
        <f>IF(AK224="","",--(AK224='Codebook'!$F$30))</f>
        <v>0</v>
      </c>
      <c r="CD224" s="18">
        <f>IF(AL224="","",--(AL224='Codebook'!$F$31))</f>
        <v>0</v>
      </c>
      <c r="CE224" s="18">
        <f>IF(AM224="","",--(AM224='Codebook'!$F$32))</f>
        <v>0</v>
      </c>
      <c r="CF224" s="18">
        <f>IF(AN224="","",--(AN224='Codebook'!$F$33))</f>
        <v>0</v>
      </c>
      <c r="CG224" s="18">
        <f>IF(AO224="","",--(AO224='Codebook'!$F$34))</f>
        <v>0</v>
      </c>
      <c r="CH224" s="18">
        <f>IF(AP224="","",--(AP224='Codebook'!$F$35))</f>
        <v>0</v>
      </c>
      <c r="CI224" s="18">
        <f>IF(AQ224="","",--(AQ224='Codebook'!$F$36))</f>
        <v>0</v>
      </c>
      <c r="CJ224" s="18">
        <f>IF(AR224="","",--(AR224='Codebook'!$F$37))</f>
        <v>1</v>
      </c>
      <c r="CK224" s="18">
        <f>IF(AS224="","",--(AS224='Codebook'!$F$38))</f>
        <v>1</v>
      </c>
      <c r="CL224" s="18">
        <f>IF(AT224="","",--(AT224='Codebook'!$F$39))</f>
        <v>0</v>
      </c>
      <c r="CM224" s="18">
        <f>IF(AU224="","",--(AU224='Codebook'!$F$40))</f>
        <v>0</v>
      </c>
      <c r="CN224" s="18">
        <f>IF(AV224="","",--(AV224='Codebook'!$F$41))</f>
        <v>0</v>
      </c>
      <c r="CO224" s="18">
        <f>IF(AW224="","",--(AW224='Codebook'!$F$42))</f>
        <v>0</v>
      </c>
      <c r="CP224" s="18">
        <f>IF(AX224="","",--(AX224='Codebook'!$F$43))</f>
        <v>0</v>
      </c>
      <c r="CQ224" s="18">
        <f>IF(AY224="","",--(AY224='Codebook'!$F$44))</f>
        <v>0</v>
      </c>
      <c r="CR224" s="18">
        <f>IF(AZ224="","",--(AZ224='Codebook'!$F$45))</f>
        <v>0</v>
      </c>
    </row>
    <row r="225" spans="2:96" ht="24" customHeight="1">
      <c r="B225" s="18">
        <v>220</v>
      </c>
      <c r="C225" s="23">
        <v>46287.82741935185</v>
      </c>
      <c r="D225" s="21" t="s">
        <v>275</v>
      </c>
      <c r="E225" s="21" t="s">
        <v>206</v>
      </c>
      <c r="F225" s="21" t="s">
        <v>212</v>
      </c>
      <c r="G225" s="17" t="s">
        <v>224</v>
      </c>
      <c r="H225" s="21" t="s">
        <v>197</v>
      </c>
      <c r="I225" s="18">
        <f>SUM(BL225:BU225)</f>
        <v>6</v>
      </c>
      <c r="J225" s="18">
        <f>IF(COUNT(BV225:CD225)=9,SUM(BV225:CD225),"")</f>
        <v>5</v>
      </c>
      <c r="K225" s="18">
        <f>SUM(BL225:CD225)</f>
        <v>11</v>
      </c>
      <c r="L225" s="18">
        <f>--(K225&gt;='Codebook'!$C$8)</f>
        <v>0</v>
      </c>
      <c r="M225" s="18">
        <f>--(COUNT(BL225:CD225)=19)</f>
        <v>1</v>
      </c>
      <c r="N225" s="18">
        <f>SUM(CE225:CL225)</f>
        <v>6</v>
      </c>
      <c r="O225" s="18">
        <f>SUM(CM225:CR225)</f>
        <v>2</v>
      </c>
      <c r="P225" s="18">
        <f>N225+O225</f>
        <v>8</v>
      </c>
      <c r="Q225" s="21" t="s">
        <v>207</v>
      </c>
      <c r="R225" s="17" t="s">
        <v>216</v>
      </c>
      <c r="S225" s="18">
        <f>--OR(Overview!$B$6="All",E225=Overview!$B$6)*--OR(Overview!$F$6="All",F225=Overview!$F$6)*--OR(Overview!$J$6="All",G225=Overview!$J$6)*--OR(Overview!$N$6="All",H225=Overview!$N$6)</f>
        <v>1</v>
      </c>
      <c r="T225" s="21" t="s">
        <v>22</v>
      </c>
      <c r="U225" s="21" t="s">
        <v>22</v>
      </c>
      <c r="V225" s="21" t="s">
        <v>22</v>
      </c>
      <c r="W225" s="21" t="s">
        <v>22</v>
      </c>
      <c r="X225" s="21" t="s">
        <v>22</v>
      </c>
      <c r="Y225" s="21" t="s">
        <v>22</v>
      </c>
      <c r="Z225" s="21" t="s">
        <v>22</v>
      </c>
      <c r="AA225" s="21" t="s">
        <v>22</v>
      </c>
      <c r="AB225" s="21" t="s">
        <v>22</v>
      </c>
      <c r="AC225" s="21" t="s">
        <v>22</v>
      </c>
      <c r="AD225" s="21" t="s">
        <v>22</v>
      </c>
      <c r="AE225" s="21" t="s">
        <v>22</v>
      </c>
      <c r="AF225" s="21" t="s">
        <v>22</v>
      </c>
      <c r="AG225" s="21" t="s">
        <v>22</v>
      </c>
      <c r="AH225" s="21" t="s">
        <v>22</v>
      </c>
      <c r="AI225" s="21" t="s">
        <v>22</v>
      </c>
      <c r="AJ225" s="21" t="s">
        <v>22</v>
      </c>
      <c r="AK225" s="21" t="s">
        <v>22</v>
      </c>
      <c r="AL225" s="21" t="s">
        <v>22</v>
      </c>
      <c r="AM225" s="21" t="s">
        <v>109</v>
      </c>
      <c r="AN225" s="21" t="s">
        <v>83</v>
      </c>
      <c r="AO225" s="21" t="s">
        <v>83</v>
      </c>
      <c r="AP225" s="21" t="s">
        <v>83</v>
      </c>
      <c r="AQ225" s="21" t="s">
        <v>83</v>
      </c>
      <c r="AR225" s="21" t="s">
        <v>83</v>
      </c>
      <c r="AS225" s="21" t="s">
        <v>83</v>
      </c>
      <c r="AT225" s="21" t="s">
        <v>109</v>
      </c>
      <c r="AU225" s="21" t="s">
        <v>109</v>
      </c>
      <c r="AV225" s="21" t="s">
        <v>83</v>
      </c>
      <c r="AW225" s="21" t="s">
        <v>83</v>
      </c>
      <c r="AX225" s="21" t="s">
        <v>83</v>
      </c>
      <c r="AY225" s="21" t="s">
        <v>83</v>
      </c>
      <c r="AZ225" s="21" t="s">
        <v>109</v>
      </c>
      <c r="BA225" s="17" t="s">
        <v>330</v>
      </c>
      <c r="BB225" s="17" t="s">
        <v>291</v>
      </c>
      <c r="BC225" s="18">
        <f>--ISNUMBER(SEARCH("Radio or television",BA225))</f>
        <v>0</v>
      </c>
      <c r="BD225" s="18">
        <f>--ISNUMBER(SEARCH("Newspapers or print media",BA225))</f>
        <v>1</v>
      </c>
      <c r="BE225" s="18">
        <f>--ISNUMBER(SEARCH("Social media (e.g. Facebook, WhatsApp, YouTube, X/Twitter)",BA225))</f>
        <v>1</v>
      </c>
      <c r="BF225" s="18">
        <f>--ISNUMBER(SEARCH("Family members",BA225))</f>
        <v>1</v>
      </c>
      <c r="BG225" s="18">
        <f>--ISNUMBER(SEARCH("Friends or fellow students",BA225))</f>
        <v>1</v>
      </c>
      <c r="BH225" s="18">
        <f>--ISNUMBER(SEARCH("School coursework or lectures",BA225))</f>
        <v>0</v>
      </c>
      <c r="BI225" s="18">
        <f>--ISNUMBER(SEARCH("NHIMA outreach activities or NHIMA offices",BA225))</f>
        <v>0</v>
      </c>
      <c r="BJ225" s="18">
        <f>--ISNUMBER(SEARCH("Health facility staff",BA225))</f>
        <v>0</v>
      </c>
      <c r="BK225" s="18">
        <f>--ISNUMBER(SEARCH("not received information",BA225))</f>
        <v>0</v>
      </c>
      <c r="BL225" s="18">
        <f>IF(T225="","",--(T225='Codebook'!$F$13))</f>
        <v>1</v>
      </c>
      <c r="BM225" s="18">
        <f>IF(U225="","",--(U225='Codebook'!$F$14))</f>
        <v>0</v>
      </c>
      <c r="BN225" s="18">
        <f>IF(V225="","",--(V225='Codebook'!$F$15))</f>
        <v>0</v>
      </c>
      <c r="BO225" s="18">
        <f>IF(W225="","",--(W225='Codebook'!$F$16))</f>
        <v>1</v>
      </c>
      <c r="BP225" s="18">
        <f>IF(X225="","",--(X225='Codebook'!$F$17))</f>
        <v>1</v>
      </c>
      <c r="BQ225" s="18">
        <f>IF(Y225="","",--(Y225='Codebook'!$F$18))</f>
        <v>0</v>
      </c>
      <c r="BR225" s="18">
        <f>IF(Z225="","",--(Z225='Codebook'!$F$19))</f>
        <v>1</v>
      </c>
      <c r="BS225" s="18">
        <f>IF(AA225="","",--(AA225='Codebook'!$F$20))</f>
        <v>1</v>
      </c>
      <c r="BT225" s="18">
        <f>IF(AB225="","",--(AB225='Codebook'!$F$21))</f>
        <v>0</v>
      </c>
      <c r="BU225" s="18">
        <f>IF(AC225="","",--(AC225='Codebook'!$F$22))</f>
        <v>1</v>
      </c>
      <c r="BV225" s="18">
        <f>IF(AD225="","",--(AD225='Codebook'!$F$23))</f>
        <v>1</v>
      </c>
      <c r="BW225" s="18">
        <f>IF(AE225="","",--(AE225='Codebook'!$F$24))</f>
        <v>1</v>
      </c>
      <c r="BX225" s="18">
        <f>IF(AF225="","",--(AF225='Codebook'!$F$25))</f>
        <v>0</v>
      </c>
      <c r="BY225" s="18">
        <f>IF(AG225="","",--(AG225='Codebook'!$F$26))</f>
        <v>1</v>
      </c>
      <c r="BZ225" s="18">
        <f>IF(AH225="","",--(AH225='Codebook'!$F$27))</f>
        <v>1</v>
      </c>
      <c r="CA225" s="18">
        <f>IF(AI225="","",--(AI225='Codebook'!$F$28))</f>
        <v>0</v>
      </c>
      <c r="CB225" s="18">
        <f>IF(AJ225="","",--(AJ225='Codebook'!$F$29))</f>
        <v>0</v>
      </c>
      <c r="CC225" s="18">
        <f>IF(AK225="","",--(AK225='Codebook'!$F$30))</f>
        <v>1</v>
      </c>
      <c r="CD225" s="18">
        <f>IF(AL225="","",--(AL225='Codebook'!$F$31))</f>
        <v>0</v>
      </c>
      <c r="CE225" s="18">
        <f>IF(AM225="","",--(AM225='Codebook'!$F$32))</f>
        <v>0</v>
      </c>
      <c r="CF225" s="18">
        <f>IF(AN225="","",--(AN225='Codebook'!$F$33))</f>
        <v>1</v>
      </c>
      <c r="CG225" s="18">
        <f>IF(AO225="","",--(AO225='Codebook'!$F$34))</f>
        <v>1</v>
      </c>
      <c r="CH225" s="18">
        <f>IF(AP225="","",--(AP225='Codebook'!$F$35))</f>
        <v>1</v>
      </c>
      <c r="CI225" s="18">
        <f>IF(AQ225="","",--(AQ225='Codebook'!$F$36))</f>
        <v>1</v>
      </c>
      <c r="CJ225" s="18">
        <f>IF(AR225="","",--(AR225='Codebook'!$F$37))</f>
        <v>1</v>
      </c>
      <c r="CK225" s="18">
        <f>IF(AS225="","",--(AS225='Codebook'!$F$38))</f>
        <v>1</v>
      </c>
      <c r="CL225" s="18">
        <f>IF(AT225="","",--(AT225='Codebook'!$F$39))</f>
        <v>0</v>
      </c>
      <c r="CM225" s="18">
        <f>IF(AU225="","",--(AU225='Codebook'!$F$40))</f>
        <v>1</v>
      </c>
      <c r="CN225" s="18">
        <f>IF(AV225="","",--(AV225='Codebook'!$F$41))</f>
        <v>0</v>
      </c>
      <c r="CO225" s="18">
        <f>IF(AW225="","",--(AW225='Codebook'!$F$42))</f>
        <v>0</v>
      </c>
      <c r="CP225" s="18">
        <f>IF(AX225="","",--(AX225='Codebook'!$F$43))</f>
        <v>0</v>
      </c>
      <c r="CQ225" s="18">
        <f>IF(AY225="","",--(AY225='Codebook'!$F$44))</f>
        <v>0</v>
      </c>
      <c r="CR225" s="18">
        <f>IF(AZ225="","",--(AZ225='Codebook'!$F$45))</f>
        <v>1</v>
      </c>
    </row>
    <row r="226" spans="2:96" ht="24" customHeight="1">
      <c r="B226" s="18">
        <v>221</v>
      </c>
      <c r="C226" s="23">
        <v>46287.82815850694</v>
      </c>
      <c r="D226" s="21" t="s">
        <v>275</v>
      </c>
      <c r="E226" s="21" t="s">
        <v>194</v>
      </c>
      <c r="F226" s="21" t="s">
        <v>195</v>
      </c>
      <c r="G226" s="17" t="s">
        <v>202</v>
      </c>
      <c r="H226" s="21" t="s">
        <v>197</v>
      </c>
      <c r="I226" s="18">
        <f>SUM(BL226:BU226)</f>
        <v>5</v>
      </c>
      <c r="J226" s="18">
        <f>IF(COUNT(BV226:CD226)=9,SUM(BV226:CD226),"")</f>
        <v>4</v>
      </c>
      <c r="K226" s="18">
        <f>SUM(BL226:CD226)</f>
        <v>9</v>
      </c>
      <c r="L226" s="18">
        <f>--(K226&gt;='Codebook'!$C$8)</f>
        <v>0</v>
      </c>
      <c r="M226" s="18">
        <f>--(COUNT(BL226:CD226)=19)</f>
        <v>1</v>
      </c>
      <c r="N226" s="18">
        <f>SUM(CE226:CL226)</f>
        <v>7</v>
      </c>
      <c r="O226" s="18">
        <f>SUM(CM226:CR226)</f>
        <v>0</v>
      </c>
      <c r="P226" s="18">
        <f>N226+O226</f>
        <v>7</v>
      </c>
      <c r="Q226" s="21" t="s">
        <v>197</v>
      </c>
      <c r="R226" s="17" t="s">
        <v>155</v>
      </c>
      <c r="S226" s="18">
        <f>--OR(Overview!$B$6="All",E226=Overview!$B$6)*--OR(Overview!$F$6="All",F226=Overview!$F$6)*--OR(Overview!$J$6="All",G226=Overview!$J$6)*--OR(Overview!$N$6="All",H226=Overview!$N$6)</f>
        <v>1</v>
      </c>
      <c r="T226" s="21" t="s">
        <v>22</v>
      </c>
      <c r="U226" s="21" t="s">
        <v>22</v>
      </c>
      <c r="V226" s="21" t="s">
        <v>26</v>
      </c>
      <c r="W226" s="21" t="s">
        <v>26</v>
      </c>
      <c r="X226" s="21" t="s">
        <v>26</v>
      </c>
      <c r="Y226" s="21" t="s">
        <v>22</v>
      </c>
      <c r="Z226" s="21" t="s">
        <v>22</v>
      </c>
      <c r="AA226" s="21" t="s">
        <v>22</v>
      </c>
      <c r="AB226" s="21" t="s">
        <v>22</v>
      </c>
      <c r="AC226" s="21" t="s">
        <v>22</v>
      </c>
      <c r="AD226" s="21" t="s">
        <v>198</v>
      </c>
      <c r="AE226" s="21" t="s">
        <v>22</v>
      </c>
      <c r="AF226" s="21" t="s">
        <v>22</v>
      </c>
      <c r="AG226" s="21" t="s">
        <v>22</v>
      </c>
      <c r="AH226" s="21" t="s">
        <v>22</v>
      </c>
      <c r="AI226" s="21" t="s">
        <v>22</v>
      </c>
      <c r="AJ226" s="21" t="s">
        <v>22</v>
      </c>
      <c r="AK226" s="21" t="s">
        <v>22</v>
      </c>
      <c r="AL226" s="21" t="s">
        <v>22</v>
      </c>
      <c r="AM226" s="21" t="s">
        <v>83</v>
      </c>
      <c r="AN226" s="21" t="s">
        <v>83</v>
      </c>
      <c r="AO226" s="21" t="s">
        <v>83</v>
      </c>
      <c r="AP226" s="21" t="s">
        <v>83</v>
      </c>
      <c r="AQ226" s="21" t="s">
        <v>83</v>
      </c>
      <c r="AR226" s="21" t="s">
        <v>83</v>
      </c>
      <c r="AS226" s="21" t="s">
        <v>109</v>
      </c>
      <c r="AT226" s="21" t="s">
        <v>83</v>
      </c>
      <c r="AU226" s="21" t="s">
        <v>83</v>
      </c>
      <c r="AV226" s="21" t="s">
        <v>83</v>
      </c>
      <c r="AW226" s="21" t="s">
        <v>83</v>
      </c>
      <c r="AX226" s="21" t="s">
        <v>83</v>
      </c>
      <c r="AY226" s="21" t="s">
        <v>83</v>
      </c>
      <c r="AZ226" s="21" t="s">
        <v>83</v>
      </c>
      <c r="BA226" s="17" t="s">
        <v>231</v>
      </c>
      <c r="BB226" s="17" t="s">
        <v>219</v>
      </c>
      <c r="BC226" s="18">
        <f>--ISNUMBER(SEARCH("Radio or television",BA226))</f>
        <v>0</v>
      </c>
      <c r="BD226" s="18">
        <f>--ISNUMBER(SEARCH("Newspapers or print media",BA226))</f>
        <v>0</v>
      </c>
      <c r="BE226" s="18">
        <f>--ISNUMBER(SEARCH("Social media (e.g. Facebook, WhatsApp, YouTube, X/Twitter)",BA226))</f>
        <v>1</v>
      </c>
      <c r="BF226" s="18">
        <f>--ISNUMBER(SEARCH("Family members",BA226))</f>
        <v>1</v>
      </c>
      <c r="BG226" s="18">
        <f>--ISNUMBER(SEARCH("Friends or fellow students",BA226))</f>
        <v>0</v>
      </c>
      <c r="BH226" s="18">
        <f>--ISNUMBER(SEARCH("School coursework or lectures",BA226))</f>
        <v>0</v>
      </c>
      <c r="BI226" s="18">
        <f>--ISNUMBER(SEARCH("NHIMA outreach activities or NHIMA offices",BA226))</f>
        <v>0</v>
      </c>
      <c r="BJ226" s="18">
        <f>--ISNUMBER(SEARCH("Health facility staff",BA226))</f>
        <v>0</v>
      </c>
      <c r="BK226" s="18">
        <f>--ISNUMBER(SEARCH("not received information",BA226))</f>
        <v>0</v>
      </c>
      <c r="BL226" s="18">
        <f>IF(T226="","",--(T226='Codebook'!$F$13))</f>
        <v>1</v>
      </c>
      <c r="BM226" s="18">
        <f>IF(U226="","",--(U226='Codebook'!$F$14))</f>
        <v>0</v>
      </c>
      <c r="BN226" s="18">
        <f>IF(V226="","",--(V226='Codebook'!$F$15))</f>
        <v>1</v>
      </c>
      <c r="BO226" s="18">
        <f>IF(W226="","",--(W226='Codebook'!$F$16))</f>
        <v>0</v>
      </c>
      <c r="BP226" s="18">
        <f>IF(X226="","",--(X226='Codebook'!$F$17))</f>
        <v>0</v>
      </c>
      <c r="BQ226" s="18">
        <f>IF(Y226="","",--(Y226='Codebook'!$F$18))</f>
        <v>0</v>
      </c>
      <c r="BR226" s="18">
        <f>IF(Z226="","",--(Z226='Codebook'!$F$19))</f>
        <v>1</v>
      </c>
      <c r="BS226" s="18">
        <f>IF(AA226="","",--(AA226='Codebook'!$F$20))</f>
        <v>1</v>
      </c>
      <c r="BT226" s="18">
        <f>IF(AB226="","",--(AB226='Codebook'!$F$21))</f>
        <v>0</v>
      </c>
      <c r="BU226" s="18">
        <f>IF(AC226="","",--(AC226='Codebook'!$F$22))</f>
        <v>1</v>
      </c>
      <c r="BV226" s="18">
        <f>IF(AD226="","",--(AD226='Codebook'!$F$23))</f>
        <v>0</v>
      </c>
      <c r="BW226" s="18">
        <f>IF(AE226="","",--(AE226='Codebook'!$F$24))</f>
        <v>1</v>
      </c>
      <c r="BX226" s="18">
        <f>IF(AF226="","",--(AF226='Codebook'!$F$25))</f>
        <v>0</v>
      </c>
      <c r="BY226" s="18">
        <f>IF(AG226="","",--(AG226='Codebook'!$F$26))</f>
        <v>1</v>
      </c>
      <c r="BZ226" s="18">
        <f>IF(AH226="","",--(AH226='Codebook'!$F$27))</f>
        <v>1</v>
      </c>
      <c r="CA226" s="18">
        <f>IF(AI226="","",--(AI226='Codebook'!$F$28))</f>
        <v>0</v>
      </c>
      <c r="CB226" s="18">
        <f>IF(AJ226="","",--(AJ226='Codebook'!$F$29))</f>
        <v>0</v>
      </c>
      <c r="CC226" s="18">
        <f>IF(AK226="","",--(AK226='Codebook'!$F$30))</f>
        <v>1</v>
      </c>
      <c r="CD226" s="18">
        <f>IF(AL226="","",--(AL226='Codebook'!$F$31))</f>
        <v>0</v>
      </c>
      <c r="CE226" s="18">
        <f>IF(AM226="","",--(AM226='Codebook'!$F$32))</f>
        <v>1</v>
      </c>
      <c r="CF226" s="18">
        <f>IF(AN226="","",--(AN226='Codebook'!$F$33))</f>
        <v>1</v>
      </c>
      <c r="CG226" s="18">
        <f>IF(AO226="","",--(AO226='Codebook'!$F$34))</f>
        <v>1</v>
      </c>
      <c r="CH226" s="18">
        <f>IF(AP226="","",--(AP226='Codebook'!$F$35))</f>
        <v>1</v>
      </c>
      <c r="CI226" s="18">
        <f>IF(AQ226="","",--(AQ226='Codebook'!$F$36))</f>
        <v>1</v>
      </c>
      <c r="CJ226" s="18">
        <f>IF(AR226="","",--(AR226='Codebook'!$F$37))</f>
        <v>1</v>
      </c>
      <c r="CK226" s="18">
        <f>IF(AS226="","",--(AS226='Codebook'!$F$38))</f>
        <v>0</v>
      </c>
      <c r="CL226" s="18">
        <f>IF(AT226="","",--(AT226='Codebook'!$F$39))</f>
        <v>1</v>
      </c>
      <c r="CM226" s="18">
        <f>IF(AU226="","",--(AU226='Codebook'!$F$40))</f>
        <v>0</v>
      </c>
      <c r="CN226" s="18">
        <f>IF(AV226="","",--(AV226='Codebook'!$F$41))</f>
        <v>0</v>
      </c>
      <c r="CO226" s="18">
        <f>IF(AW226="","",--(AW226='Codebook'!$F$42))</f>
        <v>0</v>
      </c>
      <c r="CP226" s="18">
        <f>IF(AX226="","",--(AX226='Codebook'!$F$43))</f>
        <v>0</v>
      </c>
      <c r="CQ226" s="18">
        <f>IF(AY226="","",--(AY226='Codebook'!$F$44))</f>
        <v>0</v>
      </c>
      <c r="CR226" s="18">
        <f>IF(AZ226="","",--(AZ226='Codebook'!$F$45))</f>
        <v>0</v>
      </c>
    </row>
    <row r="227" spans="2:96" ht="24" customHeight="1">
      <c r="B227" s="18">
        <v>222</v>
      </c>
      <c r="C227" s="23">
        <v>46287.82888158565</v>
      </c>
      <c r="D227" s="21" t="s">
        <v>275</v>
      </c>
      <c r="E227" s="21" t="s">
        <v>194</v>
      </c>
      <c r="F227" s="21" t="s">
        <v>201</v>
      </c>
      <c r="G227" s="17" t="s">
        <v>196</v>
      </c>
      <c r="H227" s="21" t="s">
        <v>197</v>
      </c>
      <c r="I227" s="18">
        <f>SUM(BL227:BU227)</f>
        <v>4</v>
      </c>
      <c r="J227" s="18">
        <f>IF(COUNT(BV227:CD227)=9,SUM(BV227:CD227),"")</f>
        <v>3</v>
      </c>
      <c r="K227" s="18">
        <f>SUM(BL227:CD227)</f>
        <v>7</v>
      </c>
      <c r="L227" s="18">
        <f>--(K227&gt;='Codebook'!$C$8)</f>
        <v>0</v>
      </c>
      <c r="M227" s="18">
        <f>--(COUNT(BL227:CD227)=19)</f>
        <v>1</v>
      </c>
      <c r="N227" s="18">
        <f>SUM(CE227:CL227)</f>
        <v>5</v>
      </c>
      <c r="O227" s="18">
        <f>SUM(CM227:CR227)</f>
        <v>1</v>
      </c>
      <c r="P227" s="18">
        <f>N227+O227</f>
        <v>6</v>
      </c>
      <c r="Q227" s="21" t="s">
        <v>198</v>
      </c>
      <c r="R227" s="17" t="s">
        <v>156</v>
      </c>
      <c r="S227" s="18">
        <f>--OR(Overview!$B$6="All",E227=Overview!$B$6)*--OR(Overview!$F$6="All",F227=Overview!$F$6)*--OR(Overview!$J$6="All",G227=Overview!$J$6)*--OR(Overview!$N$6="All",H227=Overview!$N$6)</f>
        <v>1</v>
      </c>
      <c r="T227" s="21" t="s">
        <v>22</v>
      </c>
      <c r="U227" s="21" t="s">
        <v>22</v>
      </c>
      <c r="V227" s="21" t="s">
        <v>22</v>
      </c>
      <c r="W227" s="21" t="s">
        <v>22</v>
      </c>
      <c r="X227" s="21" t="s">
        <v>22</v>
      </c>
      <c r="Y227" s="21" t="s">
        <v>198</v>
      </c>
      <c r="Z227" s="21" t="s">
        <v>26</v>
      </c>
      <c r="AA227" s="21" t="s">
        <v>22</v>
      </c>
      <c r="AB227" s="21" t="s">
        <v>22</v>
      </c>
      <c r="AC227" s="21" t="s">
        <v>198</v>
      </c>
      <c r="AD227" s="21" t="s">
        <v>22</v>
      </c>
      <c r="AE227" s="21" t="s">
        <v>198</v>
      </c>
      <c r="AF227" s="21" t="s">
        <v>22</v>
      </c>
      <c r="AG227" s="21" t="s">
        <v>22</v>
      </c>
      <c r="AH227" s="21" t="s">
        <v>26</v>
      </c>
      <c r="AI227" s="21" t="s">
        <v>22</v>
      </c>
      <c r="AJ227" s="21" t="s">
        <v>198</v>
      </c>
      <c r="AK227" s="21" t="s">
        <v>22</v>
      </c>
      <c r="AL227" s="21" t="s">
        <v>22</v>
      </c>
      <c r="AM227" s="21" t="s">
        <v>198</v>
      </c>
      <c r="AN227" s="21" t="s">
        <v>83</v>
      </c>
      <c r="AO227" s="21" t="s">
        <v>198</v>
      </c>
      <c r="AP227" s="21" t="s">
        <v>83</v>
      </c>
      <c r="AQ227" s="21" t="s">
        <v>83</v>
      </c>
      <c r="AR227" s="21" t="s">
        <v>83</v>
      </c>
      <c r="AS227" s="21" t="s">
        <v>83</v>
      </c>
      <c r="AT227" s="21" t="s">
        <v>198</v>
      </c>
      <c r="AU227" s="21" t="s">
        <v>83</v>
      </c>
      <c r="AV227" s="21" t="s">
        <v>109</v>
      </c>
      <c r="AW227" s="21" t="s">
        <v>83</v>
      </c>
      <c r="AX227" s="21" t="s">
        <v>83</v>
      </c>
      <c r="AY227" s="21" t="s">
        <v>83</v>
      </c>
      <c r="AZ227" s="21" t="s">
        <v>83</v>
      </c>
      <c r="BA227" s="17" t="s">
        <v>313</v>
      </c>
      <c r="BB227" s="17" t="s">
        <v>313</v>
      </c>
      <c r="BC227" s="18">
        <f>--ISNUMBER(SEARCH("Radio or television",BA227))</f>
        <v>0</v>
      </c>
      <c r="BD227" s="18">
        <f>--ISNUMBER(SEARCH("Newspapers or print media",BA227))</f>
        <v>0</v>
      </c>
      <c r="BE227" s="18">
        <f>--ISNUMBER(SEARCH("Social media (e.g. Facebook, WhatsApp, YouTube, X/Twitter)",BA227))</f>
        <v>0</v>
      </c>
      <c r="BF227" s="18">
        <f>--ISNUMBER(SEARCH("Family members",BA227))</f>
        <v>0</v>
      </c>
      <c r="BG227" s="18">
        <f>--ISNUMBER(SEARCH("Friends or fellow students",BA227))</f>
        <v>1</v>
      </c>
      <c r="BH227" s="18">
        <f>--ISNUMBER(SEARCH("School coursework or lectures",BA227))</f>
        <v>0</v>
      </c>
      <c r="BI227" s="18">
        <f>--ISNUMBER(SEARCH("NHIMA outreach activities or NHIMA offices",BA227))</f>
        <v>0</v>
      </c>
      <c r="BJ227" s="18">
        <f>--ISNUMBER(SEARCH("Health facility staff",BA227))</f>
        <v>0</v>
      </c>
      <c r="BK227" s="18">
        <f>--ISNUMBER(SEARCH("not received information",BA227))</f>
        <v>0</v>
      </c>
      <c r="BL227" s="18">
        <f>IF(T227="","",--(T227='Codebook'!$F$13))</f>
        <v>1</v>
      </c>
      <c r="BM227" s="18">
        <f>IF(U227="","",--(U227='Codebook'!$F$14))</f>
        <v>0</v>
      </c>
      <c r="BN227" s="18">
        <f>IF(V227="","",--(V227='Codebook'!$F$15))</f>
        <v>0</v>
      </c>
      <c r="BO227" s="18">
        <f>IF(W227="","",--(W227='Codebook'!$F$16))</f>
        <v>1</v>
      </c>
      <c r="BP227" s="18">
        <f>IF(X227="","",--(X227='Codebook'!$F$17))</f>
        <v>1</v>
      </c>
      <c r="BQ227" s="18">
        <f>IF(Y227="","",--(Y227='Codebook'!$F$18))</f>
        <v>0</v>
      </c>
      <c r="BR227" s="18">
        <f>IF(Z227="","",--(Z227='Codebook'!$F$19))</f>
        <v>0</v>
      </c>
      <c r="BS227" s="18">
        <f>IF(AA227="","",--(AA227='Codebook'!$F$20))</f>
        <v>1</v>
      </c>
      <c r="BT227" s="18">
        <f>IF(AB227="","",--(AB227='Codebook'!$F$21))</f>
        <v>0</v>
      </c>
      <c r="BU227" s="18">
        <f>IF(AC227="","",--(AC227='Codebook'!$F$22))</f>
        <v>0</v>
      </c>
      <c r="BV227" s="18">
        <f>IF(AD227="","",--(AD227='Codebook'!$F$23))</f>
        <v>1</v>
      </c>
      <c r="BW227" s="18">
        <f>IF(AE227="","",--(AE227='Codebook'!$F$24))</f>
        <v>0</v>
      </c>
      <c r="BX227" s="18">
        <f>IF(AF227="","",--(AF227='Codebook'!$F$25))</f>
        <v>0</v>
      </c>
      <c r="BY227" s="18">
        <f>IF(AG227="","",--(AG227='Codebook'!$F$26))</f>
        <v>1</v>
      </c>
      <c r="BZ227" s="18">
        <f>IF(AH227="","",--(AH227='Codebook'!$F$27))</f>
        <v>0</v>
      </c>
      <c r="CA227" s="18">
        <f>IF(AI227="","",--(AI227='Codebook'!$F$28))</f>
        <v>0</v>
      </c>
      <c r="CB227" s="18">
        <f>IF(AJ227="","",--(AJ227='Codebook'!$F$29))</f>
        <v>0</v>
      </c>
      <c r="CC227" s="18">
        <f>IF(AK227="","",--(AK227='Codebook'!$F$30))</f>
        <v>1</v>
      </c>
      <c r="CD227" s="18">
        <f>IF(AL227="","",--(AL227='Codebook'!$F$31))</f>
        <v>0</v>
      </c>
      <c r="CE227" s="18">
        <f>IF(AM227="","",--(AM227='Codebook'!$F$32))</f>
        <v>0</v>
      </c>
      <c r="CF227" s="18">
        <f>IF(AN227="","",--(AN227='Codebook'!$F$33))</f>
        <v>1</v>
      </c>
      <c r="CG227" s="18">
        <f>IF(AO227="","",--(AO227='Codebook'!$F$34))</f>
        <v>0</v>
      </c>
      <c r="CH227" s="18">
        <f>IF(AP227="","",--(AP227='Codebook'!$F$35))</f>
        <v>1</v>
      </c>
      <c r="CI227" s="18">
        <f>IF(AQ227="","",--(AQ227='Codebook'!$F$36))</f>
        <v>1</v>
      </c>
      <c r="CJ227" s="18">
        <f>IF(AR227="","",--(AR227='Codebook'!$F$37))</f>
        <v>1</v>
      </c>
      <c r="CK227" s="18">
        <f>IF(AS227="","",--(AS227='Codebook'!$F$38))</f>
        <v>1</v>
      </c>
      <c r="CL227" s="18">
        <f>IF(AT227="","",--(AT227='Codebook'!$F$39))</f>
        <v>0</v>
      </c>
      <c r="CM227" s="18">
        <f>IF(AU227="","",--(AU227='Codebook'!$F$40))</f>
        <v>0</v>
      </c>
      <c r="CN227" s="18">
        <f>IF(AV227="","",--(AV227='Codebook'!$F$41))</f>
        <v>1</v>
      </c>
      <c r="CO227" s="18">
        <f>IF(AW227="","",--(AW227='Codebook'!$F$42))</f>
        <v>0</v>
      </c>
      <c r="CP227" s="18">
        <f>IF(AX227="","",--(AX227='Codebook'!$F$43))</f>
        <v>0</v>
      </c>
      <c r="CQ227" s="18">
        <f>IF(AY227="","",--(AY227='Codebook'!$F$44))</f>
        <v>0</v>
      </c>
      <c r="CR227" s="18">
        <f>IF(AZ227="","",--(AZ227='Codebook'!$F$45))</f>
        <v>0</v>
      </c>
    </row>
    <row r="228" spans="2:96" ht="24" customHeight="1">
      <c r="B228" s="18">
        <v>223</v>
      </c>
      <c r="C228" s="23">
        <v>46287.82969372685</v>
      </c>
      <c r="D228" s="21" t="s">
        <v>275</v>
      </c>
      <c r="E228" s="21" t="s">
        <v>194</v>
      </c>
      <c r="F228" s="21" t="s">
        <v>212</v>
      </c>
      <c r="G228" s="17" t="s">
        <v>215</v>
      </c>
      <c r="H228" s="21" t="s">
        <v>198</v>
      </c>
      <c r="I228" s="18">
        <f>SUM(BL228:BU228)</f>
        <v>4</v>
      </c>
      <c r="J228" s="18">
        <f>IF(COUNT(BV228:CD228)=9,SUM(BV228:CD228),"")</f>
        <v>4</v>
      </c>
      <c r="K228" s="18">
        <f>SUM(BL228:CD228)</f>
        <v>8</v>
      </c>
      <c r="L228" s="18">
        <f>--(K228&gt;='Codebook'!$C$8)</f>
        <v>0</v>
      </c>
      <c r="M228" s="18">
        <f>--(COUNT(BL228:CD228)=19)</f>
        <v>1</v>
      </c>
      <c r="N228" s="18">
        <f>SUM(CE228:CL228)</f>
        <v>6</v>
      </c>
      <c r="O228" s="18">
        <f>SUM(CM228:CR228)</f>
        <v>1</v>
      </c>
      <c r="P228" s="18">
        <f>N228+O228</f>
        <v>7</v>
      </c>
      <c r="Q228" s="21" t="s">
        <v>197</v>
      </c>
      <c r="R228" s="17" t="s">
        <v>154</v>
      </c>
      <c r="S228" s="18">
        <f>--OR(Overview!$B$6="All",E228=Overview!$B$6)*--OR(Overview!$F$6="All",F228=Overview!$F$6)*--OR(Overview!$J$6="All",G228=Overview!$J$6)*--OR(Overview!$N$6="All",H228=Overview!$N$6)</f>
        <v>1</v>
      </c>
      <c r="T228" s="21" t="s">
        <v>22</v>
      </c>
      <c r="U228" s="21" t="s">
        <v>22</v>
      </c>
      <c r="V228" s="21" t="s">
        <v>22</v>
      </c>
      <c r="W228" s="21" t="s">
        <v>26</v>
      </c>
      <c r="X228" s="21" t="s">
        <v>198</v>
      </c>
      <c r="Y228" s="21" t="s">
        <v>22</v>
      </c>
      <c r="Z228" s="21" t="s">
        <v>22</v>
      </c>
      <c r="AA228" s="21" t="s">
        <v>22</v>
      </c>
      <c r="AB228" s="21" t="s">
        <v>22</v>
      </c>
      <c r="AC228" s="21" t="s">
        <v>22</v>
      </c>
      <c r="AD228" s="21" t="s">
        <v>22</v>
      </c>
      <c r="AE228" s="21" t="s">
        <v>22</v>
      </c>
      <c r="AF228" s="21" t="s">
        <v>22</v>
      </c>
      <c r="AG228" s="21" t="s">
        <v>198</v>
      </c>
      <c r="AH228" s="21" t="s">
        <v>198</v>
      </c>
      <c r="AI228" s="21" t="s">
        <v>22</v>
      </c>
      <c r="AJ228" s="21" t="s">
        <v>26</v>
      </c>
      <c r="AK228" s="21" t="s">
        <v>22</v>
      </c>
      <c r="AL228" s="21" t="s">
        <v>198</v>
      </c>
      <c r="AM228" s="21" t="s">
        <v>198</v>
      </c>
      <c r="AN228" s="21" t="s">
        <v>83</v>
      </c>
      <c r="AO228" s="21" t="s">
        <v>83</v>
      </c>
      <c r="AP228" s="21" t="s">
        <v>83</v>
      </c>
      <c r="AQ228" s="21" t="s">
        <v>109</v>
      </c>
      <c r="AR228" s="21" t="s">
        <v>83</v>
      </c>
      <c r="AS228" s="21" t="s">
        <v>83</v>
      </c>
      <c r="AT228" s="21" t="s">
        <v>83</v>
      </c>
      <c r="AU228" s="21" t="s">
        <v>83</v>
      </c>
      <c r="AV228" s="21" t="s">
        <v>83</v>
      </c>
      <c r="AW228" s="21" t="s">
        <v>109</v>
      </c>
      <c r="AX228" s="21" t="s">
        <v>83</v>
      </c>
      <c r="AY228" s="21" t="s">
        <v>83</v>
      </c>
      <c r="AZ228" s="21" t="s">
        <v>83</v>
      </c>
      <c r="BA228" s="17" t="s">
        <v>250</v>
      </c>
      <c r="BB228" s="17" t="s">
        <v>250</v>
      </c>
      <c r="BC228" s="18">
        <f>--ISNUMBER(SEARCH("Radio or television",BA228))</f>
        <v>0</v>
      </c>
      <c r="BD228" s="18">
        <f>--ISNUMBER(SEARCH("Newspapers or print media",BA228))</f>
        <v>0</v>
      </c>
      <c r="BE228" s="18">
        <f>--ISNUMBER(SEARCH("Social media (e.g. Facebook, WhatsApp, YouTube, X/Twitter)",BA228))</f>
        <v>1</v>
      </c>
      <c r="BF228" s="18">
        <f>--ISNUMBER(SEARCH("Family members",BA228))</f>
        <v>0</v>
      </c>
      <c r="BG228" s="18">
        <f>--ISNUMBER(SEARCH("Friends or fellow students",BA228))</f>
        <v>0</v>
      </c>
      <c r="BH228" s="18">
        <f>--ISNUMBER(SEARCH("School coursework or lectures",BA228))</f>
        <v>0</v>
      </c>
      <c r="BI228" s="18">
        <f>--ISNUMBER(SEARCH("NHIMA outreach activities or NHIMA offices",BA228))</f>
        <v>0</v>
      </c>
      <c r="BJ228" s="18">
        <f>--ISNUMBER(SEARCH("Health facility staff",BA228))</f>
        <v>0</v>
      </c>
      <c r="BK228" s="18">
        <f>--ISNUMBER(SEARCH("not received information",BA228))</f>
        <v>0</v>
      </c>
      <c r="BL228" s="18">
        <f>IF(T228="","",--(T228='Codebook'!$F$13))</f>
        <v>1</v>
      </c>
      <c r="BM228" s="18">
        <f>IF(U228="","",--(U228='Codebook'!$F$14))</f>
        <v>0</v>
      </c>
      <c r="BN228" s="18">
        <f>IF(V228="","",--(V228='Codebook'!$F$15))</f>
        <v>0</v>
      </c>
      <c r="BO228" s="18">
        <f>IF(W228="","",--(W228='Codebook'!$F$16))</f>
        <v>0</v>
      </c>
      <c r="BP228" s="18">
        <f>IF(X228="","",--(X228='Codebook'!$F$17))</f>
        <v>0</v>
      </c>
      <c r="BQ228" s="18">
        <f>IF(Y228="","",--(Y228='Codebook'!$F$18))</f>
        <v>0</v>
      </c>
      <c r="BR228" s="18">
        <f>IF(Z228="","",--(Z228='Codebook'!$F$19))</f>
        <v>1</v>
      </c>
      <c r="BS228" s="18">
        <f>IF(AA228="","",--(AA228='Codebook'!$F$20))</f>
        <v>1</v>
      </c>
      <c r="BT228" s="18">
        <f>IF(AB228="","",--(AB228='Codebook'!$F$21))</f>
        <v>0</v>
      </c>
      <c r="BU228" s="18">
        <f>IF(AC228="","",--(AC228='Codebook'!$F$22))</f>
        <v>1</v>
      </c>
      <c r="BV228" s="18">
        <f>IF(AD228="","",--(AD228='Codebook'!$F$23))</f>
        <v>1</v>
      </c>
      <c r="BW228" s="18">
        <f>IF(AE228="","",--(AE228='Codebook'!$F$24))</f>
        <v>1</v>
      </c>
      <c r="BX228" s="18">
        <f>IF(AF228="","",--(AF228='Codebook'!$F$25))</f>
        <v>0</v>
      </c>
      <c r="BY228" s="18">
        <f>IF(AG228="","",--(AG228='Codebook'!$F$26))</f>
        <v>0</v>
      </c>
      <c r="BZ228" s="18">
        <f>IF(AH228="","",--(AH228='Codebook'!$F$27))</f>
        <v>0</v>
      </c>
      <c r="CA228" s="18">
        <f>IF(AI228="","",--(AI228='Codebook'!$F$28))</f>
        <v>0</v>
      </c>
      <c r="CB228" s="18">
        <f>IF(AJ228="","",--(AJ228='Codebook'!$F$29))</f>
        <v>1</v>
      </c>
      <c r="CC228" s="18">
        <f>IF(AK228="","",--(AK228='Codebook'!$F$30))</f>
        <v>1</v>
      </c>
      <c r="CD228" s="18">
        <f>IF(AL228="","",--(AL228='Codebook'!$F$31))</f>
        <v>0</v>
      </c>
      <c r="CE228" s="18">
        <f>IF(AM228="","",--(AM228='Codebook'!$F$32))</f>
        <v>0</v>
      </c>
      <c r="CF228" s="18">
        <f>IF(AN228="","",--(AN228='Codebook'!$F$33))</f>
        <v>1</v>
      </c>
      <c r="CG228" s="18">
        <f>IF(AO228="","",--(AO228='Codebook'!$F$34))</f>
        <v>1</v>
      </c>
      <c r="CH228" s="18">
        <f>IF(AP228="","",--(AP228='Codebook'!$F$35))</f>
        <v>1</v>
      </c>
      <c r="CI228" s="18">
        <f>IF(AQ228="","",--(AQ228='Codebook'!$F$36))</f>
        <v>0</v>
      </c>
      <c r="CJ228" s="18">
        <f>IF(AR228="","",--(AR228='Codebook'!$F$37))</f>
        <v>1</v>
      </c>
      <c r="CK228" s="18">
        <f>IF(AS228="","",--(AS228='Codebook'!$F$38))</f>
        <v>1</v>
      </c>
      <c r="CL228" s="18">
        <f>IF(AT228="","",--(AT228='Codebook'!$F$39))</f>
        <v>1</v>
      </c>
      <c r="CM228" s="18">
        <f>IF(AU228="","",--(AU228='Codebook'!$F$40))</f>
        <v>0</v>
      </c>
      <c r="CN228" s="18">
        <f>IF(AV228="","",--(AV228='Codebook'!$F$41))</f>
        <v>0</v>
      </c>
      <c r="CO228" s="18">
        <f>IF(AW228="","",--(AW228='Codebook'!$F$42))</f>
        <v>1</v>
      </c>
      <c r="CP228" s="18">
        <f>IF(AX228="","",--(AX228='Codebook'!$F$43))</f>
        <v>0</v>
      </c>
      <c r="CQ228" s="18">
        <f>IF(AY228="","",--(AY228='Codebook'!$F$44))</f>
        <v>0</v>
      </c>
      <c r="CR228" s="18">
        <f>IF(AZ228="","",--(AZ228='Codebook'!$F$45))</f>
        <v>0</v>
      </c>
    </row>
    <row r="229" spans="2:96" ht="24" customHeight="1">
      <c r="B229" s="18">
        <v>224</v>
      </c>
      <c r="C229" s="23">
        <v>46287.8302809375</v>
      </c>
      <c r="D229" s="21" t="s">
        <v>275</v>
      </c>
      <c r="E229" s="21" t="s">
        <v>194</v>
      </c>
      <c r="F229" s="21" t="s">
        <v>212</v>
      </c>
      <c r="G229" s="17" t="s">
        <v>247</v>
      </c>
      <c r="H229" s="21" t="s">
        <v>207</v>
      </c>
      <c r="I229" s="18">
        <f>SUM(BL229:BU229)</f>
        <v>0</v>
      </c>
      <c r="J229" s="18">
        <f>IF(COUNT(BV229:CD229)=9,SUM(BV229:CD229),"")</f>
        <v>5</v>
      </c>
      <c r="K229" s="18">
        <f>SUM(BL229:CD229)</f>
        <v>5</v>
      </c>
      <c r="L229" s="18">
        <f>--(K229&gt;='Codebook'!$C$8)</f>
        <v>0</v>
      </c>
      <c r="M229" s="18">
        <f>--(COUNT(BL229:CD229)=19)</f>
        <v>1</v>
      </c>
      <c r="N229" s="18">
        <f>SUM(CE229:CL229)</f>
        <v>6</v>
      </c>
      <c r="O229" s="18">
        <f>SUM(CM229:CR229)</f>
        <v>2</v>
      </c>
      <c r="P229" s="18">
        <f>N229+O229</f>
        <v>8</v>
      </c>
      <c r="Q229" s="21" t="s">
        <v>197</v>
      </c>
      <c r="R229" s="17" t="s">
        <v>152</v>
      </c>
      <c r="S229" s="18">
        <f>--OR(Overview!$B$6="All",E229=Overview!$B$6)*--OR(Overview!$F$6="All",F229=Overview!$F$6)*--OR(Overview!$J$6="All",G229=Overview!$J$6)*--OR(Overview!$N$6="All",H229=Overview!$N$6)</f>
        <v>1</v>
      </c>
      <c r="T229" s="21" t="s">
        <v>26</v>
      </c>
      <c r="U229" s="21" t="s">
        <v>22</v>
      </c>
      <c r="V229" s="21" t="s">
        <v>22</v>
      </c>
      <c r="W229" s="21" t="s">
        <v>26</v>
      </c>
      <c r="X229" s="21" t="s">
        <v>26</v>
      </c>
      <c r="Y229" s="21" t="s">
        <v>22</v>
      </c>
      <c r="Z229" s="21" t="s">
        <v>198</v>
      </c>
      <c r="AA229" s="21" t="s">
        <v>26</v>
      </c>
      <c r="AB229" s="21" t="s">
        <v>22</v>
      </c>
      <c r="AC229" s="21" t="s">
        <v>26</v>
      </c>
      <c r="AD229" s="21" t="s">
        <v>22</v>
      </c>
      <c r="AE229" s="21" t="s">
        <v>198</v>
      </c>
      <c r="AF229" s="21" t="s">
        <v>26</v>
      </c>
      <c r="AG229" s="21" t="s">
        <v>22</v>
      </c>
      <c r="AH229" s="21" t="s">
        <v>22</v>
      </c>
      <c r="AI229" s="21" t="s">
        <v>22</v>
      </c>
      <c r="AJ229" s="21" t="s">
        <v>198</v>
      </c>
      <c r="AK229" s="21" t="s">
        <v>22</v>
      </c>
      <c r="AL229" s="21" t="s">
        <v>22</v>
      </c>
      <c r="AM229" s="21" t="s">
        <v>109</v>
      </c>
      <c r="AN229" s="21" t="s">
        <v>83</v>
      </c>
      <c r="AO229" s="21" t="s">
        <v>83</v>
      </c>
      <c r="AP229" s="21" t="s">
        <v>83</v>
      </c>
      <c r="AQ229" s="21" t="s">
        <v>198</v>
      </c>
      <c r="AR229" s="21" t="s">
        <v>83</v>
      </c>
      <c r="AS229" s="21" t="s">
        <v>83</v>
      </c>
      <c r="AT229" s="21" t="s">
        <v>83</v>
      </c>
      <c r="AU229" s="21" t="s">
        <v>109</v>
      </c>
      <c r="AV229" s="21" t="s">
        <v>83</v>
      </c>
      <c r="AW229" s="21" t="s">
        <v>83</v>
      </c>
      <c r="AX229" s="21" t="s">
        <v>83</v>
      </c>
      <c r="AY229" s="21" t="s">
        <v>109</v>
      </c>
      <c r="AZ229" s="21" t="s">
        <v>83</v>
      </c>
      <c r="BA229" s="17" t="s">
        <v>246</v>
      </c>
      <c r="BB229" s="17" t="s">
        <v>223</v>
      </c>
      <c r="BC229" s="18">
        <f>--ISNUMBER(SEARCH("Radio or television",BA229))</f>
        <v>1</v>
      </c>
      <c r="BD229" s="18">
        <f>--ISNUMBER(SEARCH("Newspapers or print media",BA229))</f>
        <v>0</v>
      </c>
      <c r="BE229" s="18">
        <f>--ISNUMBER(SEARCH("Social media (e.g. Facebook, WhatsApp, YouTube, X/Twitter)",BA229))</f>
        <v>1</v>
      </c>
      <c r="BF229" s="18">
        <f>--ISNUMBER(SEARCH("Family members",BA229))</f>
        <v>0</v>
      </c>
      <c r="BG229" s="18">
        <f>--ISNUMBER(SEARCH("Friends or fellow students",BA229))</f>
        <v>0</v>
      </c>
      <c r="BH229" s="18">
        <f>--ISNUMBER(SEARCH("School coursework or lectures",BA229))</f>
        <v>0</v>
      </c>
      <c r="BI229" s="18">
        <f>--ISNUMBER(SEARCH("NHIMA outreach activities or NHIMA offices",BA229))</f>
        <v>0</v>
      </c>
      <c r="BJ229" s="18">
        <f>--ISNUMBER(SEARCH("Health facility staff",BA229))</f>
        <v>0</v>
      </c>
      <c r="BK229" s="18">
        <f>--ISNUMBER(SEARCH("not received information",BA229))</f>
        <v>0</v>
      </c>
      <c r="BL229" s="18">
        <f>IF(T229="","",--(T229='Codebook'!$F$13))</f>
        <v>0</v>
      </c>
      <c r="BM229" s="18">
        <f>IF(U229="","",--(U229='Codebook'!$F$14))</f>
        <v>0</v>
      </c>
      <c r="BN229" s="18">
        <f>IF(V229="","",--(V229='Codebook'!$F$15))</f>
        <v>0</v>
      </c>
      <c r="BO229" s="18">
        <f>IF(W229="","",--(W229='Codebook'!$F$16))</f>
        <v>0</v>
      </c>
      <c r="BP229" s="18">
        <f>IF(X229="","",--(X229='Codebook'!$F$17))</f>
        <v>0</v>
      </c>
      <c r="BQ229" s="18">
        <f>IF(Y229="","",--(Y229='Codebook'!$F$18))</f>
        <v>0</v>
      </c>
      <c r="BR229" s="18">
        <f>IF(Z229="","",--(Z229='Codebook'!$F$19))</f>
        <v>0</v>
      </c>
      <c r="BS229" s="18">
        <f>IF(AA229="","",--(AA229='Codebook'!$F$20))</f>
        <v>0</v>
      </c>
      <c r="BT229" s="18">
        <f>IF(AB229="","",--(AB229='Codebook'!$F$21))</f>
        <v>0</v>
      </c>
      <c r="BU229" s="18">
        <f>IF(AC229="","",--(AC229='Codebook'!$F$22))</f>
        <v>0</v>
      </c>
      <c r="BV229" s="18">
        <f>IF(AD229="","",--(AD229='Codebook'!$F$23))</f>
        <v>1</v>
      </c>
      <c r="BW229" s="18">
        <f>IF(AE229="","",--(AE229='Codebook'!$F$24))</f>
        <v>0</v>
      </c>
      <c r="BX229" s="18">
        <f>IF(AF229="","",--(AF229='Codebook'!$F$25))</f>
        <v>1</v>
      </c>
      <c r="BY229" s="18">
        <f>IF(AG229="","",--(AG229='Codebook'!$F$26))</f>
        <v>1</v>
      </c>
      <c r="BZ229" s="18">
        <f>IF(AH229="","",--(AH229='Codebook'!$F$27))</f>
        <v>1</v>
      </c>
      <c r="CA229" s="18">
        <f>IF(AI229="","",--(AI229='Codebook'!$F$28))</f>
        <v>0</v>
      </c>
      <c r="CB229" s="18">
        <f>IF(AJ229="","",--(AJ229='Codebook'!$F$29))</f>
        <v>0</v>
      </c>
      <c r="CC229" s="18">
        <f>IF(AK229="","",--(AK229='Codebook'!$F$30))</f>
        <v>1</v>
      </c>
      <c r="CD229" s="18">
        <f>IF(AL229="","",--(AL229='Codebook'!$F$31))</f>
        <v>0</v>
      </c>
      <c r="CE229" s="18">
        <f>IF(AM229="","",--(AM229='Codebook'!$F$32))</f>
        <v>0</v>
      </c>
      <c r="CF229" s="18">
        <f>IF(AN229="","",--(AN229='Codebook'!$F$33))</f>
        <v>1</v>
      </c>
      <c r="CG229" s="18">
        <f>IF(AO229="","",--(AO229='Codebook'!$F$34))</f>
        <v>1</v>
      </c>
      <c r="CH229" s="18">
        <f>IF(AP229="","",--(AP229='Codebook'!$F$35))</f>
        <v>1</v>
      </c>
      <c r="CI229" s="18">
        <f>IF(AQ229="","",--(AQ229='Codebook'!$F$36))</f>
        <v>0</v>
      </c>
      <c r="CJ229" s="18">
        <f>IF(AR229="","",--(AR229='Codebook'!$F$37))</f>
        <v>1</v>
      </c>
      <c r="CK229" s="18">
        <f>IF(AS229="","",--(AS229='Codebook'!$F$38))</f>
        <v>1</v>
      </c>
      <c r="CL229" s="18">
        <f>IF(AT229="","",--(AT229='Codebook'!$F$39))</f>
        <v>1</v>
      </c>
      <c r="CM229" s="18">
        <f>IF(AU229="","",--(AU229='Codebook'!$F$40))</f>
        <v>1</v>
      </c>
      <c r="CN229" s="18">
        <f>IF(AV229="","",--(AV229='Codebook'!$F$41))</f>
        <v>0</v>
      </c>
      <c r="CO229" s="18">
        <f>IF(AW229="","",--(AW229='Codebook'!$F$42))</f>
        <v>0</v>
      </c>
      <c r="CP229" s="18">
        <f>IF(AX229="","",--(AX229='Codebook'!$F$43))</f>
        <v>0</v>
      </c>
      <c r="CQ229" s="18">
        <f>IF(AY229="","",--(AY229='Codebook'!$F$44))</f>
        <v>1</v>
      </c>
      <c r="CR229" s="18">
        <f>IF(AZ229="","",--(AZ229='Codebook'!$F$45))</f>
        <v>0</v>
      </c>
    </row>
    <row r="230" spans="2:96" ht="24" customHeight="1">
      <c r="B230" s="18">
        <v>225</v>
      </c>
      <c r="C230" s="23">
        <v>46287.8310003588</v>
      </c>
      <c r="D230" s="21" t="s">
        <v>275</v>
      </c>
      <c r="E230" s="21" t="s">
        <v>206</v>
      </c>
      <c r="F230" s="21" t="s">
        <v>226</v>
      </c>
      <c r="G230" s="17" t="s">
        <v>247</v>
      </c>
      <c r="H230" s="21" t="s">
        <v>198</v>
      </c>
      <c r="I230" s="18">
        <f>SUM(BL230:BU230)</f>
        <v>5</v>
      </c>
      <c r="J230" s="18">
        <f>IF(COUNT(BV230:CD230)=9,SUM(BV230:CD230),"")</f>
        <v>5</v>
      </c>
      <c r="K230" s="18">
        <f>SUM(BL230:CD230)</f>
        <v>10</v>
      </c>
      <c r="L230" s="18">
        <f>--(K230&gt;='Codebook'!$C$8)</f>
        <v>0</v>
      </c>
      <c r="M230" s="18">
        <f>--(COUNT(BL230:CD230)=19)</f>
        <v>1</v>
      </c>
      <c r="N230" s="18">
        <f>SUM(CE230:CL230)</f>
        <v>6</v>
      </c>
      <c r="O230" s="18">
        <f>SUM(CM230:CR230)</f>
        <v>1</v>
      </c>
      <c r="P230" s="18">
        <f>N230+O230</f>
        <v>7</v>
      </c>
      <c r="Q230" s="21" t="s">
        <v>207</v>
      </c>
      <c r="R230" s="17" t="s">
        <v>155</v>
      </c>
      <c r="S230" s="18">
        <f>--OR(Overview!$B$6="All",E230=Overview!$B$6)*--OR(Overview!$F$6="All",F230=Overview!$F$6)*--OR(Overview!$J$6="All",G230=Overview!$J$6)*--OR(Overview!$N$6="All",H230=Overview!$N$6)</f>
        <v>1</v>
      </c>
      <c r="T230" s="21" t="s">
        <v>22</v>
      </c>
      <c r="U230" s="21" t="s">
        <v>22</v>
      </c>
      <c r="V230" s="21" t="s">
        <v>22</v>
      </c>
      <c r="W230" s="21" t="s">
        <v>22</v>
      </c>
      <c r="X230" s="21" t="s">
        <v>26</v>
      </c>
      <c r="Y230" s="21" t="s">
        <v>22</v>
      </c>
      <c r="Z230" s="21" t="s">
        <v>22</v>
      </c>
      <c r="AA230" s="21" t="s">
        <v>22</v>
      </c>
      <c r="AB230" s="21" t="s">
        <v>22</v>
      </c>
      <c r="AC230" s="21" t="s">
        <v>22</v>
      </c>
      <c r="AD230" s="21" t="s">
        <v>22</v>
      </c>
      <c r="AE230" s="21" t="s">
        <v>22</v>
      </c>
      <c r="AF230" s="21" t="s">
        <v>22</v>
      </c>
      <c r="AG230" s="21" t="s">
        <v>22</v>
      </c>
      <c r="AH230" s="21" t="s">
        <v>22</v>
      </c>
      <c r="AI230" s="21" t="s">
        <v>22</v>
      </c>
      <c r="AJ230" s="21" t="s">
        <v>22</v>
      </c>
      <c r="AK230" s="21" t="s">
        <v>22</v>
      </c>
      <c r="AL230" s="21" t="s">
        <v>22</v>
      </c>
      <c r="AM230" s="21" t="s">
        <v>83</v>
      </c>
      <c r="AN230" s="21" t="s">
        <v>83</v>
      </c>
      <c r="AO230" s="21" t="s">
        <v>83</v>
      </c>
      <c r="AP230" s="21" t="s">
        <v>109</v>
      </c>
      <c r="AQ230" s="21" t="s">
        <v>83</v>
      </c>
      <c r="AR230" s="21" t="s">
        <v>83</v>
      </c>
      <c r="AS230" s="21" t="s">
        <v>109</v>
      </c>
      <c r="AT230" s="21" t="s">
        <v>83</v>
      </c>
      <c r="AU230" s="21" t="s">
        <v>109</v>
      </c>
      <c r="AV230" s="21" t="s">
        <v>83</v>
      </c>
      <c r="AW230" s="21" t="s">
        <v>83</v>
      </c>
      <c r="AX230" s="21" t="s">
        <v>198</v>
      </c>
      <c r="AY230" s="21" t="s">
        <v>83</v>
      </c>
      <c r="AZ230" s="21" t="s">
        <v>198</v>
      </c>
      <c r="BA230" s="17" t="s">
        <v>298</v>
      </c>
      <c r="BB230" s="17" t="s">
        <v>219</v>
      </c>
      <c r="BC230" s="18">
        <f>--ISNUMBER(SEARCH("Radio or television",BA230))</f>
        <v>1</v>
      </c>
      <c r="BD230" s="18">
        <f>--ISNUMBER(SEARCH("Newspapers or print media",BA230))</f>
        <v>0</v>
      </c>
      <c r="BE230" s="18">
        <f>--ISNUMBER(SEARCH("Social media (e.g. Facebook, WhatsApp, YouTube, X/Twitter)",BA230))</f>
        <v>0</v>
      </c>
      <c r="BF230" s="18">
        <f>--ISNUMBER(SEARCH("Family members",BA230))</f>
        <v>1</v>
      </c>
      <c r="BG230" s="18">
        <f>--ISNUMBER(SEARCH("Friends or fellow students",BA230))</f>
        <v>1</v>
      </c>
      <c r="BH230" s="18">
        <f>--ISNUMBER(SEARCH("School coursework or lectures",BA230))</f>
        <v>0</v>
      </c>
      <c r="BI230" s="18">
        <f>--ISNUMBER(SEARCH("NHIMA outreach activities or NHIMA offices",BA230))</f>
        <v>0</v>
      </c>
      <c r="BJ230" s="18">
        <f>--ISNUMBER(SEARCH("Health facility staff",BA230))</f>
        <v>0</v>
      </c>
      <c r="BK230" s="18">
        <f>--ISNUMBER(SEARCH("not received information",BA230))</f>
        <v>0</v>
      </c>
      <c r="BL230" s="18">
        <f>IF(T230="","",--(T230='Codebook'!$F$13))</f>
        <v>1</v>
      </c>
      <c r="BM230" s="18">
        <f>IF(U230="","",--(U230='Codebook'!$F$14))</f>
        <v>0</v>
      </c>
      <c r="BN230" s="18">
        <f>IF(V230="","",--(V230='Codebook'!$F$15))</f>
        <v>0</v>
      </c>
      <c r="BO230" s="18">
        <f>IF(W230="","",--(W230='Codebook'!$F$16))</f>
        <v>1</v>
      </c>
      <c r="BP230" s="18">
        <f>IF(X230="","",--(X230='Codebook'!$F$17))</f>
        <v>0</v>
      </c>
      <c r="BQ230" s="18">
        <f>IF(Y230="","",--(Y230='Codebook'!$F$18))</f>
        <v>0</v>
      </c>
      <c r="BR230" s="18">
        <f>IF(Z230="","",--(Z230='Codebook'!$F$19))</f>
        <v>1</v>
      </c>
      <c r="BS230" s="18">
        <f>IF(AA230="","",--(AA230='Codebook'!$F$20))</f>
        <v>1</v>
      </c>
      <c r="BT230" s="18">
        <f>IF(AB230="","",--(AB230='Codebook'!$F$21))</f>
        <v>0</v>
      </c>
      <c r="BU230" s="18">
        <f>IF(AC230="","",--(AC230='Codebook'!$F$22))</f>
        <v>1</v>
      </c>
      <c r="BV230" s="18">
        <f>IF(AD230="","",--(AD230='Codebook'!$F$23))</f>
        <v>1</v>
      </c>
      <c r="BW230" s="18">
        <f>IF(AE230="","",--(AE230='Codebook'!$F$24))</f>
        <v>1</v>
      </c>
      <c r="BX230" s="18">
        <f>IF(AF230="","",--(AF230='Codebook'!$F$25))</f>
        <v>0</v>
      </c>
      <c r="BY230" s="18">
        <f>IF(AG230="","",--(AG230='Codebook'!$F$26))</f>
        <v>1</v>
      </c>
      <c r="BZ230" s="18">
        <f>IF(AH230="","",--(AH230='Codebook'!$F$27))</f>
        <v>1</v>
      </c>
      <c r="CA230" s="18">
        <f>IF(AI230="","",--(AI230='Codebook'!$F$28))</f>
        <v>0</v>
      </c>
      <c r="CB230" s="18">
        <f>IF(AJ230="","",--(AJ230='Codebook'!$F$29))</f>
        <v>0</v>
      </c>
      <c r="CC230" s="18">
        <f>IF(AK230="","",--(AK230='Codebook'!$F$30))</f>
        <v>1</v>
      </c>
      <c r="CD230" s="18">
        <f>IF(AL230="","",--(AL230='Codebook'!$F$31))</f>
        <v>0</v>
      </c>
      <c r="CE230" s="18">
        <f>IF(AM230="","",--(AM230='Codebook'!$F$32))</f>
        <v>1</v>
      </c>
      <c r="CF230" s="18">
        <f>IF(AN230="","",--(AN230='Codebook'!$F$33))</f>
        <v>1</v>
      </c>
      <c r="CG230" s="18">
        <f>IF(AO230="","",--(AO230='Codebook'!$F$34))</f>
        <v>1</v>
      </c>
      <c r="CH230" s="18">
        <f>IF(AP230="","",--(AP230='Codebook'!$F$35))</f>
        <v>0</v>
      </c>
      <c r="CI230" s="18">
        <f>IF(AQ230="","",--(AQ230='Codebook'!$F$36))</f>
        <v>1</v>
      </c>
      <c r="CJ230" s="18">
        <f>IF(AR230="","",--(AR230='Codebook'!$F$37))</f>
        <v>1</v>
      </c>
      <c r="CK230" s="18">
        <f>IF(AS230="","",--(AS230='Codebook'!$F$38))</f>
        <v>0</v>
      </c>
      <c r="CL230" s="18">
        <f>IF(AT230="","",--(AT230='Codebook'!$F$39))</f>
        <v>1</v>
      </c>
      <c r="CM230" s="18">
        <f>IF(AU230="","",--(AU230='Codebook'!$F$40))</f>
        <v>1</v>
      </c>
      <c r="CN230" s="18">
        <f>IF(AV230="","",--(AV230='Codebook'!$F$41))</f>
        <v>0</v>
      </c>
      <c r="CO230" s="18">
        <f>IF(AW230="","",--(AW230='Codebook'!$F$42))</f>
        <v>0</v>
      </c>
      <c r="CP230" s="18">
        <f>IF(AX230="","",--(AX230='Codebook'!$F$43))</f>
        <v>0</v>
      </c>
      <c r="CQ230" s="18">
        <f>IF(AY230="","",--(AY230='Codebook'!$F$44))</f>
        <v>0</v>
      </c>
      <c r="CR230" s="18">
        <f>IF(AZ230="","",--(AZ230='Codebook'!$F$45))</f>
        <v>0</v>
      </c>
    </row>
    <row r="231" spans="2:96" ht="24" customHeight="1">
      <c r="B231" s="18">
        <v>226</v>
      </c>
      <c r="C231" s="23">
        <v>46287.83168881945</v>
      </c>
      <c r="D231" s="21" t="s">
        <v>275</v>
      </c>
      <c r="E231" s="21" t="s">
        <v>194</v>
      </c>
      <c r="F231" s="21" t="s">
        <v>212</v>
      </c>
      <c r="G231" s="17" t="s">
        <v>196</v>
      </c>
      <c r="H231" s="21" t="s">
        <v>198</v>
      </c>
      <c r="I231" s="18">
        <f>SUM(BL231:BU231)</f>
        <v>5</v>
      </c>
      <c r="J231" s="18">
        <f>IF(COUNT(BV231:CD231)=9,SUM(BV231:CD231),"")</f>
        <v>3</v>
      </c>
      <c r="K231" s="18">
        <f>SUM(BL231:CD231)</f>
        <v>8</v>
      </c>
      <c r="L231" s="18">
        <f>--(K231&gt;='Codebook'!$C$8)</f>
        <v>0</v>
      </c>
      <c r="M231" s="18">
        <f>--(COUNT(BL231:CD231)=19)</f>
        <v>1</v>
      </c>
      <c r="N231" s="18">
        <f>SUM(CE231:CL231)</f>
        <v>7</v>
      </c>
      <c r="O231" s="18">
        <f>SUM(CM231:CR231)</f>
        <v>0</v>
      </c>
      <c r="P231" s="18">
        <f>N231+O231</f>
        <v>7</v>
      </c>
      <c r="Q231" s="21" t="s">
        <v>207</v>
      </c>
      <c r="R231" s="17" t="s">
        <v>155</v>
      </c>
      <c r="S231" s="18">
        <f>--OR(Overview!$B$6="All",E231=Overview!$B$6)*--OR(Overview!$F$6="All",F231=Overview!$F$6)*--OR(Overview!$J$6="All",G231=Overview!$J$6)*--OR(Overview!$N$6="All",H231=Overview!$N$6)</f>
        <v>1</v>
      </c>
      <c r="T231" s="21" t="s">
        <v>22</v>
      </c>
      <c r="U231" s="21" t="s">
        <v>22</v>
      </c>
      <c r="V231" s="21" t="s">
        <v>198</v>
      </c>
      <c r="W231" s="21" t="s">
        <v>22</v>
      </c>
      <c r="X231" s="21" t="s">
        <v>26</v>
      </c>
      <c r="Y231" s="21" t="s">
        <v>198</v>
      </c>
      <c r="Z231" s="21" t="s">
        <v>22</v>
      </c>
      <c r="AA231" s="21" t="s">
        <v>22</v>
      </c>
      <c r="AB231" s="21" t="s">
        <v>22</v>
      </c>
      <c r="AC231" s="21" t="s">
        <v>22</v>
      </c>
      <c r="AD231" s="21" t="s">
        <v>198</v>
      </c>
      <c r="AE231" s="21" t="s">
        <v>22</v>
      </c>
      <c r="AF231" s="21" t="s">
        <v>22</v>
      </c>
      <c r="AG231" s="21" t="s">
        <v>26</v>
      </c>
      <c r="AH231" s="21" t="s">
        <v>22</v>
      </c>
      <c r="AI231" s="21" t="s">
        <v>22</v>
      </c>
      <c r="AJ231" s="21" t="s">
        <v>198</v>
      </c>
      <c r="AK231" s="21" t="s">
        <v>22</v>
      </c>
      <c r="AL231" s="21" t="s">
        <v>198</v>
      </c>
      <c r="AM231" s="21" t="s">
        <v>83</v>
      </c>
      <c r="AN231" s="21" t="s">
        <v>83</v>
      </c>
      <c r="AO231" s="21" t="s">
        <v>83</v>
      </c>
      <c r="AP231" s="21" t="s">
        <v>198</v>
      </c>
      <c r="AQ231" s="21" t="s">
        <v>83</v>
      </c>
      <c r="AR231" s="21" t="s">
        <v>83</v>
      </c>
      <c r="AS231" s="21" t="s">
        <v>83</v>
      </c>
      <c r="AT231" s="21" t="s">
        <v>83</v>
      </c>
      <c r="AU231" s="21" t="s">
        <v>83</v>
      </c>
      <c r="AV231" s="21" t="s">
        <v>83</v>
      </c>
      <c r="AW231" s="21" t="s">
        <v>83</v>
      </c>
      <c r="AX231" s="21" t="s">
        <v>83</v>
      </c>
      <c r="AY231" s="21" t="s">
        <v>83</v>
      </c>
      <c r="AZ231" s="21" t="s">
        <v>83</v>
      </c>
      <c r="BA231" s="17" t="s">
        <v>298</v>
      </c>
      <c r="BB231" s="17" t="s">
        <v>219</v>
      </c>
      <c r="BC231" s="18">
        <f>--ISNUMBER(SEARCH("Radio or television",BA231))</f>
        <v>1</v>
      </c>
      <c r="BD231" s="18">
        <f>--ISNUMBER(SEARCH("Newspapers or print media",BA231))</f>
        <v>0</v>
      </c>
      <c r="BE231" s="18">
        <f>--ISNUMBER(SEARCH("Social media (e.g. Facebook, WhatsApp, YouTube, X/Twitter)",BA231))</f>
        <v>0</v>
      </c>
      <c r="BF231" s="18">
        <f>--ISNUMBER(SEARCH("Family members",BA231))</f>
        <v>1</v>
      </c>
      <c r="BG231" s="18">
        <f>--ISNUMBER(SEARCH("Friends or fellow students",BA231))</f>
        <v>1</v>
      </c>
      <c r="BH231" s="18">
        <f>--ISNUMBER(SEARCH("School coursework or lectures",BA231))</f>
        <v>0</v>
      </c>
      <c r="BI231" s="18">
        <f>--ISNUMBER(SEARCH("NHIMA outreach activities or NHIMA offices",BA231))</f>
        <v>0</v>
      </c>
      <c r="BJ231" s="18">
        <f>--ISNUMBER(SEARCH("Health facility staff",BA231))</f>
        <v>0</v>
      </c>
      <c r="BK231" s="18">
        <f>--ISNUMBER(SEARCH("not received information",BA231))</f>
        <v>0</v>
      </c>
      <c r="BL231" s="18">
        <f>IF(T231="","",--(T231='Codebook'!$F$13))</f>
        <v>1</v>
      </c>
      <c r="BM231" s="18">
        <f>IF(U231="","",--(U231='Codebook'!$F$14))</f>
        <v>0</v>
      </c>
      <c r="BN231" s="18">
        <f>IF(V231="","",--(V231='Codebook'!$F$15))</f>
        <v>0</v>
      </c>
      <c r="BO231" s="18">
        <f>IF(W231="","",--(W231='Codebook'!$F$16))</f>
        <v>1</v>
      </c>
      <c r="BP231" s="18">
        <f>IF(X231="","",--(X231='Codebook'!$F$17))</f>
        <v>0</v>
      </c>
      <c r="BQ231" s="18">
        <f>IF(Y231="","",--(Y231='Codebook'!$F$18))</f>
        <v>0</v>
      </c>
      <c r="BR231" s="18">
        <f>IF(Z231="","",--(Z231='Codebook'!$F$19))</f>
        <v>1</v>
      </c>
      <c r="BS231" s="18">
        <f>IF(AA231="","",--(AA231='Codebook'!$F$20))</f>
        <v>1</v>
      </c>
      <c r="BT231" s="18">
        <f>IF(AB231="","",--(AB231='Codebook'!$F$21))</f>
        <v>0</v>
      </c>
      <c r="BU231" s="18">
        <f>IF(AC231="","",--(AC231='Codebook'!$F$22))</f>
        <v>1</v>
      </c>
      <c r="BV231" s="18">
        <f>IF(AD231="","",--(AD231='Codebook'!$F$23))</f>
        <v>0</v>
      </c>
      <c r="BW231" s="18">
        <f>IF(AE231="","",--(AE231='Codebook'!$F$24))</f>
        <v>1</v>
      </c>
      <c r="BX231" s="18">
        <f>IF(AF231="","",--(AF231='Codebook'!$F$25))</f>
        <v>0</v>
      </c>
      <c r="BY231" s="18">
        <f>IF(AG231="","",--(AG231='Codebook'!$F$26))</f>
        <v>0</v>
      </c>
      <c r="BZ231" s="18">
        <f>IF(AH231="","",--(AH231='Codebook'!$F$27))</f>
        <v>1</v>
      </c>
      <c r="CA231" s="18">
        <f>IF(AI231="","",--(AI231='Codebook'!$F$28))</f>
        <v>0</v>
      </c>
      <c r="CB231" s="18">
        <f>IF(AJ231="","",--(AJ231='Codebook'!$F$29))</f>
        <v>0</v>
      </c>
      <c r="CC231" s="18">
        <f>IF(AK231="","",--(AK231='Codebook'!$F$30))</f>
        <v>1</v>
      </c>
      <c r="CD231" s="18">
        <f>IF(AL231="","",--(AL231='Codebook'!$F$31))</f>
        <v>0</v>
      </c>
      <c r="CE231" s="18">
        <f>IF(AM231="","",--(AM231='Codebook'!$F$32))</f>
        <v>1</v>
      </c>
      <c r="CF231" s="18">
        <f>IF(AN231="","",--(AN231='Codebook'!$F$33))</f>
        <v>1</v>
      </c>
      <c r="CG231" s="18">
        <f>IF(AO231="","",--(AO231='Codebook'!$F$34))</f>
        <v>1</v>
      </c>
      <c r="CH231" s="18">
        <f>IF(AP231="","",--(AP231='Codebook'!$F$35))</f>
        <v>0</v>
      </c>
      <c r="CI231" s="18">
        <f>IF(AQ231="","",--(AQ231='Codebook'!$F$36))</f>
        <v>1</v>
      </c>
      <c r="CJ231" s="18">
        <f>IF(AR231="","",--(AR231='Codebook'!$F$37))</f>
        <v>1</v>
      </c>
      <c r="CK231" s="18">
        <f>IF(AS231="","",--(AS231='Codebook'!$F$38))</f>
        <v>1</v>
      </c>
      <c r="CL231" s="18">
        <f>IF(AT231="","",--(AT231='Codebook'!$F$39))</f>
        <v>1</v>
      </c>
      <c r="CM231" s="18">
        <f>IF(AU231="","",--(AU231='Codebook'!$F$40))</f>
        <v>0</v>
      </c>
      <c r="CN231" s="18">
        <f>IF(AV231="","",--(AV231='Codebook'!$F$41))</f>
        <v>0</v>
      </c>
      <c r="CO231" s="18">
        <f>IF(AW231="","",--(AW231='Codebook'!$F$42))</f>
        <v>0</v>
      </c>
      <c r="CP231" s="18">
        <f>IF(AX231="","",--(AX231='Codebook'!$F$43))</f>
        <v>0</v>
      </c>
      <c r="CQ231" s="18">
        <f>IF(AY231="","",--(AY231='Codebook'!$F$44))</f>
        <v>0</v>
      </c>
      <c r="CR231" s="18">
        <f>IF(AZ231="","",--(AZ231='Codebook'!$F$45))</f>
        <v>0</v>
      </c>
    </row>
    <row r="232" spans="2:96" ht="24" customHeight="1">
      <c r="B232" s="18">
        <v>227</v>
      </c>
      <c r="C232" s="23">
        <v>46287.83238047454</v>
      </c>
      <c r="D232" s="21" t="s">
        <v>275</v>
      </c>
      <c r="E232" s="21" t="s">
        <v>206</v>
      </c>
      <c r="F232" s="21" t="s">
        <v>201</v>
      </c>
      <c r="G232" s="17" t="s">
        <v>224</v>
      </c>
      <c r="H232" s="21" t="s">
        <v>197</v>
      </c>
      <c r="I232" s="18">
        <f>SUM(BL232:BU232)</f>
        <v>6</v>
      </c>
      <c r="J232" s="18">
        <f>IF(COUNT(BV232:CD232)=9,SUM(BV232:CD232),"")</f>
        <v>5</v>
      </c>
      <c r="K232" s="18">
        <f>SUM(BL232:CD232)</f>
        <v>11</v>
      </c>
      <c r="L232" s="18">
        <f>--(K232&gt;='Codebook'!$C$8)</f>
        <v>0</v>
      </c>
      <c r="M232" s="18">
        <f>--(COUNT(BL232:CD232)=19)</f>
        <v>1</v>
      </c>
      <c r="N232" s="18">
        <f>SUM(CE232:CL232)</f>
        <v>5</v>
      </c>
      <c r="O232" s="18">
        <f>SUM(CM232:CR232)</f>
        <v>1</v>
      </c>
      <c r="P232" s="18">
        <f>N232+O232</f>
        <v>6</v>
      </c>
      <c r="Q232" s="21" t="s">
        <v>197</v>
      </c>
      <c r="R232" s="17" t="s">
        <v>155</v>
      </c>
      <c r="S232" s="18">
        <f>--OR(Overview!$B$6="All",E232=Overview!$B$6)*--OR(Overview!$F$6="All",F232=Overview!$F$6)*--OR(Overview!$J$6="All",G232=Overview!$J$6)*--OR(Overview!$N$6="All",H232=Overview!$N$6)</f>
        <v>1</v>
      </c>
      <c r="T232" s="21" t="s">
        <v>22</v>
      </c>
      <c r="U232" s="21" t="s">
        <v>22</v>
      </c>
      <c r="V232" s="21" t="s">
        <v>22</v>
      </c>
      <c r="W232" s="21" t="s">
        <v>22</v>
      </c>
      <c r="X232" s="21" t="s">
        <v>22</v>
      </c>
      <c r="Y232" s="21" t="s">
        <v>22</v>
      </c>
      <c r="Z232" s="21" t="s">
        <v>22</v>
      </c>
      <c r="AA232" s="21" t="s">
        <v>22</v>
      </c>
      <c r="AB232" s="21" t="s">
        <v>22</v>
      </c>
      <c r="AC232" s="21" t="s">
        <v>22</v>
      </c>
      <c r="AD232" s="21" t="s">
        <v>22</v>
      </c>
      <c r="AE232" s="21" t="s">
        <v>22</v>
      </c>
      <c r="AF232" s="21" t="s">
        <v>22</v>
      </c>
      <c r="AG232" s="21" t="s">
        <v>22</v>
      </c>
      <c r="AH232" s="21" t="s">
        <v>22</v>
      </c>
      <c r="AI232" s="21" t="s">
        <v>22</v>
      </c>
      <c r="AJ232" s="21" t="s">
        <v>22</v>
      </c>
      <c r="AK232" s="21" t="s">
        <v>22</v>
      </c>
      <c r="AL232" s="21" t="s">
        <v>22</v>
      </c>
      <c r="AM232" s="21" t="s">
        <v>83</v>
      </c>
      <c r="AN232" s="21" t="s">
        <v>109</v>
      </c>
      <c r="AO232" s="21" t="s">
        <v>83</v>
      </c>
      <c r="AP232" s="21" t="s">
        <v>83</v>
      </c>
      <c r="AQ232" s="21" t="s">
        <v>83</v>
      </c>
      <c r="AR232" s="21" t="s">
        <v>109</v>
      </c>
      <c r="AS232" s="21" t="s">
        <v>109</v>
      </c>
      <c r="AT232" s="21" t="s">
        <v>83</v>
      </c>
      <c r="AU232" s="21" t="s">
        <v>83</v>
      </c>
      <c r="AV232" s="21" t="s">
        <v>83</v>
      </c>
      <c r="AW232" s="21" t="s">
        <v>109</v>
      </c>
      <c r="AX232" s="21" t="s">
        <v>83</v>
      </c>
      <c r="AY232" s="21" t="s">
        <v>83</v>
      </c>
      <c r="AZ232" s="21" t="s">
        <v>83</v>
      </c>
      <c r="BA232" s="17" t="s">
        <v>298</v>
      </c>
      <c r="BB232" s="17" t="s">
        <v>219</v>
      </c>
      <c r="BC232" s="18">
        <f>--ISNUMBER(SEARCH("Radio or television",BA232))</f>
        <v>1</v>
      </c>
      <c r="BD232" s="18">
        <f>--ISNUMBER(SEARCH("Newspapers or print media",BA232))</f>
        <v>0</v>
      </c>
      <c r="BE232" s="18">
        <f>--ISNUMBER(SEARCH("Social media (e.g. Facebook, WhatsApp, YouTube, X/Twitter)",BA232))</f>
        <v>0</v>
      </c>
      <c r="BF232" s="18">
        <f>--ISNUMBER(SEARCH("Family members",BA232))</f>
        <v>1</v>
      </c>
      <c r="BG232" s="18">
        <f>--ISNUMBER(SEARCH("Friends or fellow students",BA232))</f>
        <v>1</v>
      </c>
      <c r="BH232" s="18">
        <f>--ISNUMBER(SEARCH("School coursework or lectures",BA232))</f>
        <v>0</v>
      </c>
      <c r="BI232" s="18">
        <f>--ISNUMBER(SEARCH("NHIMA outreach activities or NHIMA offices",BA232))</f>
        <v>0</v>
      </c>
      <c r="BJ232" s="18">
        <f>--ISNUMBER(SEARCH("Health facility staff",BA232))</f>
        <v>0</v>
      </c>
      <c r="BK232" s="18">
        <f>--ISNUMBER(SEARCH("not received information",BA232))</f>
        <v>0</v>
      </c>
      <c r="BL232" s="18">
        <f>IF(T232="","",--(T232='Codebook'!$F$13))</f>
        <v>1</v>
      </c>
      <c r="BM232" s="18">
        <f>IF(U232="","",--(U232='Codebook'!$F$14))</f>
        <v>0</v>
      </c>
      <c r="BN232" s="18">
        <f>IF(V232="","",--(V232='Codebook'!$F$15))</f>
        <v>0</v>
      </c>
      <c r="BO232" s="18">
        <f>IF(W232="","",--(W232='Codebook'!$F$16))</f>
        <v>1</v>
      </c>
      <c r="BP232" s="18">
        <f>IF(X232="","",--(X232='Codebook'!$F$17))</f>
        <v>1</v>
      </c>
      <c r="BQ232" s="18">
        <f>IF(Y232="","",--(Y232='Codebook'!$F$18))</f>
        <v>0</v>
      </c>
      <c r="BR232" s="18">
        <f>IF(Z232="","",--(Z232='Codebook'!$F$19))</f>
        <v>1</v>
      </c>
      <c r="BS232" s="18">
        <f>IF(AA232="","",--(AA232='Codebook'!$F$20))</f>
        <v>1</v>
      </c>
      <c r="BT232" s="18">
        <f>IF(AB232="","",--(AB232='Codebook'!$F$21))</f>
        <v>0</v>
      </c>
      <c r="BU232" s="18">
        <f>IF(AC232="","",--(AC232='Codebook'!$F$22))</f>
        <v>1</v>
      </c>
      <c r="BV232" s="18">
        <f>IF(AD232="","",--(AD232='Codebook'!$F$23))</f>
        <v>1</v>
      </c>
      <c r="BW232" s="18">
        <f>IF(AE232="","",--(AE232='Codebook'!$F$24))</f>
        <v>1</v>
      </c>
      <c r="BX232" s="18">
        <f>IF(AF232="","",--(AF232='Codebook'!$F$25))</f>
        <v>0</v>
      </c>
      <c r="BY232" s="18">
        <f>IF(AG232="","",--(AG232='Codebook'!$F$26))</f>
        <v>1</v>
      </c>
      <c r="BZ232" s="18">
        <f>IF(AH232="","",--(AH232='Codebook'!$F$27))</f>
        <v>1</v>
      </c>
      <c r="CA232" s="18">
        <f>IF(AI232="","",--(AI232='Codebook'!$F$28))</f>
        <v>0</v>
      </c>
      <c r="CB232" s="18">
        <f>IF(AJ232="","",--(AJ232='Codebook'!$F$29))</f>
        <v>0</v>
      </c>
      <c r="CC232" s="18">
        <f>IF(AK232="","",--(AK232='Codebook'!$F$30))</f>
        <v>1</v>
      </c>
      <c r="CD232" s="18">
        <f>IF(AL232="","",--(AL232='Codebook'!$F$31))</f>
        <v>0</v>
      </c>
      <c r="CE232" s="18">
        <f>IF(AM232="","",--(AM232='Codebook'!$F$32))</f>
        <v>1</v>
      </c>
      <c r="CF232" s="18">
        <f>IF(AN232="","",--(AN232='Codebook'!$F$33))</f>
        <v>0</v>
      </c>
      <c r="CG232" s="18">
        <f>IF(AO232="","",--(AO232='Codebook'!$F$34))</f>
        <v>1</v>
      </c>
      <c r="CH232" s="18">
        <f>IF(AP232="","",--(AP232='Codebook'!$F$35))</f>
        <v>1</v>
      </c>
      <c r="CI232" s="18">
        <f>IF(AQ232="","",--(AQ232='Codebook'!$F$36))</f>
        <v>1</v>
      </c>
      <c r="CJ232" s="18">
        <f>IF(AR232="","",--(AR232='Codebook'!$F$37))</f>
        <v>0</v>
      </c>
      <c r="CK232" s="18">
        <f>IF(AS232="","",--(AS232='Codebook'!$F$38))</f>
        <v>0</v>
      </c>
      <c r="CL232" s="18">
        <f>IF(AT232="","",--(AT232='Codebook'!$F$39))</f>
        <v>1</v>
      </c>
      <c r="CM232" s="18">
        <f>IF(AU232="","",--(AU232='Codebook'!$F$40))</f>
        <v>0</v>
      </c>
      <c r="CN232" s="18">
        <f>IF(AV232="","",--(AV232='Codebook'!$F$41))</f>
        <v>0</v>
      </c>
      <c r="CO232" s="18">
        <f>IF(AW232="","",--(AW232='Codebook'!$F$42))</f>
        <v>1</v>
      </c>
      <c r="CP232" s="18">
        <f>IF(AX232="","",--(AX232='Codebook'!$F$43))</f>
        <v>0</v>
      </c>
      <c r="CQ232" s="18">
        <f>IF(AY232="","",--(AY232='Codebook'!$F$44))</f>
        <v>0</v>
      </c>
      <c r="CR232" s="18">
        <f>IF(AZ232="","",--(AZ232='Codebook'!$F$45))</f>
        <v>0</v>
      </c>
    </row>
    <row r="233" spans="2:96" ht="24" customHeight="1">
      <c r="B233" s="18">
        <v>228</v>
      </c>
      <c r="C233" s="23">
        <v>46287.83312234954</v>
      </c>
      <c r="D233" s="21" t="s">
        <v>268</v>
      </c>
      <c r="E233" s="21" t="s">
        <v>194</v>
      </c>
      <c r="F233" s="21" t="s">
        <v>212</v>
      </c>
      <c r="G233" s="17" t="s">
        <v>215</v>
      </c>
      <c r="H233" s="21" t="s">
        <v>197</v>
      </c>
      <c r="I233" s="18">
        <f>SUM(BL233:BU233)</f>
        <v>7</v>
      </c>
      <c r="J233" s="18">
        <f>IF(COUNT(BV233:CD233)=9,SUM(BV233:CD233),"")</f>
        <v>5</v>
      </c>
      <c r="K233" s="18">
        <f>SUM(BL233:CD233)</f>
        <v>12</v>
      </c>
      <c r="L233" s="18">
        <f>--(K233&gt;='Codebook'!$C$8)</f>
        <v>1</v>
      </c>
      <c r="M233" s="18">
        <f>--(COUNT(BL233:CD233)=19)</f>
        <v>1</v>
      </c>
      <c r="N233" s="18">
        <f>SUM(CE233:CL233)</f>
        <v>6</v>
      </c>
      <c r="O233" s="18">
        <f>SUM(CM233:CR233)</f>
        <v>1</v>
      </c>
      <c r="P233" s="18">
        <f>N233+O233</f>
        <v>7</v>
      </c>
      <c r="Q233" s="21" t="s">
        <v>198</v>
      </c>
      <c r="R233" s="17" t="s">
        <v>154</v>
      </c>
      <c r="S233" s="18">
        <f>--OR(Overview!$B$6="All",E233=Overview!$B$6)*--OR(Overview!$F$6="All",F233=Overview!$F$6)*--OR(Overview!$J$6="All",G233=Overview!$J$6)*--OR(Overview!$N$6="All",H233=Overview!$N$6)</f>
        <v>1</v>
      </c>
      <c r="T233" s="21" t="s">
        <v>22</v>
      </c>
      <c r="U233" s="21" t="s">
        <v>26</v>
      </c>
      <c r="V233" s="21" t="s">
        <v>26</v>
      </c>
      <c r="W233" s="21" t="s">
        <v>26</v>
      </c>
      <c r="X233" s="21" t="s">
        <v>22</v>
      </c>
      <c r="Y233" s="21" t="s">
        <v>22</v>
      </c>
      <c r="Z233" s="21" t="s">
        <v>22</v>
      </c>
      <c r="AA233" s="21" t="s">
        <v>22</v>
      </c>
      <c r="AB233" s="21" t="s">
        <v>26</v>
      </c>
      <c r="AC233" s="21" t="s">
        <v>26</v>
      </c>
      <c r="AD233" s="21" t="s">
        <v>22</v>
      </c>
      <c r="AE233" s="21" t="s">
        <v>22</v>
      </c>
      <c r="AF233" s="21" t="s">
        <v>22</v>
      </c>
      <c r="AG233" s="21" t="s">
        <v>22</v>
      </c>
      <c r="AH233" s="21" t="s">
        <v>22</v>
      </c>
      <c r="AI233" s="21" t="s">
        <v>22</v>
      </c>
      <c r="AJ233" s="21" t="s">
        <v>22</v>
      </c>
      <c r="AK233" s="21" t="s">
        <v>22</v>
      </c>
      <c r="AL233" s="21" t="s">
        <v>22</v>
      </c>
      <c r="AM233" s="21" t="s">
        <v>109</v>
      </c>
      <c r="AN233" s="21" t="s">
        <v>83</v>
      </c>
      <c r="AO233" s="21" t="s">
        <v>83</v>
      </c>
      <c r="AP233" s="21" t="s">
        <v>198</v>
      </c>
      <c r="AQ233" s="21" t="s">
        <v>83</v>
      </c>
      <c r="AR233" s="21" t="s">
        <v>83</v>
      </c>
      <c r="AS233" s="21" t="s">
        <v>83</v>
      </c>
      <c r="AT233" s="21" t="s">
        <v>83</v>
      </c>
      <c r="AU233" s="21" t="s">
        <v>109</v>
      </c>
      <c r="AV233" s="21" t="s">
        <v>198</v>
      </c>
      <c r="AW233" s="21" t="s">
        <v>198</v>
      </c>
      <c r="AX233" s="21" t="s">
        <v>198</v>
      </c>
      <c r="AY233" s="21" t="s">
        <v>83</v>
      </c>
      <c r="AZ233" s="21" t="s">
        <v>198</v>
      </c>
      <c r="BA233" s="17" t="s">
        <v>283</v>
      </c>
      <c r="BB233" s="17" t="s">
        <v>250</v>
      </c>
      <c r="BC233" s="18">
        <f>--ISNUMBER(SEARCH("Radio or television",BA233))</f>
        <v>0</v>
      </c>
      <c r="BD233" s="18">
        <f>--ISNUMBER(SEARCH("Newspapers or print media",BA233))</f>
        <v>1</v>
      </c>
      <c r="BE233" s="18">
        <f>--ISNUMBER(SEARCH("Social media (e.g. Facebook, WhatsApp, YouTube, X/Twitter)",BA233))</f>
        <v>1</v>
      </c>
      <c r="BF233" s="18">
        <f>--ISNUMBER(SEARCH("Family members",BA233))</f>
        <v>0</v>
      </c>
      <c r="BG233" s="18">
        <f>--ISNUMBER(SEARCH("Friends or fellow students",BA233))</f>
        <v>0</v>
      </c>
      <c r="BH233" s="18">
        <f>--ISNUMBER(SEARCH("School coursework or lectures",BA233))</f>
        <v>0</v>
      </c>
      <c r="BI233" s="18">
        <f>--ISNUMBER(SEARCH("NHIMA outreach activities or NHIMA offices",BA233))</f>
        <v>0</v>
      </c>
      <c r="BJ233" s="18">
        <f>--ISNUMBER(SEARCH("Health facility staff",BA233))</f>
        <v>0</v>
      </c>
      <c r="BK233" s="18">
        <f>--ISNUMBER(SEARCH("not received information",BA233))</f>
        <v>0</v>
      </c>
      <c r="BL233" s="18">
        <f>IF(T233="","",--(T233='Codebook'!$F$13))</f>
        <v>1</v>
      </c>
      <c r="BM233" s="18">
        <f>IF(U233="","",--(U233='Codebook'!$F$14))</f>
        <v>1</v>
      </c>
      <c r="BN233" s="18">
        <f>IF(V233="","",--(V233='Codebook'!$F$15))</f>
        <v>1</v>
      </c>
      <c r="BO233" s="18">
        <f>IF(W233="","",--(W233='Codebook'!$F$16))</f>
        <v>0</v>
      </c>
      <c r="BP233" s="18">
        <f>IF(X233="","",--(X233='Codebook'!$F$17))</f>
        <v>1</v>
      </c>
      <c r="BQ233" s="18">
        <f>IF(Y233="","",--(Y233='Codebook'!$F$18))</f>
        <v>0</v>
      </c>
      <c r="BR233" s="18">
        <f>IF(Z233="","",--(Z233='Codebook'!$F$19))</f>
        <v>1</v>
      </c>
      <c r="BS233" s="18">
        <f>IF(AA233="","",--(AA233='Codebook'!$F$20))</f>
        <v>1</v>
      </c>
      <c r="BT233" s="18">
        <f>IF(AB233="","",--(AB233='Codebook'!$F$21))</f>
        <v>1</v>
      </c>
      <c r="BU233" s="18">
        <f>IF(AC233="","",--(AC233='Codebook'!$F$22))</f>
        <v>0</v>
      </c>
      <c r="BV233" s="18">
        <f>IF(AD233="","",--(AD233='Codebook'!$F$23))</f>
        <v>1</v>
      </c>
      <c r="BW233" s="18">
        <f>IF(AE233="","",--(AE233='Codebook'!$F$24))</f>
        <v>1</v>
      </c>
      <c r="BX233" s="18">
        <f>IF(AF233="","",--(AF233='Codebook'!$F$25))</f>
        <v>0</v>
      </c>
      <c r="BY233" s="18">
        <f>IF(AG233="","",--(AG233='Codebook'!$F$26))</f>
        <v>1</v>
      </c>
      <c r="BZ233" s="18">
        <f>IF(AH233="","",--(AH233='Codebook'!$F$27))</f>
        <v>1</v>
      </c>
      <c r="CA233" s="18">
        <f>IF(AI233="","",--(AI233='Codebook'!$F$28))</f>
        <v>0</v>
      </c>
      <c r="CB233" s="18">
        <f>IF(AJ233="","",--(AJ233='Codebook'!$F$29))</f>
        <v>0</v>
      </c>
      <c r="CC233" s="18">
        <f>IF(AK233="","",--(AK233='Codebook'!$F$30))</f>
        <v>1</v>
      </c>
      <c r="CD233" s="18">
        <f>IF(AL233="","",--(AL233='Codebook'!$F$31))</f>
        <v>0</v>
      </c>
      <c r="CE233" s="18">
        <f>IF(AM233="","",--(AM233='Codebook'!$F$32))</f>
        <v>0</v>
      </c>
      <c r="CF233" s="18">
        <f>IF(AN233="","",--(AN233='Codebook'!$F$33))</f>
        <v>1</v>
      </c>
      <c r="CG233" s="18">
        <f>IF(AO233="","",--(AO233='Codebook'!$F$34))</f>
        <v>1</v>
      </c>
      <c r="CH233" s="18">
        <f>IF(AP233="","",--(AP233='Codebook'!$F$35))</f>
        <v>0</v>
      </c>
      <c r="CI233" s="18">
        <f>IF(AQ233="","",--(AQ233='Codebook'!$F$36))</f>
        <v>1</v>
      </c>
      <c r="CJ233" s="18">
        <f>IF(AR233="","",--(AR233='Codebook'!$F$37))</f>
        <v>1</v>
      </c>
      <c r="CK233" s="18">
        <f>IF(AS233="","",--(AS233='Codebook'!$F$38))</f>
        <v>1</v>
      </c>
      <c r="CL233" s="18">
        <f>IF(AT233="","",--(AT233='Codebook'!$F$39))</f>
        <v>1</v>
      </c>
      <c r="CM233" s="18">
        <f>IF(AU233="","",--(AU233='Codebook'!$F$40))</f>
        <v>1</v>
      </c>
      <c r="CN233" s="18">
        <f>IF(AV233="","",--(AV233='Codebook'!$F$41))</f>
        <v>0</v>
      </c>
      <c r="CO233" s="18">
        <f>IF(AW233="","",--(AW233='Codebook'!$F$42))</f>
        <v>0</v>
      </c>
      <c r="CP233" s="18">
        <f>IF(AX233="","",--(AX233='Codebook'!$F$43))</f>
        <v>0</v>
      </c>
      <c r="CQ233" s="18">
        <f>IF(AY233="","",--(AY233='Codebook'!$F$44))</f>
        <v>0</v>
      </c>
      <c r="CR233" s="18">
        <f>IF(AZ233="","",--(AZ233='Codebook'!$F$45))</f>
        <v>0</v>
      </c>
    </row>
    <row r="234" spans="2:96" ht="24" customHeight="1">
      <c r="B234" s="18">
        <v>229</v>
      </c>
      <c r="C234" s="23">
        <v>46288.45361143519</v>
      </c>
      <c r="D234" s="21" t="s">
        <v>275</v>
      </c>
      <c r="E234" s="21" t="s">
        <v>206</v>
      </c>
      <c r="F234" s="21" t="s">
        <v>212</v>
      </c>
      <c r="G234" s="17" t="s">
        <v>224</v>
      </c>
      <c r="H234" s="21" t="s">
        <v>197</v>
      </c>
      <c r="I234" s="18">
        <f>SUM(BL234:BU234)</f>
        <v>6</v>
      </c>
      <c r="J234" s="18">
        <f>IF(COUNT(BV234:CD234)=9,SUM(BV234:CD234),"")</f>
        <v>5</v>
      </c>
      <c r="K234" s="18">
        <f>SUM(BL234:CD234)</f>
        <v>11</v>
      </c>
      <c r="L234" s="18">
        <f>--(K234&gt;='Codebook'!$C$8)</f>
        <v>0</v>
      </c>
      <c r="M234" s="18">
        <f>--(COUNT(BL234:CD234)=19)</f>
        <v>1</v>
      </c>
      <c r="N234" s="18">
        <f>SUM(CE234:CL234)</f>
        <v>7</v>
      </c>
      <c r="O234" s="18">
        <f>SUM(CM234:CR234)</f>
        <v>0</v>
      </c>
      <c r="P234" s="18">
        <f>N234+O234</f>
        <v>7</v>
      </c>
      <c r="Q234" s="21" t="s">
        <v>197</v>
      </c>
      <c r="R234" s="17" t="s">
        <v>152</v>
      </c>
      <c r="S234" s="18">
        <f>--OR(Overview!$B$6="All",E234=Overview!$B$6)*--OR(Overview!$F$6="All",F234=Overview!$F$6)*--OR(Overview!$J$6="All",G234=Overview!$J$6)*--OR(Overview!$N$6="All",H234=Overview!$N$6)</f>
        <v>1</v>
      </c>
      <c r="T234" s="21" t="s">
        <v>22</v>
      </c>
      <c r="U234" s="21" t="s">
        <v>22</v>
      </c>
      <c r="V234" s="21" t="s">
        <v>22</v>
      </c>
      <c r="W234" s="21" t="s">
        <v>22</v>
      </c>
      <c r="X234" s="21" t="s">
        <v>22</v>
      </c>
      <c r="Y234" s="21" t="s">
        <v>22</v>
      </c>
      <c r="Z234" s="21" t="s">
        <v>22</v>
      </c>
      <c r="AA234" s="21" t="s">
        <v>22</v>
      </c>
      <c r="AB234" s="21" t="s">
        <v>22</v>
      </c>
      <c r="AC234" s="21" t="s">
        <v>22</v>
      </c>
      <c r="AD234" s="21" t="s">
        <v>22</v>
      </c>
      <c r="AE234" s="21" t="s">
        <v>22</v>
      </c>
      <c r="AF234" s="21" t="s">
        <v>22</v>
      </c>
      <c r="AG234" s="21" t="s">
        <v>22</v>
      </c>
      <c r="AH234" s="21" t="s">
        <v>22</v>
      </c>
      <c r="AI234" s="21" t="s">
        <v>22</v>
      </c>
      <c r="AJ234" s="21" t="s">
        <v>22</v>
      </c>
      <c r="AK234" s="21" t="s">
        <v>22</v>
      </c>
      <c r="AL234" s="21" t="s">
        <v>22</v>
      </c>
      <c r="AM234" s="21" t="s">
        <v>83</v>
      </c>
      <c r="AN234" s="21" t="s">
        <v>198</v>
      </c>
      <c r="AO234" s="21" t="s">
        <v>83</v>
      </c>
      <c r="AP234" s="21" t="s">
        <v>83</v>
      </c>
      <c r="AQ234" s="21" t="s">
        <v>83</v>
      </c>
      <c r="AR234" s="21" t="s">
        <v>83</v>
      </c>
      <c r="AS234" s="21" t="s">
        <v>83</v>
      </c>
      <c r="AT234" s="21" t="s">
        <v>83</v>
      </c>
      <c r="AU234" s="21" t="s">
        <v>83</v>
      </c>
      <c r="AV234" s="21" t="s">
        <v>83</v>
      </c>
      <c r="AW234" s="21" t="s">
        <v>83</v>
      </c>
      <c r="AX234" s="21" t="s">
        <v>83</v>
      </c>
      <c r="AY234" s="21" t="s">
        <v>83</v>
      </c>
      <c r="AZ234" s="21" t="s">
        <v>83</v>
      </c>
      <c r="BA234" s="17" t="s">
        <v>223</v>
      </c>
      <c r="BB234" s="17" t="s">
        <v>223</v>
      </c>
      <c r="BC234" s="18">
        <f>--ISNUMBER(SEARCH("Radio or television",BA234))</f>
        <v>1</v>
      </c>
      <c r="BD234" s="18">
        <f>--ISNUMBER(SEARCH("Newspapers or print media",BA234))</f>
        <v>0</v>
      </c>
      <c r="BE234" s="18">
        <f>--ISNUMBER(SEARCH("Social media (e.g. Facebook, WhatsApp, YouTube, X/Twitter)",BA234))</f>
        <v>0</v>
      </c>
      <c r="BF234" s="18">
        <f>--ISNUMBER(SEARCH("Family members",BA234))</f>
        <v>0</v>
      </c>
      <c r="BG234" s="18">
        <f>--ISNUMBER(SEARCH("Friends or fellow students",BA234))</f>
        <v>0</v>
      </c>
      <c r="BH234" s="18">
        <f>--ISNUMBER(SEARCH("School coursework or lectures",BA234))</f>
        <v>0</v>
      </c>
      <c r="BI234" s="18">
        <f>--ISNUMBER(SEARCH("NHIMA outreach activities or NHIMA offices",BA234))</f>
        <v>0</v>
      </c>
      <c r="BJ234" s="18">
        <f>--ISNUMBER(SEARCH("Health facility staff",BA234))</f>
        <v>0</v>
      </c>
      <c r="BK234" s="18">
        <f>--ISNUMBER(SEARCH("not received information",BA234))</f>
        <v>0</v>
      </c>
      <c r="BL234" s="18">
        <f>IF(T234="","",--(T234='Codebook'!$F$13))</f>
        <v>1</v>
      </c>
      <c r="BM234" s="18">
        <f>IF(U234="","",--(U234='Codebook'!$F$14))</f>
        <v>0</v>
      </c>
      <c r="BN234" s="18">
        <f>IF(V234="","",--(V234='Codebook'!$F$15))</f>
        <v>0</v>
      </c>
      <c r="BO234" s="18">
        <f>IF(W234="","",--(W234='Codebook'!$F$16))</f>
        <v>1</v>
      </c>
      <c r="BP234" s="18">
        <f>IF(X234="","",--(X234='Codebook'!$F$17))</f>
        <v>1</v>
      </c>
      <c r="BQ234" s="18">
        <f>IF(Y234="","",--(Y234='Codebook'!$F$18))</f>
        <v>0</v>
      </c>
      <c r="BR234" s="18">
        <f>IF(Z234="","",--(Z234='Codebook'!$F$19))</f>
        <v>1</v>
      </c>
      <c r="BS234" s="18">
        <f>IF(AA234="","",--(AA234='Codebook'!$F$20))</f>
        <v>1</v>
      </c>
      <c r="BT234" s="18">
        <f>IF(AB234="","",--(AB234='Codebook'!$F$21))</f>
        <v>0</v>
      </c>
      <c r="BU234" s="18">
        <f>IF(AC234="","",--(AC234='Codebook'!$F$22))</f>
        <v>1</v>
      </c>
      <c r="BV234" s="18">
        <f>IF(AD234="","",--(AD234='Codebook'!$F$23))</f>
        <v>1</v>
      </c>
      <c r="BW234" s="18">
        <f>IF(AE234="","",--(AE234='Codebook'!$F$24))</f>
        <v>1</v>
      </c>
      <c r="BX234" s="18">
        <f>IF(AF234="","",--(AF234='Codebook'!$F$25))</f>
        <v>0</v>
      </c>
      <c r="BY234" s="18">
        <f>IF(AG234="","",--(AG234='Codebook'!$F$26))</f>
        <v>1</v>
      </c>
      <c r="BZ234" s="18">
        <f>IF(AH234="","",--(AH234='Codebook'!$F$27))</f>
        <v>1</v>
      </c>
      <c r="CA234" s="18">
        <f>IF(AI234="","",--(AI234='Codebook'!$F$28))</f>
        <v>0</v>
      </c>
      <c r="CB234" s="18">
        <f>IF(AJ234="","",--(AJ234='Codebook'!$F$29))</f>
        <v>0</v>
      </c>
      <c r="CC234" s="18">
        <f>IF(AK234="","",--(AK234='Codebook'!$F$30))</f>
        <v>1</v>
      </c>
      <c r="CD234" s="18">
        <f>IF(AL234="","",--(AL234='Codebook'!$F$31))</f>
        <v>0</v>
      </c>
      <c r="CE234" s="18">
        <f>IF(AM234="","",--(AM234='Codebook'!$F$32))</f>
        <v>1</v>
      </c>
      <c r="CF234" s="18">
        <f>IF(AN234="","",--(AN234='Codebook'!$F$33))</f>
        <v>0</v>
      </c>
      <c r="CG234" s="18">
        <f>IF(AO234="","",--(AO234='Codebook'!$F$34))</f>
        <v>1</v>
      </c>
      <c r="CH234" s="18">
        <f>IF(AP234="","",--(AP234='Codebook'!$F$35))</f>
        <v>1</v>
      </c>
      <c r="CI234" s="18">
        <f>IF(AQ234="","",--(AQ234='Codebook'!$F$36))</f>
        <v>1</v>
      </c>
      <c r="CJ234" s="18">
        <f>IF(AR234="","",--(AR234='Codebook'!$F$37))</f>
        <v>1</v>
      </c>
      <c r="CK234" s="18">
        <f>IF(AS234="","",--(AS234='Codebook'!$F$38))</f>
        <v>1</v>
      </c>
      <c r="CL234" s="18">
        <f>IF(AT234="","",--(AT234='Codebook'!$F$39))</f>
        <v>1</v>
      </c>
      <c r="CM234" s="18">
        <f>IF(AU234="","",--(AU234='Codebook'!$F$40))</f>
        <v>0</v>
      </c>
      <c r="CN234" s="18">
        <f>IF(AV234="","",--(AV234='Codebook'!$F$41))</f>
        <v>0</v>
      </c>
      <c r="CO234" s="18">
        <f>IF(AW234="","",--(AW234='Codebook'!$F$42))</f>
        <v>0</v>
      </c>
      <c r="CP234" s="18">
        <f>IF(AX234="","",--(AX234='Codebook'!$F$43))</f>
        <v>0</v>
      </c>
      <c r="CQ234" s="18">
        <f>IF(AY234="","",--(AY234='Codebook'!$F$44))</f>
        <v>0</v>
      </c>
      <c r="CR234" s="18">
        <f>IF(AZ234="","",--(AZ234='Codebook'!$F$45))</f>
        <v>0</v>
      </c>
    </row>
    <row r="235" spans="2:96" ht="24" customHeight="1">
      <c r="B235" s="18">
        <v>230</v>
      </c>
      <c r="C235" s="23">
        <v>46288.45422949074</v>
      </c>
      <c r="D235" s="21" t="s">
        <v>268</v>
      </c>
      <c r="E235" s="21" t="s">
        <v>206</v>
      </c>
      <c r="F235" s="21" t="s">
        <v>195</v>
      </c>
      <c r="G235" s="17" t="s">
        <v>202</v>
      </c>
      <c r="H235" s="21" t="s">
        <v>207</v>
      </c>
      <c r="I235" s="18">
        <f>SUM(BL235:BU235)</f>
        <v>4</v>
      </c>
      <c r="J235" s="18">
        <f>IF(COUNT(BV235:CD235)=9,SUM(BV235:CD235),"")</f>
        <v>4</v>
      </c>
      <c r="K235" s="18">
        <f>SUM(BL235:CD235)</f>
        <v>8</v>
      </c>
      <c r="L235" s="18">
        <f>--(K235&gt;='Codebook'!$C$8)</f>
        <v>0</v>
      </c>
      <c r="M235" s="18">
        <f>--(COUNT(BL235:CD235)=19)</f>
        <v>1</v>
      </c>
      <c r="N235" s="18">
        <f>SUM(CE235:CL235)</f>
        <v>2</v>
      </c>
      <c r="O235" s="18">
        <f>SUM(CM235:CR235)</f>
        <v>6</v>
      </c>
      <c r="P235" s="18">
        <f>N235+O235</f>
        <v>8</v>
      </c>
      <c r="Q235" s="21" t="s">
        <v>207</v>
      </c>
      <c r="R235" s="17" t="s">
        <v>153</v>
      </c>
      <c r="S235" s="18">
        <f>--OR(Overview!$B$6="All",E235=Overview!$B$6)*--OR(Overview!$F$6="All",F235=Overview!$F$6)*--OR(Overview!$J$6="All",G235=Overview!$J$6)*--OR(Overview!$N$6="All",H235=Overview!$N$6)</f>
        <v>1</v>
      </c>
      <c r="T235" s="21" t="s">
        <v>26</v>
      </c>
      <c r="U235" s="21" t="s">
        <v>26</v>
      </c>
      <c r="V235" s="21" t="s">
        <v>26</v>
      </c>
      <c r="W235" s="21" t="s">
        <v>26</v>
      </c>
      <c r="X235" s="21" t="s">
        <v>26</v>
      </c>
      <c r="Y235" s="21" t="s">
        <v>26</v>
      </c>
      <c r="Z235" s="21" t="s">
        <v>26</v>
      </c>
      <c r="AA235" s="21" t="s">
        <v>26</v>
      </c>
      <c r="AB235" s="21" t="s">
        <v>26</v>
      </c>
      <c r="AC235" s="21" t="s">
        <v>26</v>
      </c>
      <c r="AD235" s="21" t="s">
        <v>26</v>
      </c>
      <c r="AE235" s="21" t="s">
        <v>26</v>
      </c>
      <c r="AF235" s="21" t="s">
        <v>26</v>
      </c>
      <c r="AG235" s="21" t="s">
        <v>26</v>
      </c>
      <c r="AH235" s="21" t="s">
        <v>26</v>
      </c>
      <c r="AI235" s="21" t="s">
        <v>26</v>
      </c>
      <c r="AJ235" s="21" t="s">
        <v>26</v>
      </c>
      <c r="AK235" s="21" t="s">
        <v>26</v>
      </c>
      <c r="AL235" s="21" t="s">
        <v>26</v>
      </c>
      <c r="AM235" s="21" t="s">
        <v>109</v>
      </c>
      <c r="AN235" s="21" t="s">
        <v>109</v>
      </c>
      <c r="AO235" s="21" t="s">
        <v>109</v>
      </c>
      <c r="AP235" s="21" t="s">
        <v>83</v>
      </c>
      <c r="AQ235" s="21" t="s">
        <v>83</v>
      </c>
      <c r="AR235" s="21" t="s">
        <v>109</v>
      </c>
      <c r="AS235" s="21" t="s">
        <v>109</v>
      </c>
      <c r="AT235" s="21" t="s">
        <v>109</v>
      </c>
      <c r="AU235" s="21" t="s">
        <v>109</v>
      </c>
      <c r="AV235" s="21" t="s">
        <v>109</v>
      </c>
      <c r="AW235" s="21" t="s">
        <v>109</v>
      </c>
      <c r="AX235" s="21" t="s">
        <v>109</v>
      </c>
      <c r="AY235" s="21" t="s">
        <v>109</v>
      </c>
      <c r="AZ235" s="21" t="s">
        <v>109</v>
      </c>
      <c r="BA235" s="17" t="s">
        <v>277</v>
      </c>
      <c r="BB235" s="17" t="s">
        <v>277</v>
      </c>
      <c r="BC235" s="18">
        <f>--ISNUMBER(SEARCH("Radio or television",BA235))</f>
        <v>0</v>
      </c>
      <c r="BD235" s="18">
        <f>--ISNUMBER(SEARCH("Newspapers or print media",BA235))</f>
        <v>1</v>
      </c>
      <c r="BE235" s="18">
        <f>--ISNUMBER(SEARCH("Social media (e.g. Facebook, WhatsApp, YouTube, X/Twitter)",BA235))</f>
        <v>0</v>
      </c>
      <c r="BF235" s="18">
        <f>--ISNUMBER(SEARCH("Family members",BA235))</f>
        <v>0</v>
      </c>
      <c r="BG235" s="18">
        <f>--ISNUMBER(SEARCH("Friends or fellow students",BA235))</f>
        <v>0</v>
      </c>
      <c r="BH235" s="18">
        <f>--ISNUMBER(SEARCH("School coursework or lectures",BA235))</f>
        <v>0</v>
      </c>
      <c r="BI235" s="18">
        <f>--ISNUMBER(SEARCH("NHIMA outreach activities or NHIMA offices",BA235))</f>
        <v>0</v>
      </c>
      <c r="BJ235" s="18">
        <f>--ISNUMBER(SEARCH("Health facility staff",BA235))</f>
        <v>0</v>
      </c>
      <c r="BK235" s="18">
        <f>--ISNUMBER(SEARCH("not received information",BA235))</f>
        <v>0</v>
      </c>
      <c r="BL235" s="18">
        <f>IF(T235="","",--(T235='Codebook'!$F$13))</f>
        <v>0</v>
      </c>
      <c r="BM235" s="18">
        <f>IF(U235="","",--(U235='Codebook'!$F$14))</f>
        <v>1</v>
      </c>
      <c r="BN235" s="18">
        <f>IF(V235="","",--(V235='Codebook'!$F$15))</f>
        <v>1</v>
      </c>
      <c r="BO235" s="18">
        <f>IF(W235="","",--(W235='Codebook'!$F$16))</f>
        <v>0</v>
      </c>
      <c r="BP235" s="18">
        <f>IF(X235="","",--(X235='Codebook'!$F$17))</f>
        <v>0</v>
      </c>
      <c r="BQ235" s="18">
        <f>IF(Y235="","",--(Y235='Codebook'!$F$18))</f>
        <v>1</v>
      </c>
      <c r="BR235" s="18">
        <f>IF(Z235="","",--(Z235='Codebook'!$F$19))</f>
        <v>0</v>
      </c>
      <c r="BS235" s="18">
        <f>IF(AA235="","",--(AA235='Codebook'!$F$20))</f>
        <v>0</v>
      </c>
      <c r="BT235" s="18">
        <f>IF(AB235="","",--(AB235='Codebook'!$F$21))</f>
        <v>1</v>
      </c>
      <c r="BU235" s="18">
        <f>IF(AC235="","",--(AC235='Codebook'!$F$22))</f>
        <v>0</v>
      </c>
      <c r="BV235" s="18">
        <f>IF(AD235="","",--(AD235='Codebook'!$F$23))</f>
        <v>0</v>
      </c>
      <c r="BW235" s="18">
        <f>IF(AE235="","",--(AE235='Codebook'!$F$24))</f>
        <v>0</v>
      </c>
      <c r="BX235" s="18">
        <f>IF(AF235="","",--(AF235='Codebook'!$F$25))</f>
        <v>1</v>
      </c>
      <c r="BY235" s="18">
        <f>IF(AG235="","",--(AG235='Codebook'!$F$26))</f>
        <v>0</v>
      </c>
      <c r="BZ235" s="18">
        <f>IF(AH235="","",--(AH235='Codebook'!$F$27))</f>
        <v>0</v>
      </c>
      <c r="CA235" s="18">
        <f>IF(AI235="","",--(AI235='Codebook'!$F$28))</f>
        <v>1</v>
      </c>
      <c r="CB235" s="18">
        <f>IF(AJ235="","",--(AJ235='Codebook'!$F$29))</f>
        <v>1</v>
      </c>
      <c r="CC235" s="18">
        <f>IF(AK235="","",--(AK235='Codebook'!$F$30))</f>
        <v>0</v>
      </c>
      <c r="CD235" s="18">
        <f>IF(AL235="","",--(AL235='Codebook'!$F$31))</f>
        <v>1</v>
      </c>
      <c r="CE235" s="18">
        <f>IF(AM235="","",--(AM235='Codebook'!$F$32))</f>
        <v>0</v>
      </c>
      <c r="CF235" s="18">
        <f>IF(AN235="","",--(AN235='Codebook'!$F$33))</f>
        <v>0</v>
      </c>
      <c r="CG235" s="18">
        <f>IF(AO235="","",--(AO235='Codebook'!$F$34))</f>
        <v>0</v>
      </c>
      <c r="CH235" s="18">
        <f>IF(AP235="","",--(AP235='Codebook'!$F$35))</f>
        <v>1</v>
      </c>
      <c r="CI235" s="18">
        <f>IF(AQ235="","",--(AQ235='Codebook'!$F$36))</f>
        <v>1</v>
      </c>
      <c r="CJ235" s="18">
        <f>IF(AR235="","",--(AR235='Codebook'!$F$37))</f>
        <v>0</v>
      </c>
      <c r="CK235" s="18">
        <f>IF(AS235="","",--(AS235='Codebook'!$F$38))</f>
        <v>0</v>
      </c>
      <c r="CL235" s="18">
        <f>IF(AT235="","",--(AT235='Codebook'!$F$39))</f>
        <v>0</v>
      </c>
      <c r="CM235" s="18">
        <f>IF(AU235="","",--(AU235='Codebook'!$F$40))</f>
        <v>1</v>
      </c>
      <c r="CN235" s="18">
        <f>IF(AV235="","",--(AV235='Codebook'!$F$41))</f>
        <v>1</v>
      </c>
      <c r="CO235" s="18">
        <f>IF(AW235="","",--(AW235='Codebook'!$F$42))</f>
        <v>1</v>
      </c>
      <c r="CP235" s="18">
        <f>IF(AX235="","",--(AX235='Codebook'!$F$43))</f>
        <v>1</v>
      </c>
      <c r="CQ235" s="18">
        <f>IF(AY235="","",--(AY235='Codebook'!$F$44))</f>
        <v>1</v>
      </c>
      <c r="CR235" s="18">
        <f>IF(AZ235="","",--(AZ235='Codebook'!$F$45))</f>
        <v>1</v>
      </c>
    </row>
    <row r="236" spans="2:96" ht="24" customHeight="1">
      <c r="B236" s="18">
        <v>231</v>
      </c>
      <c r="C236" s="23">
        <v>46288.45482564815</v>
      </c>
      <c r="D236" s="21" t="s">
        <v>275</v>
      </c>
      <c r="E236" s="21" t="s">
        <v>206</v>
      </c>
      <c r="F236" s="21" t="s">
        <v>201</v>
      </c>
      <c r="G236" s="17" t="s">
        <v>196</v>
      </c>
      <c r="H236" s="21" t="s">
        <v>198</v>
      </c>
      <c r="I236" s="18">
        <f>SUM(BL236:BU236)</f>
        <v>0</v>
      </c>
      <c r="J236" s="18">
        <f>IF(COUNT(BV236:CD236)=9,SUM(BV236:CD236),"")</f>
        <v>0</v>
      </c>
      <c r="K236" s="18">
        <f>SUM(BL236:CD236)</f>
        <v>0</v>
      </c>
      <c r="L236" s="18">
        <f>--(K236&gt;='Codebook'!$C$8)</f>
        <v>0</v>
      </c>
      <c r="M236" s="18">
        <f>--(COUNT(BL236:CD236)=19)</f>
        <v>1</v>
      </c>
      <c r="N236" s="18">
        <f>SUM(CE236:CL236)</f>
        <v>0</v>
      </c>
      <c r="O236" s="18">
        <f>SUM(CM236:CR236)</f>
        <v>0</v>
      </c>
      <c r="P236" s="18">
        <f>N236+O236</f>
        <v>0</v>
      </c>
      <c r="Q236" s="21" t="s">
        <v>198</v>
      </c>
      <c r="R236" s="17" t="s">
        <v>154</v>
      </c>
      <c r="S236" s="18">
        <f>--OR(Overview!$B$6="All",E236=Overview!$B$6)*--OR(Overview!$F$6="All",F236=Overview!$F$6)*--OR(Overview!$J$6="All",G236=Overview!$J$6)*--OR(Overview!$N$6="All",H236=Overview!$N$6)</f>
        <v>1</v>
      </c>
      <c r="T236" s="21" t="s">
        <v>198</v>
      </c>
      <c r="U236" s="21" t="s">
        <v>198</v>
      </c>
      <c r="V236" s="21" t="s">
        <v>198</v>
      </c>
      <c r="W236" s="21" t="s">
        <v>198</v>
      </c>
      <c r="X236" s="21" t="s">
        <v>198</v>
      </c>
      <c r="Y236" s="21" t="s">
        <v>198</v>
      </c>
      <c r="Z236" s="21" t="s">
        <v>198</v>
      </c>
      <c r="AA236" s="21" t="s">
        <v>198</v>
      </c>
      <c r="AB236" s="21" t="s">
        <v>198</v>
      </c>
      <c r="AC236" s="21" t="s">
        <v>198</v>
      </c>
      <c r="AD236" s="21" t="s">
        <v>198</v>
      </c>
      <c r="AE236" s="21" t="s">
        <v>198</v>
      </c>
      <c r="AF236" s="21" t="s">
        <v>198</v>
      </c>
      <c r="AG236" s="21" t="s">
        <v>198</v>
      </c>
      <c r="AH236" s="21" t="s">
        <v>198</v>
      </c>
      <c r="AI236" s="21" t="s">
        <v>198</v>
      </c>
      <c r="AJ236" s="21" t="s">
        <v>198</v>
      </c>
      <c r="AK236" s="21" t="s">
        <v>198</v>
      </c>
      <c r="AL236" s="21" t="s">
        <v>198</v>
      </c>
      <c r="AM236" s="21" t="s">
        <v>198</v>
      </c>
      <c r="AN236" s="21" t="s">
        <v>198</v>
      </c>
      <c r="AO236" s="21" t="s">
        <v>198</v>
      </c>
      <c r="AP236" s="21" t="s">
        <v>198</v>
      </c>
      <c r="AQ236" s="21" t="s">
        <v>198</v>
      </c>
      <c r="AR236" s="21" t="s">
        <v>198</v>
      </c>
      <c r="AS236" s="21" t="s">
        <v>198</v>
      </c>
      <c r="AT236" s="21" t="s">
        <v>198</v>
      </c>
      <c r="AU236" s="21" t="s">
        <v>198</v>
      </c>
      <c r="AV236" s="21" t="s">
        <v>198</v>
      </c>
      <c r="AW236" s="21" t="s">
        <v>198</v>
      </c>
      <c r="AX236" s="21" t="s">
        <v>198</v>
      </c>
      <c r="AY236" s="21" t="s">
        <v>198</v>
      </c>
      <c r="AZ236" s="21" t="s">
        <v>198</v>
      </c>
      <c r="BA236" s="17" t="s">
        <v>250</v>
      </c>
      <c r="BB236" s="17" t="s">
        <v>250</v>
      </c>
      <c r="BC236" s="18">
        <f>--ISNUMBER(SEARCH("Radio or television",BA236))</f>
        <v>0</v>
      </c>
      <c r="BD236" s="18">
        <f>--ISNUMBER(SEARCH("Newspapers or print media",BA236))</f>
        <v>0</v>
      </c>
      <c r="BE236" s="18">
        <f>--ISNUMBER(SEARCH("Social media (e.g. Facebook, WhatsApp, YouTube, X/Twitter)",BA236))</f>
        <v>1</v>
      </c>
      <c r="BF236" s="18">
        <f>--ISNUMBER(SEARCH("Family members",BA236))</f>
        <v>0</v>
      </c>
      <c r="BG236" s="18">
        <f>--ISNUMBER(SEARCH("Friends or fellow students",BA236))</f>
        <v>0</v>
      </c>
      <c r="BH236" s="18">
        <f>--ISNUMBER(SEARCH("School coursework or lectures",BA236))</f>
        <v>0</v>
      </c>
      <c r="BI236" s="18">
        <f>--ISNUMBER(SEARCH("NHIMA outreach activities or NHIMA offices",BA236))</f>
        <v>0</v>
      </c>
      <c r="BJ236" s="18">
        <f>--ISNUMBER(SEARCH("Health facility staff",BA236))</f>
        <v>0</v>
      </c>
      <c r="BK236" s="18">
        <f>--ISNUMBER(SEARCH("not received information",BA236))</f>
        <v>0</v>
      </c>
      <c r="BL236" s="18">
        <f>IF(T236="","",--(T236='Codebook'!$F$13))</f>
        <v>0</v>
      </c>
      <c r="BM236" s="18">
        <f>IF(U236="","",--(U236='Codebook'!$F$14))</f>
        <v>0</v>
      </c>
      <c r="BN236" s="18">
        <f>IF(V236="","",--(V236='Codebook'!$F$15))</f>
        <v>0</v>
      </c>
      <c r="BO236" s="18">
        <f>IF(W236="","",--(W236='Codebook'!$F$16))</f>
        <v>0</v>
      </c>
      <c r="BP236" s="18">
        <f>IF(X236="","",--(X236='Codebook'!$F$17))</f>
        <v>0</v>
      </c>
      <c r="BQ236" s="18">
        <f>IF(Y236="","",--(Y236='Codebook'!$F$18))</f>
        <v>0</v>
      </c>
      <c r="BR236" s="18">
        <f>IF(Z236="","",--(Z236='Codebook'!$F$19))</f>
        <v>0</v>
      </c>
      <c r="BS236" s="18">
        <f>IF(AA236="","",--(AA236='Codebook'!$F$20))</f>
        <v>0</v>
      </c>
      <c r="BT236" s="18">
        <f>IF(AB236="","",--(AB236='Codebook'!$F$21))</f>
        <v>0</v>
      </c>
      <c r="BU236" s="18">
        <f>IF(AC236="","",--(AC236='Codebook'!$F$22))</f>
        <v>0</v>
      </c>
      <c r="BV236" s="18">
        <f>IF(AD236="","",--(AD236='Codebook'!$F$23))</f>
        <v>0</v>
      </c>
      <c r="BW236" s="18">
        <f>IF(AE236="","",--(AE236='Codebook'!$F$24))</f>
        <v>0</v>
      </c>
      <c r="BX236" s="18">
        <f>IF(AF236="","",--(AF236='Codebook'!$F$25))</f>
        <v>0</v>
      </c>
      <c r="BY236" s="18">
        <f>IF(AG236="","",--(AG236='Codebook'!$F$26))</f>
        <v>0</v>
      </c>
      <c r="BZ236" s="18">
        <f>IF(AH236="","",--(AH236='Codebook'!$F$27))</f>
        <v>0</v>
      </c>
      <c r="CA236" s="18">
        <f>IF(AI236="","",--(AI236='Codebook'!$F$28))</f>
        <v>0</v>
      </c>
      <c r="CB236" s="18">
        <f>IF(AJ236="","",--(AJ236='Codebook'!$F$29))</f>
        <v>0</v>
      </c>
      <c r="CC236" s="18">
        <f>IF(AK236="","",--(AK236='Codebook'!$F$30))</f>
        <v>0</v>
      </c>
      <c r="CD236" s="18">
        <f>IF(AL236="","",--(AL236='Codebook'!$F$31))</f>
        <v>0</v>
      </c>
      <c r="CE236" s="18">
        <f>IF(AM236="","",--(AM236='Codebook'!$F$32))</f>
        <v>0</v>
      </c>
      <c r="CF236" s="18">
        <f>IF(AN236="","",--(AN236='Codebook'!$F$33))</f>
        <v>0</v>
      </c>
      <c r="CG236" s="18">
        <f>IF(AO236="","",--(AO236='Codebook'!$F$34))</f>
        <v>0</v>
      </c>
      <c r="CH236" s="18">
        <f>IF(AP236="","",--(AP236='Codebook'!$F$35))</f>
        <v>0</v>
      </c>
      <c r="CI236" s="18">
        <f>IF(AQ236="","",--(AQ236='Codebook'!$F$36))</f>
        <v>0</v>
      </c>
      <c r="CJ236" s="18">
        <f>IF(AR236="","",--(AR236='Codebook'!$F$37))</f>
        <v>0</v>
      </c>
      <c r="CK236" s="18">
        <f>IF(AS236="","",--(AS236='Codebook'!$F$38))</f>
        <v>0</v>
      </c>
      <c r="CL236" s="18">
        <f>IF(AT236="","",--(AT236='Codebook'!$F$39))</f>
        <v>0</v>
      </c>
      <c r="CM236" s="18">
        <f>IF(AU236="","",--(AU236='Codebook'!$F$40))</f>
        <v>0</v>
      </c>
      <c r="CN236" s="18">
        <f>IF(AV236="","",--(AV236='Codebook'!$F$41))</f>
        <v>0</v>
      </c>
      <c r="CO236" s="18">
        <f>IF(AW236="","",--(AW236='Codebook'!$F$42))</f>
        <v>0</v>
      </c>
      <c r="CP236" s="18">
        <f>IF(AX236="","",--(AX236='Codebook'!$F$43))</f>
        <v>0</v>
      </c>
      <c r="CQ236" s="18">
        <f>IF(AY236="","",--(AY236='Codebook'!$F$44))</f>
        <v>0</v>
      </c>
      <c r="CR236" s="18">
        <f>IF(AZ236="","",--(AZ236='Codebook'!$F$45))</f>
        <v>0</v>
      </c>
    </row>
    <row r="237" spans="2:96" ht="24" customHeight="1">
      <c r="B237" s="18">
        <v>232</v>
      </c>
      <c r="C237" s="23">
        <v>46288.45542740741</v>
      </c>
      <c r="D237" s="21" t="s">
        <v>275</v>
      </c>
      <c r="E237" s="21" t="s">
        <v>206</v>
      </c>
      <c r="F237" s="21" t="s">
        <v>201</v>
      </c>
      <c r="G237" s="17" t="s">
        <v>215</v>
      </c>
      <c r="H237" s="21" t="s">
        <v>197</v>
      </c>
      <c r="I237" s="18">
        <f>SUM(BL237:BU237)</f>
        <v>3</v>
      </c>
      <c r="J237" s="18">
        <f>IF(COUNT(BV237:CD237)=9,SUM(BV237:CD237),"")</f>
        <v>4</v>
      </c>
      <c r="K237" s="18">
        <f>SUM(BL237:CD237)</f>
        <v>7</v>
      </c>
      <c r="L237" s="18">
        <f>--(K237&gt;='Codebook'!$C$8)</f>
        <v>0</v>
      </c>
      <c r="M237" s="18">
        <f>--(COUNT(BL237:CD237)=19)</f>
        <v>1</v>
      </c>
      <c r="N237" s="18">
        <f>SUM(CE237:CL237)</f>
        <v>3</v>
      </c>
      <c r="O237" s="18">
        <f>SUM(CM237:CR237)</f>
        <v>1</v>
      </c>
      <c r="P237" s="18">
        <f>N237+O237</f>
        <v>4</v>
      </c>
      <c r="Q237" s="21" t="s">
        <v>198</v>
      </c>
      <c r="R237" s="17" t="s">
        <v>156</v>
      </c>
      <c r="S237" s="18">
        <f>--OR(Overview!$B$6="All",E237=Overview!$B$6)*--OR(Overview!$F$6="All",F237=Overview!$F$6)*--OR(Overview!$J$6="All",G237=Overview!$J$6)*--OR(Overview!$N$6="All",H237=Overview!$N$6)</f>
        <v>1</v>
      </c>
      <c r="T237" s="21" t="s">
        <v>22</v>
      </c>
      <c r="U237" s="21" t="s">
        <v>22</v>
      </c>
      <c r="V237" s="21" t="s">
        <v>22</v>
      </c>
      <c r="W237" s="21" t="s">
        <v>198</v>
      </c>
      <c r="X237" s="21" t="s">
        <v>22</v>
      </c>
      <c r="Y237" s="21" t="s">
        <v>22</v>
      </c>
      <c r="Z237" s="21" t="s">
        <v>22</v>
      </c>
      <c r="AA237" s="21" t="s">
        <v>198</v>
      </c>
      <c r="AB237" s="21" t="s">
        <v>22</v>
      </c>
      <c r="AC237" s="21" t="s">
        <v>198</v>
      </c>
      <c r="AD237" s="21" t="s">
        <v>22</v>
      </c>
      <c r="AE237" s="21" t="s">
        <v>22</v>
      </c>
      <c r="AF237" s="21" t="s">
        <v>22</v>
      </c>
      <c r="AG237" s="21" t="s">
        <v>22</v>
      </c>
      <c r="AH237" s="21" t="s">
        <v>22</v>
      </c>
      <c r="AI237" s="21" t="s">
        <v>22</v>
      </c>
      <c r="AJ237" s="21" t="s">
        <v>22</v>
      </c>
      <c r="AK237" s="21" t="s">
        <v>198</v>
      </c>
      <c r="AL237" s="21" t="s">
        <v>22</v>
      </c>
      <c r="AM237" s="21" t="s">
        <v>198</v>
      </c>
      <c r="AN237" s="21" t="s">
        <v>83</v>
      </c>
      <c r="AO237" s="21" t="s">
        <v>83</v>
      </c>
      <c r="AP237" s="21" t="s">
        <v>198</v>
      </c>
      <c r="AQ237" s="21" t="s">
        <v>198</v>
      </c>
      <c r="AR237" s="21" t="s">
        <v>83</v>
      </c>
      <c r="AS237" s="21" t="s">
        <v>198</v>
      </c>
      <c r="AT237" s="21" t="s">
        <v>198</v>
      </c>
      <c r="AU237" s="21" t="s">
        <v>109</v>
      </c>
      <c r="AV237" s="21" t="s">
        <v>198</v>
      </c>
      <c r="AW237" s="21" t="s">
        <v>198</v>
      </c>
      <c r="AX237" s="21" t="s">
        <v>198</v>
      </c>
      <c r="AY237" s="21" t="s">
        <v>198</v>
      </c>
      <c r="AZ237" s="21" t="s">
        <v>198</v>
      </c>
      <c r="BA237" s="17" t="s">
        <v>291</v>
      </c>
      <c r="BB237" s="17" t="s">
        <v>313</v>
      </c>
      <c r="BC237" s="18">
        <f>--ISNUMBER(SEARCH("Radio or television",BA237))</f>
        <v>0</v>
      </c>
      <c r="BD237" s="18">
        <f>--ISNUMBER(SEARCH("Newspapers or print media",BA237))</f>
        <v>0</v>
      </c>
      <c r="BE237" s="18">
        <f>--ISNUMBER(SEARCH("Social media (e.g. Facebook, WhatsApp, YouTube, X/Twitter)",BA237))</f>
        <v>0</v>
      </c>
      <c r="BF237" s="18">
        <f>--ISNUMBER(SEARCH("Family members",BA237))</f>
        <v>1</v>
      </c>
      <c r="BG237" s="18">
        <f>--ISNUMBER(SEARCH("Friends or fellow students",BA237))</f>
        <v>1</v>
      </c>
      <c r="BH237" s="18">
        <f>--ISNUMBER(SEARCH("School coursework or lectures",BA237))</f>
        <v>0</v>
      </c>
      <c r="BI237" s="18">
        <f>--ISNUMBER(SEARCH("NHIMA outreach activities or NHIMA offices",BA237))</f>
        <v>0</v>
      </c>
      <c r="BJ237" s="18">
        <f>--ISNUMBER(SEARCH("Health facility staff",BA237))</f>
        <v>0</v>
      </c>
      <c r="BK237" s="18">
        <f>--ISNUMBER(SEARCH("not received information",BA237))</f>
        <v>0</v>
      </c>
      <c r="BL237" s="18">
        <f>IF(T237="","",--(T237='Codebook'!$F$13))</f>
        <v>1</v>
      </c>
      <c r="BM237" s="18">
        <f>IF(U237="","",--(U237='Codebook'!$F$14))</f>
        <v>0</v>
      </c>
      <c r="BN237" s="18">
        <f>IF(V237="","",--(V237='Codebook'!$F$15))</f>
        <v>0</v>
      </c>
      <c r="BO237" s="18">
        <f>IF(W237="","",--(W237='Codebook'!$F$16))</f>
        <v>0</v>
      </c>
      <c r="BP237" s="18">
        <f>IF(X237="","",--(X237='Codebook'!$F$17))</f>
        <v>1</v>
      </c>
      <c r="BQ237" s="18">
        <f>IF(Y237="","",--(Y237='Codebook'!$F$18))</f>
        <v>0</v>
      </c>
      <c r="BR237" s="18">
        <f>IF(Z237="","",--(Z237='Codebook'!$F$19))</f>
        <v>1</v>
      </c>
      <c r="BS237" s="18">
        <f>IF(AA237="","",--(AA237='Codebook'!$F$20))</f>
        <v>0</v>
      </c>
      <c r="BT237" s="18">
        <f>IF(AB237="","",--(AB237='Codebook'!$F$21))</f>
        <v>0</v>
      </c>
      <c r="BU237" s="18">
        <f>IF(AC237="","",--(AC237='Codebook'!$F$22))</f>
        <v>0</v>
      </c>
      <c r="BV237" s="18">
        <f>IF(AD237="","",--(AD237='Codebook'!$F$23))</f>
        <v>1</v>
      </c>
      <c r="BW237" s="18">
        <f>IF(AE237="","",--(AE237='Codebook'!$F$24))</f>
        <v>1</v>
      </c>
      <c r="BX237" s="18">
        <f>IF(AF237="","",--(AF237='Codebook'!$F$25))</f>
        <v>0</v>
      </c>
      <c r="BY237" s="18">
        <f>IF(AG237="","",--(AG237='Codebook'!$F$26))</f>
        <v>1</v>
      </c>
      <c r="BZ237" s="18">
        <f>IF(AH237="","",--(AH237='Codebook'!$F$27))</f>
        <v>1</v>
      </c>
      <c r="CA237" s="18">
        <f>IF(AI237="","",--(AI237='Codebook'!$F$28))</f>
        <v>0</v>
      </c>
      <c r="CB237" s="18">
        <f>IF(AJ237="","",--(AJ237='Codebook'!$F$29))</f>
        <v>0</v>
      </c>
      <c r="CC237" s="18">
        <f>IF(AK237="","",--(AK237='Codebook'!$F$30))</f>
        <v>0</v>
      </c>
      <c r="CD237" s="18">
        <f>IF(AL237="","",--(AL237='Codebook'!$F$31))</f>
        <v>0</v>
      </c>
      <c r="CE237" s="18">
        <f>IF(AM237="","",--(AM237='Codebook'!$F$32))</f>
        <v>0</v>
      </c>
      <c r="CF237" s="18">
        <f>IF(AN237="","",--(AN237='Codebook'!$F$33))</f>
        <v>1</v>
      </c>
      <c r="CG237" s="18">
        <f>IF(AO237="","",--(AO237='Codebook'!$F$34))</f>
        <v>1</v>
      </c>
      <c r="CH237" s="18">
        <f>IF(AP237="","",--(AP237='Codebook'!$F$35))</f>
        <v>0</v>
      </c>
      <c r="CI237" s="18">
        <f>IF(AQ237="","",--(AQ237='Codebook'!$F$36))</f>
        <v>0</v>
      </c>
      <c r="CJ237" s="18">
        <f>IF(AR237="","",--(AR237='Codebook'!$F$37))</f>
        <v>1</v>
      </c>
      <c r="CK237" s="18">
        <f>IF(AS237="","",--(AS237='Codebook'!$F$38))</f>
        <v>0</v>
      </c>
      <c r="CL237" s="18">
        <f>IF(AT237="","",--(AT237='Codebook'!$F$39))</f>
        <v>0</v>
      </c>
      <c r="CM237" s="18">
        <f>IF(AU237="","",--(AU237='Codebook'!$F$40))</f>
        <v>1</v>
      </c>
      <c r="CN237" s="18">
        <f>IF(AV237="","",--(AV237='Codebook'!$F$41))</f>
        <v>0</v>
      </c>
      <c r="CO237" s="18">
        <f>IF(AW237="","",--(AW237='Codebook'!$F$42))</f>
        <v>0</v>
      </c>
      <c r="CP237" s="18">
        <f>IF(AX237="","",--(AX237='Codebook'!$F$43))</f>
        <v>0</v>
      </c>
      <c r="CQ237" s="18">
        <f>IF(AY237="","",--(AY237='Codebook'!$F$44))</f>
        <v>0</v>
      </c>
      <c r="CR237" s="18">
        <f>IF(AZ237="","",--(AZ237='Codebook'!$F$45))</f>
        <v>0</v>
      </c>
    </row>
    <row r="238" spans="2:96" ht="24" customHeight="1">
      <c r="B238" s="18">
        <v>233</v>
      </c>
      <c r="C238" s="23">
        <v>46288.45608471065</v>
      </c>
      <c r="D238" s="21" t="s">
        <v>275</v>
      </c>
      <c r="E238" s="21" t="s">
        <v>206</v>
      </c>
      <c r="F238" s="21" t="s">
        <v>226</v>
      </c>
      <c r="G238" s="17" t="s">
        <v>247</v>
      </c>
      <c r="H238" s="21" t="s">
        <v>198</v>
      </c>
      <c r="I238" s="18">
        <f>SUM(BL238:BU238)</f>
        <v>5</v>
      </c>
      <c r="J238" s="18">
        <f>IF(COUNT(BV238:CD238)=9,SUM(BV238:CD238),"")</f>
        <v>2</v>
      </c>
      <c r="K238" s="18">
        <f>SUM(BL238:CD238)</f>
        <v>7</v>
      </c>
      <c r="L238" s="18">
        <f>--(K238&gt;='Codebook'!$C$8)</f>
        <v>0</v>
      </c>
      <c r="M238" s="18">
        <f>--(COUNT(BL238:CD238)=19)</f>
        <v>1</v>
      </c>
      <c r="N238" s="18">
        <f>SUM(CE238:CL238)</f>
        <v>4</v>
      </c>
      <c r="O238" s="18">
        <f>SUM(CM238:CR238)</f>
        <v>1</v>
      </c>
      <c r="P238" s="18">
        <f>N238+O238</f>
        <v>5</v>
      </c>
      <c r="Q238" s="21" t="s">
        <v>198</v>
      </c>
      <c r="R238" s="17" t="s">
        <v>156</v>
      </c>
      <c r="S238" s="18">
        <f>--OR(Overview!$B$6="All",E238=Overview!$B$6)*--OR(Overview!$F$6="All",F238=Overview!$F$6)*--OR(Overview!$J$6="All",G238=Overview!$J$6)*--OR(Overview!$N$6="All",H238=Overview!$N$6)</f>
        <v>1</v>
      </c>
      <c r="T238" s="21" t="s">
        <v>22</v>
      </c>
      <c r="U238" s="21" t="s">
        <v>26</v>
      </c>
      <c r="V238" s="21" t="s">
        <v>22</v>
      </c>
      <c r="W238" s="21" t="s">
        <v>22</v>
      </c>
      <c r="X238" s="21" t="s">
        <v>198</v>
      </c>
      <c r="Y238" s="21" t="s">
        <v>22</v>
      </c>
      <c r="Z238" s="21" t="s">
        <v>26</v>
      </c>
      <c r="AA238" s="21" t="s">
        <v>22</v>
      </c>
      <c r="AB238" s="21" t="s">
        <v>198</v>
      </c>
      <c r="AC238" s="21" t="s">
        <v>22</v>
      </c>
      <c r="AD238" s="21" t="s">
        <v>198</v>
      </c>
      <c r="AE238" s="21" t="s">
        <v>22</v>
      </c>
      <c r="AF238" s="21" t="s">
        <v>22</v>
      </c>
      <c r="AG238" s="21" t="s">
        <v>26</v>
      </c>
      <c r="AH238" s="21" t="s">
        <v>22</v>
      </c>
      <c r="AI238" s="21" t="s">
        <v>198</v>
      </c>
      <c r="AJ238" s="21" t="s">
        <v>22</v>
      </c>
      <c r="AK238" s="21" t="s">
        <v>198</v>
      </c>
      <c r="AL238" s="21" t="s">
        <v>22</v>
      </c>
      <c r="AM238" s="21" t="s">
        <v>83</v>
      </c>
      <c r="AN238" s="21" t="s">
        <v>109</v>
      </c>
      <c r="AO238" s="21" t="s">
        <v>83</v>
      </c>
      <c r="AP238" s="21" t="s">
        <v>198</v>
      </c>
      <c r="AQ238" s="21" t="s">
        <v>109</v>
      </c>
      <c r="AR238" s="21" t="s">
        <v>83</v>
      </c>
      <c r="AS238" s="21" t="s">
        <v>83</v>
      </c>
      <c r="AT238" s="21" t="s">
        <v>198</v>
      </c>
      <c r="AU238" s="21" t="s">
        <v>83</v>
      </c>
      <c r="AV238" s="21" t="s">
        <v>109</v>
      </c>
      <c r="AW238" s="21" t="s">
        <v>83</v>
      </c>
      <c r="AX238" s="21" t="s">
        <v>198</v>
      </c>
      <c r="AY238" s="21" t="s">
        <v>198</v>
      </c>
      <c r="AZ238" s="21" t="s">
        <v>198</v>
      </c>
      <c r="BA238" s="17" t="s">
        <v>258</v>
      </c>
      <c r="BB238" s="17" t="s">
        <v>313</v>
      </c>
      <c r="BC238" s="18">
        <f>--ISNUMBER(SEARCH("Radio or television",BA238))</f>
        <v>0</v>
      </c>
      <c r="BD238" s="18">
        <f>--ISNUMBER(SEARCH("Newspapers or print media",BA238))</f>
        <v>0</v>
      </c>
      <c r="BE238" s="18">
        <f>--ISNUMBER(SEARCH("Social media (e.g. Facebook, WhatsApp, YouTube, X/Twitter)",BA238))</f>
        <v>1</v>
      </c>
      <c r="BF238" s="18">
        <f>--ISNUMBER(SEARCH("Family members",BA238))</f>
        <v>1</v>
      </c>
      <c r="BG238" s="18">
        <f>--ISNUMBER(SEARCH("Friends or fellow students",BA238))</f>
        <v>1</v>
      </c>
      <c r="BH238" s="18">
        <f>--ISNUMBER(SEARCH("School coursework or lectures",BA238))</f>
        <v>0</v>
      </c>
      <c r="BI238" s="18">
        <f>--ISNUMBER(SEARCH("NHIMA outreach activities or NHIMA offices",BA238))</f>
        <v>0</v>
      </c>
      <c r="BJ238" s="18">
        <f>--ISNUMBER(SEARCH("Health facility staff",BA238))</f>
        <v>0</v>
      </c>
      <c r="BK238" s="18">
        <f>--ISNUMBER(SEARCH("not received information",BA238))</f>
        <v>0</v>
      </c>
      <c r="BL238" s="18">
        <f>IF(T238="","",--(T238='Codebook'!$F$13))</f>
        <v>1</v>
      </c>
      <c r="BM238" s="18">
        <f>IF(U238="","",--(U238='Codebook'!$F$14))</f>
        <v>1</v>
      </c>
      <c r="BN238" s="18">
        <f>IF(V238="","",--(V238='Codebook'!$F$15))</f>
        <v>0</v>
      </c>
      <c r="BO238" s="18">
        <f>IF(W238="","",--(W238='Codebook'!$F$16))</f>
        <v>1</v>
      </c>
      <c r="BP238" s="18">
        <f>IF(X238="","",--(X238='Codebook'!$F$17))</f>
        <v>0</v>
      </c>
      <c r="BQ238" s="18">
        <f>IF(Y238="","",--(Y238='Codebook'!$F$18))</f>
        <v>0</v>
      </c>
      <c r="BR238" s="18">
        <f>IF(Z238="","",--(Z238='Codebook'!$F$19))</f>
        <v>0</v>
      </c>
      <c r="BS238" s="18">
        <f>IF(AA238="","",--(AA238='Codebook'!$F$20))</f>
        <v>1</v>
      </c>
      <c r="BT238" s="18">
        <f>IF(AB238="","",--(AB238='Codebook'!$F$21))</f>
        <v>0</v>
      </c>
      <c r="BU238" s="18">
        <f>IF(AC238="","",--(AC238='Codebook'!$F$22))</f>
        <v>1</v>
      </c>
      <c r="BV238" s="18">
        <f>IF(AD238="","",--(AD238='Codebook'!$F$23))</f>
        <v>0</v>
      </c>
      <c r="BW238" s="18">
        <f>IF(AE238="","",--(AE238='Codebook'!$F$24))</f>
        <v>1</v>
      </c>
      <c r="BX238" s="18">
        <f>IF(AF238="","",--(AF238='Codebook'!$F$25))</f>
        <v>0</v>
      </c>
      <c r="BY238" s="18">
        <f>IF(AG238="","",--(AG238='Codebook'!$F$26))</f>
        <v>0</v>
      </c>
      <c r="BZ238" s="18">
        <f>IF(AH238="","",--(AH238='Codebook'!$F$27))</f>
        <v>1</v>
      </c>
      <c r="CA238" s="18">
        <f>IF(AI238="","",--(AI238='Codebook'!$F$28))</f>
        <v>0</v>
      </c>
      <c r="CB238" s="18">
        <f>IF(AJ238="","",--(AJ238='Codebook'!$F$29))</f>
        <v>0</v>
      </c>
      <c r="CC238" s="18">
        <f>IF(AK238="","",--(AK238='Codebook'!$F$30))</f>
        <v>0</v>
      </c>
      <c r="CD238" s="18">
        <f>IF(AL238="","",--(AL238='Codebook'!$F$31))</f>
        <v>0</v>
      </c>
      <c r="CE238" s="18">
        <f>IF(AM238="","",--(AM238='Codebook'!$F$32))</f>
        <v>1</v>
      </c>
      <c r="CF238" s="18">
        <f>IF(AN238="","",--(AN238='Codebook'!$F$33))</f>
        <v>0</v>
      </c>
      <c r="CG238" s="18">
        <f>IF(AO238="","",--(AO238='Codebook'!$F$34))</f>
        <v>1</v>
      </c>
      <c r="CH238" s="18">
        <f>IF(AP238="","",--(AP238='Codebook'!$F$35))</f>
        <v>0</v>
      </c>
      <c r="CI238" s="18">
        <f>IF(AQ238="","",--(AQ238='Codebook'!$F$36))</f>
        <v>0</v>
      </c>
      <c r="CJ238" s="18">
        <f>IF(AR238="","",--(AR238='Codebook'!$F$37))</f>
        <v>1</v>
      </c>
      <c r="CK238" s="18">
        <f>IF(AS238="","",--(AS238='Codebook'!$F$38))</f>
        <v>1</v>
      </c>
      <c r="CL238" s="18">
        <f>IF(AT238="","",--(AT238='Codebook'!$F$39))</f>
        <v>0</v>
      </c>
      <c r="CM238" s="18">
        <f>IF(AU238="","",--(AU238='Codebook'!$F$40))</f>
        <v>0</v>
      </c>
      <c r="CN238" s="18">
        <f>IF(AV238="","",--(AV238='Codebook'!$F$41))</f>
        <v>1</v>
      </c>
      <c r="CO238" s="18">
        <f>IF(AW238="","",--(AW238='Codebook'!$F$42))</f>
        <v>0</v>
      </c>
      <c r="CP238" s="18">
        <f>IF(AX238="","",--(AX238='Codebook'!$F$43))</f>
        <v>0</v>
      </c>
      <c r="CQ238" s="18">
        <f>IF(AY238="","",--(AY238='Codebook'!$F$44))</f>
        <v>0</v>
      </c>
      <c r="CR238" s="18">
        <f>IF(AZ238="","",--(AZ238='Codebook'!$F$45))</f>
        <v>0</v>
      </c>
    </row>
    <row r="239" spans="2:96" ht="24" customHeight="1">
      <c r="B239" s="18">
        <v>234</v>
      </c>
      <c r="C239" s="23">
        <v>46288.45674394676</v>
      </c>
      <c r="D239" s="21" t="s">
        <v>275</v>
      </c>
      <c r="E239" s="21" t="s">
        <v>206</v>
      </c>
      <c r="F239" s="21" t="s">
        <v>195</v>
      </c>
      <c r="G239" s="17" t="s">
        <v>196</v>
      </c>
      <c r="H239" s="21" t="s">
        <v>197</v>
      </c>
      <c r="I239" s="18">
        <f>SUM(BL239:BU239)</f>
        <v>4</v>
      </c>
      <c r="J239" s="18">
        <f>IF(COUNT(BV239:CD239)=9,SUM(BV239:CD239),"")</f>
        <v>4</v>
      </c>
      <c r="K239" s="18">
        <f>SUM(BL239:CD239)</f>
        <v>8</v>
      </c>
      <c r="L239" s="18">
        <f>--(K239&gt;='Codebook'!$C$8)</f>
        <v>0</v>
      </c>
      <c r="M239" s="18">
        <f>--(COUNT(BL239:CD239)=19)</f>
        <v>1</v>
      </c>
      <c r="N239" s="18">
        <f>SUM(CE239:CL239)</f>
        <v>5</v>
      </c>
      <c r="O239" s="18">
        <f>SUM(CM239:CR239)</f>
        <v>0</v>
      </c>
      <c r="P239" s="18">
        <f>N239+O239</f>
        <v>5</v>
      </c>
      <c r="Q239" s="21" t="s">
        <v>198</v>
      </c>
      <c r="R239" s="17" t="s">
        <v>155</v>
      </c>
      <c r="S239" s="18">
        <f>--OR(Overview!$B$6="All",E239=Overview!$B$6)*--OR(Overview!$F$6="All",F239=Overview!$F$6)*--OR(Overview!$J$6="All",G239=Overview!$J$6)*--OR(Overview!$N$6="All",H239=Overview!$N$6)</f>
        <v>1</v>
      </c>
      <c r="T239" s="21" t="s">
        <v>22</v>
      </c>
      <c r="U239" s="21" t="s">
        <v>26</v>
      </c>
      <c r="V239" s="21" t="s">
        <v>22</v>
      </c>
      <c r="W239" s="21" t="s">
        <v>198</v>
      </c>
      <c r="X239" s="21" t="s">
        <v>22</v>
      </c>
      <c r="Y239" s="21" t="s">
        <v>22</v>
      </c>
      <c r="Z239" s="21" t="s">
        <v>198</v>
      </c>
      <c r="AA239" s="21" t="s">
        <v>22</v>
      </c>
      <c r="AB239" s="21" t="s">
        <v>22</v>
      </c>
      <c r="AC239" s="21" t="s">
        <v>198</v>
      </c>
      <c r="AD239" s="21" t="s">
        <v>22</v>
      </c>
      <c r="AE239" s="21" t="s">
        <v>22</v>
      </c>
      <c r="AF239" s="21" t="s">
        <v>198</v>
      </c>
      <c r="AG239" s="21" t="s">
        <v>22</v>
      </c>
      <c r="AH239" s="21" t="s">
        <v>198</v>
      </c>
      <c r="AI239" s="21" t="s">
        <v>22</v>
      </c>
      <c r="AJ239" s="21" t="s">
        <v>22</v>
      </c>
      <c r="AK239" s="21" t="s">
        <v>22</v>
      </c>
      <c r="AL239" s="21" t="s">
        <v>22</v>
      </c>
      <c r="AM239" s="21" t="s">
        <v>83</v>
      </c>
      <c r="AN239" s="21" t="s">
        <v>83</v>
      </c>
      <c r="AO239" s="21" t="s">
        <v>198</v>
      </c>
      <c r="AP239" s="21" t="s">
        <v>83</v>
      </c>
      <c r="AQ239" s="21" t="s">
        <v>83</v>
      </c>
      <c r="AR239" s="21" t="s">
        <v>198</v>
      </c>
      <c r="AS239" s="21" t="s">
        <v>83</v>
      </c>
      <c r="AT239" s="21" t="s">
        <v>198</v>
      </c>
      <c r="AU239" s="21" t="s">
        <v>198</v>
      </c>
      <c r="AV239" s="21" t="s">
        <v>198</v>
      </c>
      <c r="AW239" s="21" t="s">
        <v>198</v>
      </c>
      <c r="AX239" s="21" t="s">
        <v>198</v>
      </c>
      <c r="AY239" s="21" t="s">
        <v>198</v>
      </c>
      <c r="AZ239" s="21" t="s">
        <v>83</v>
      </c>
      <c r="BA239" s="17" t="s">
        <v>258</v>
      </c>
      <c r="BB239" s="17" t="s">
        <v>219</v>
      </c>
      <c r="BC239" s="18">
        <f>--ISNUMBER(SEARCH("Radio or television",BA239))</f>
        <v>0</v>
      </c>
      <c r="BD239" s="18">
        <f>--ISNUMBER(SEARCH("Newspapers or print media",BA239))</f>
        <v>0</v>
      </c>
      <c r="BE239" s="18">
        <f>--ISNUMBER(SEARCH("Social media (e.g. Facebook, WhatsApp, YouTube, X/Twitter)",BA239))</f>
        <v>1</v>
      </c>
      <c r="BF239" s="18">
        <f>--ISNUMBER(SEARCH("Family members",BA239))</f>
        <v>1</v>
      </c>
      <c r="BG239" s="18">
        <f>--ISNUMBER(SEARCH("Friends or fellow students",BA239))</f>
        <v>1</v>
      </c>
      <c r="BH239" s="18">
        <f>--ISNUMBER(SEARCH("School coursework or lectures",BA239))</f>
        <v>0</v>
      </c>
      <c r="BI239" s="18">
        <f>--ISNUMBER(SEARCH("NHIMA outreach activities or NHIMA offices",BA239))</f>
        <v>0</v>
      </c>
      <c r="BJ239" s="18">
        <f>--ISNUMBER(SEARCH("Health facility staff",BA239))</f>
        <v>0</v>
      </c>
      <c r="BK239" s="18">
        <f>--ISNUMBER(SEARCH("not received information",BA239))</f>
        <v>0</v>
      </c>
      <c r="BL239" s="18">
        <f>IF(T239="","",--(T239='Codebook'!$F$13))</f>
        <v>1</v>
      </c>
      <c r="BM239" s="18">
        <f>IF(U239="","",--(U239='Codebook'!$F$14))</f>
        <v>1</v>
      </c>
      <c r="BN239" s="18">
        <f>IF(V239="","",--(V239='Codebook'!$F$15))</f>
        <v>0</v>
      </c>
      <c r="BO239" s="18">
        <f>IF(W239="","",--(W239='Codebook'!$F$16))</f>
        <v>0</v>
      </c>
      <c r="BP239" s="18">
        <f>IF(X239="","",--(X239='Codebook'!$F$17))</f>
        <v>1</v>
      </c>
      <c r="BQ239" s="18">
        <f>IF(Y239="","",--(Y239='Codebook'!$F$18))</f>
        <v>0</v>
      </c>
      <c r="BR239" s="18">
        <f>IF(Z239="","",--(Z239='Codebook'!$F$19))</f>
        <v>0</v>
      </c>
      <c r="BS239" s="18">
        <f>IF(AA239="","",--(AA239='Codebook'!$F$20))</f>
        <v>1</v>
      </c>
      <c r="BT239" s="18">
        <f>IF(AB239="","",--(AB239='Codebook'!$F$21))</f>
        <v>0</v>
      </c>
      <c r="BU239" s="18">
        <f>IF(AC239="","",--(AC239='Codebook'!$F$22))</f>
        <v>0</v>
      </c>
      <c r="BV239" s="18">
        <f>IF(AD239="","",--(AD239='Codebook'!$F$23))</f>
        <v>1</v>
      </c>
      <c r="BW239" s="18">
        <f>IF(AE239="","",--(AE239='Codebook'!$F$24))</f>
        <v>1</v>
      </c>
      <c r="BX239" s="18">
        <f>IF(AF239="","",--(AF239='Codebook'!$F$25))</f>
        <v>0</v>
      </c>
      <c r="BY239" s="18">
        <f>IF(AG239="","",--(AG239='Codebook'!$F$26))</f>
        <v>1</v>
      </c>
      <c r="BZ239" s="18">
        <f>IF(AH239="","",--(AH239='Codebook'!$F$27))</f>
        <v>0</v>
      </c>
      <c r="CA239" s="18">
        <f>IF(AI239="","",--(AI239='Codebook'!$F$28))</f>
        <v>0</v>
      </c>
      <c r="CB239" s="18">
        <f>IF(AJ239="","",--(AJ239='Codebook'!$F$29))</f>
        <v>0</v>
      </c>
      <c r="CC239" s="18">
        <f>IF(AK239="","",--(AK239='Codebook'!$F$30))</f>
        <v>1</v>
      </c>
      <c r="CD239" s="18">
        <f>IF(AL239="","",--(AL239='Codebook'!$F$31))</f>
        <v>0</v>
      </c>
      <c r="CE239" s="18">
        <f>IF(AM239="","",--(AM239='Codebook'!$F$32))</f>
        <v>1</v>
      </c>
      <c r="CF239" s="18">
        <f>IF(AN239="","",--(AN239='Codebook'!$F$33))</f>
        <v>1</v>
      </c>
      <c r="CG239" s="18">
        <f>IF(AO239="","",--(AO239='Codebook'!$F$34))</f>
        <v>0</v>
      </c>
      <c r="CH239" s="18">
        <f>IF(AP239="","",--(AP239='Codebook'!$F$35))</f>
        <v>1</v>
      </c>
      <c r="CI239" s="18">
        <f>IF(AQ239="","",--(AQ239='Codebook'!$F$36))</f>
        <v>1</v>
      </c>
      <c r="CJ239" s="18">
        <f>IF(AR239="","",--(AR239='Codebook'!$F$37))</f>
        <v>0</v>
      </c>
      <c r="CK239" s="18">
        <f>IF(AS239="","",--(AS239='Codebook'!$F$38))</f>
        <v>1</v>
      </c>
      <c r="CL239" s="18">
        <f>IF(AT239="","",--(AT239='Codebook'!$F$39))</f>
        <v>0</v>
      </c>
      <c r="CM239" s="18">
        <f>IF(AU239="","",--(AU239='Codebook'!$F$40))</f>
        <v>0</v>
      </c>
      <c r="CN239" s="18">
        <f>IF(AV239="","",--(AV239='Codebook'!$F$41))</f>
        <v>0</v>
      </c>
      <c r="CO239" s="18">
        <f>IF(AW239="","",--(AW239='Codebook'!$F$42))</f>
        <v>0</v>
      </c>
      <c r="CP239" s="18">
        <f>IF(AX239="","",--(AX239='Codebook'!$F$43))</f>
        <v>0</v>
      </c>
      <c r="CQ239" s="18">
        <f>IF(AY239="","",--(AY239='Codebook'!$F$44))</f>
        <v>0</v>
      </c>
      <c r="CR239" s="18">
        <f>IF(AZ239="","",--(AZ239='Codebook'!$F$45))</f>
        <v>0</v>
      </c>
    </row>
    <row r="240" spans="2:96" ht="24" customHeight="1">
      <c r="B240" s="18">
        <v>235</v>
      </c>
      <c r="C240" s="23">
        <v>46288.45760708334</v>
      </c>
      <c r="D240" s="21" t="s">
        <v>275</v>
      </c>
      <c r="E240" s="21" t="s">
        <v>194</v>
      </c>
      <c r="F240" s="21" t="s">
        <v>212</v>
      </c>
      <c r="G240" s="17" t="s">
        <v>196</v>
      </c>
      <c r="H240" s="21" t="s">
        <v>198</v>
      </c>
      <c r="I240" s="18">
        <f>SUM(BL240:BU240)</f>
        <v>5</v>
      </c>
      <c r="J240" s="18">
        <f>IF(COUNT(BV240:CD240)=9,SUM(BV240:CD240),"")</f>
        <v>2</v>
      </c>
      <c r="K240" s="18">
        <f>SUM(BL240:CD240)</f>
        <v>7</v>
      </c>
      <c r="L240" s="18">
        <f>--(K240&gt;='Codebook'!$C$8)</f>
        <v>0</v>
      </c>
      <c r="M240" s="18">
        <f>--(COUNT(BL240:CD240)=19)</f>
        <v>1</v>
      </c>
      <c r="N240" s="18">
        <f>SUM(CE240:CL240)</f>
        <v>3</v>
      </c>
      <c r="O240" s="18">
        <f>SUM(CM240:CR240)</f>
        <v>0</v>
      </c>
      <c r="P240" s="18">
        <f>N240+O240</f>
        <v>3</v>
      </c>
      <c r="Q240" s="21" t="s">
        <v>198</v>
      </c>
      <c r="R240" s="17" t="s">
        <v>216</v>
      </c>
      <c r="S240" s="18">
        <f>--OR(Overview!$B$6="All",E240=Overview!$B$6)*--OR(Overview!$F$6="All",F240=Overview!$F$6)*--OR(Overview!$J$6="All",G240=Overview!$J$6)*--OR(Overview!$N$6="All",H240=Overview!$N$6)</f>
        <v>1</v>
      </c>
      <c r="T240" s="21" t="s">
        <v>22</v>
      </c>
      <c r="U240" s="21" t="s">
        <v>22</v>
      </c>
      <c r="V240" s="21" t="s">
        <v>198</v>
      </c>
      <c r="W240" s="21" t="s">
        <v>22</v>
      </c>
      <c r="X240" s="21" t="s">
        <v>22</v>
      </c>
      <c r="Y240" s="21" t="s">
        <v>22</v>
      </c>
      <c r="Z240" s="21" t="s">
        <v>198</v>
      </c>
      <c r="AA240" s="21" t="s">
        <v>22</v>
      </c>
      <c r="AB240" s="21" t="s">
        <v>22</v>
      </c>
      <c r="AC240" s="21" t="s">
        <v>22</v>
      </c>
      <c r="AD240" s="21" t="s">
        <v>198</v>
      </c>
      <c r="AE240" s="21" t="s">
        <v>22</v>
      </c>
      <c r="AF240" s="21" t="s">
        <v>22</v>
      </c>
      <c r="AG240" s="21" t="s">
        <v>22</v>
      </c>
      <c r="AH240" s="21" t="s">
        <v>198</v>
      </c>
      <c r="AI240" s="21" t="s">
        <v>22</v>
      </c>
      <c r="AJ240" s="21" t="s">
        <v>198</v>
      </c>
      <c r="AK240" s="21" t="s">
        <v>198</v>
      </c>
      <c r="AL240" s="21" t="s">
        <v>22</v>
      </c>
      <c r="AM240" s="21" t="s">
        <v>83</v>
      </c>
      <c r="AN240" s="21" t="s">
        <v>198</v>
      </c>
      <c r="AO240" s="21" t="s">
        <v>198</v>
      </c>
      <c r="AP240" s="21" t="s">
        <v>198</v>
      </c>
      <c r="AQ240" s="21" t="s">
        <v>198</v>
      </c>
      <c r="AR240" s="21" t="s">
        <v>83</v>
      </c>
      <c r="AS240" s="21" t="s">
        <v>83</v>
      </c>
      <c r="AT240" s="21" t="s">
        <v>198</v>
      </c>
      <c r="AU240" s="21" t="s">
        <v>198</v>
      </c>
      <c r="AV240" s="21" t="s">
        <v>198</v>
      </c>
      <c r="AW240" s="21" t="s">
        <v>83</v>
      </c>
      <c r="AX240" s="21" t="s">
        <v>83</v>
      </c>
      <c r="AY240" s="21" t="s">
        <v>198</v>
      </c>
      <c r="AZ240" s="21" t="s">
        <v>198</v>
      </c>
      <c r="BA240" s="17" t="s">
        <v>290</v>
      </c>
      <c r="BB240" s="17" t="s">
        <v>291</v>
      </c>
      <c r="BC240" s="18">
        <f>--ISNUMBER(SEARCH("Radio or television",BA240))</f>
        <v>0</v>
      </c>
      <c r="BD240" s="18">
        <f>--ISNUMBER(SEARCH("Newspapers or print media",BA240))</f>
        <v>0</v>
      </c>
      <c r="BE240" s="18">
        <f>--ISNUMBER(SEARCH("Social media (e.g. Facebook, WhatsApp, YouTube, X/Twitter)",BA240))</f>
        <v>0</v>
      </c>
      <c r="BF240" s="18">
        <f>--ISNUMBER(SEARCH("Family members",BA240))</f>
        <v>0</v>
      </c>
      <c r="BG240" s="18">
        <f>--ISNUMBER(SEARCH("Friends or fellow students",BA240))</f>
        <v>1</v>
      </c>
      <c r="BH240" s="18">
        <f>--ISNUMBER(SEARCH("School coursework or lectures",BA240))</f>
        <v>1</v>
      </c>
      <c r="BI240" s="18">
        <f>--ISNUMBER(SEARCH("NHIMA outreach activities or NHIMA offices",BA240))</f>
        <v>0</v>
      </c>
      <c r="BJ240" s="18">
        <f>--ISNUMBER(SEARCH("Health facility staff",BA240))</f>
        <v>0</v>
      </c>
      <c r="BK240" s="18">
        <f>--ISNUMBER(SEARCH("not received information",BA240))</f>
        <v>0</v>
      </c>
      <c r="BL240" s="18">
        <f>IF(T240="","",--(T240='Codebook'!$F$13))</f>
        <v>1</v>
      </c>
      <c r="BM240" s="18">
        <f>IF(U240="","",--(U240='Codebook'!$F$14))</f>
        <v>0</v>
      </c>
      <c r="BN240" s="18">
        <f>IF(V240="","",--(V240='Codebook'!$F$15))</f>
        <v>0</v>
      </c>
      <c r="BO240" s="18">
        <f>IF(W240="","",--(W240='Codebook'!$F$16))</f>
        <v>1</v>
      </c>
      <c r="BP240" s="18">
        <f>IF(X240="","",--(X240='Codebook'!$F$17))</f>
        <v>1</v>
      </c>
      <c r="BQ240" s="18">
        <f>IF(Y240="","",--(Y240='Codebook'!$F$18))</f>
        <v>0</v>
      </c>
      <c r="BR240" s="18">
        <f>IF(Z240="","",--(Z240='Codebook'!$F$19))</f>
        <v>0</v>
      </c>
      <c r="BS240" s="18">
        <f>IF(AA240="","",--(AA240='Codebook'!$F$20))</f>
        <v>1</v>
      </c>
      <c r="BT240" s="18">
        <f>IF(AB240="","",--(AB240='Codebook'!$F$21))</f>
        <v>0</v>
      </c>
      <c r="BU240" s="18">
        <f>IF(AC240="","",--(AC240='Codebook'!$F$22))</f>
        <v>1</v>
      </c>
      <c r="BV240" s="18">
        <f>IF(AD240="","",--(AD240='Codebook'!$F$23))</f>
        <v>0</v>
      </c>
      <c r="BW240" s="18">
        <f>IF(AE240="","",--(AE240='Codebook'!$F$24))</f>
        <v>1</v>
      </c>
      <c r="BX240" s="18">
        <f>IF(AF240="","",--(AF240='Codebook'!$F$25))</f>
        <v>0</v>
      </c>
      <c r="BY240" s="18">
        <f>IF(AG240="","",--(AG240='Codebook'!$F$26))</f>
        <v>1</v>
      </c>
      <c r="BZ240" s="18">
        <f>IF(AH240="","",--(AH240='Codebook'!$F$27))</f>
        <v>0</v>
      </c>
      <c r="CA240" s="18">
        <f>IF(AI240="","",--(AI240='Codebook'!$F$28))</f>
        <v>0</v>
      </c>
      <c r="CB240" s="18">
        <f>IF(AJ240="","",--(AJ240='Codebook'!$F$29))</f>
        <v>0</v>
      </c>
      <c r="CC240" s="18">
        <f>IF(AK240="","",--(AK240='Codebook'!$F$30))</f>
        <v>0</v>
      </c>
      <c r="CD240" s="18">
        <f>IF(AL240="","",--(AL240='Codebook'!$F$31))</f>
        <v>0</v>
      </c>
      <c r="CE240" s="18">
        <f>IF(AM240="","",--(AM240='Codebook'!$F$32))</f>
        <v>1</v>
      </c>
      <c r="CF240" s="18">
        <f>IF(AN240="","",--(AN240='Codebook'!$F$33))</f>
        <v>0</v>
      </c>
      <c r="CG240" s="18">
        <f>IF(AO240="","",--(AO240='Codebook'!$F$34))</f>
        <v>0</v>
      </c>
      <c r="CH240" s="18">
        <f>IF(AP240="","",--(AP240='Codebook'!$F$35))</f>
        <v>0</v>
      </c>
      <c r="CI240" s="18">
        <f>IF(AQ240="","",--(AQ240='Codebook'!$F$36))</f>
        <v>0</v>
      </c>
      <c r="CJ240" s="18">
        <f>IF(AR240="","",--(AR240='Codebook'!$F$37))</f>
        <v>1</v>
      </c>
      <c r="CK240" s="18">
        <f>IF(AS240="","",--(AS240='Codebook'!$F$38))</f>
        <v>1</v>
      </c>
      <c r="CL240" s="18">
        <f>IF(AT240="","",--(AT240='Codebook'!$F$39))</f>
        <v>0</v>
      </c>
      <c r="CM240" s="18">
        <f>IF(AU240="","",--(AU240='Codebook'!$F$40))</f>
        <v>0</v>
      </c>
      <c r="CN240" s="18">
        <f>IF(AV240="","",--(AV240='Codebook'!$F$41))</f>
        <v>0</v>
      </c>
      <c r="CO240" s="18">
        <f>IF(AW240="","",--(AW240='Codebook'!$F$42))</f>
        <v>0</v>
      </c>
      <c r="CP240" s="18">
        <f>IF(AX240="","",--(AX240='Codebook'!$F$43))</f>
        <v>0</v>
      </c>
      <c r="CQ240" s="18">
        <f>IF(AY240="","",--(AY240='Codebook'!$F$44))</f>
        <v>0</v>
      </c>
      <c r="CR240" s="18">
        <f>IF(AZ240="","",--(AZ240='Codebook'!$F$45))</f>
        <v>0</v>
      </c>
    </row>
    <row r="241" spans="2:96" ht="24" customHeight="1">
      <c r="B241" s="18">
        <v>236</v>
      </c>
      <c r="C241" s="23">
        <v>46288.45832456018</v>
      </c>
      <c r="D241" s="21" t="s">
        <v>268</v>
      </c>
      <c r="E241" s="21" t="s">
        <v>206</v>
      </c>
      <c r="F241" s="21" t="s">
        <v>212</v>
      </c>
      <c r="G241" s="17" t="s">
        <v>224</v>
      </c>
      <c r="H241" s="21" t="s">
        <v>198</v>
      </c>
      <c r="I241" s="18">
        <f>SUM(BL241:BU241)</f>
        <v>4</v>
      </c>
      <c r="J241" s="18">
        <f>IF(COUNT(BV241:CD241)=9,SUM(BV241:CD241),"")</f>
        <v>4</v>
      </c>
      <c r="K241" s="18">
        <f>SUM(BL241:CD241)</f>
        <v>8</v>
      </c>
      <c r="L241" s="18">
        <f>--(K241&gt;='Codebook'!$C$8)</f>
        <v>0</v>
      </c>
      <c r="M241" s="18">
        <f>--(COUNT(BL241:CD241)=19)</f>
        <v>1</v>
      </c>
      <c r="N241" s="18">
        <f>SUM(CE241:CL241)</f>
        <v>8</v>
      </c>
      <c r="O241" s="18">
        <f>SUM(CM241:CR241)</f>
        <v>0</v>
      </c>
      <c r="P241" s="18">
        <f>N241+O241</f>
        <v>8</v>
      </c>
      <c r="Q241" s="21" t="s">
        <v>197</v>
      </c>
      <c r="R241" s="17" t="s">
        <v>152</v>
      </c>
      <c r="S241" s="18">
        <f>--OR(Overview!$B$6="All",E241=Overview!$B$6)*--OR(Overview!$F$6="All",F241=Overview!$F$6)*--OR(Overview!$J$6="All",G241=Overview!$J$6)*--OR(Overview!$N$6="All",H241=Overview!$N$6)</f>
        <v>1</v>
      </c>
      <c r="T241" s="21" t="s">
        <v>22</v>
      </c>
      <c r="U241" s="21" t="s">
        <v>22</v>
      </c>
      <c r="V241" s="21" t="s">
        <v>22</v>
      </c>
      <c r="W241" s="21" t="s">
        <v>22</v>
      </c>
      <c r="X241" s="21" t="s">
        <v>26</v>
      </c>
      <c r="Y241" s="21" t="s">
        <v>22</v>
      </c>
      <c r="Z241" s="21" t="s">
        <v>22</v>
      </c>
      <c r="AA241" s="21" t="s">
        <v>26</v>
      </c>
      <c r="AB241" s="21" t="s">
        <v>22</v>
      </c>
      <c r="AC241" s="21" t="s">
        <v>22</v>
      </c>
      <c r="AD241" s="21" t="s">
        <v>22</v>
      </c>
      <c r="AE241" s="21" t="s">
        <v>26</v>
      </c>
      <c r="AF241" s="21" t="s">
        <v>22</v>
      </c>
      <c r="AG241" s="21" t="s">
        <v>22</v>
      </c>
      <c r="AH241" s="21" t="s">
        <v>22</v>
      </c>
      <c r="AI241" s="21" t="s">
        <v>22</v>
      </c>
      <c r="AJ241" s="21" t="s">
        <v>22</v>
      </c>
      <c r="AK241" s="21" t="s">
        <v>22</v>
      </c>
      <c r="AL241" s="21" t="s">
        <v>22</v>
      </c>
      <c r="AM241" s="21" t="s">
        <v>83</v>
      </c>
      <c r="AN241" s="21" t="s">
        <v>83</v>
      </c>
      <c r="AO241" s="21" t="s">
        <v>83</v>
      </c>
      <c r="AP241" s="21" t="s">
        <v>83</v>
      </c>
      <c r="AQ241" s="21" t="s">
        <v>83</v>
      </c>
      <c r="AR241" s="21" t="s">
        <v>83</v>
      </c>
      <c r="AS241" s="21" t="s">
        <v>83</v>
      </c>
      <c r="AT241" s="21" t="s">
        <v>83</v>
      </c>
      <c r="AU241" s="21" t="s">
        <v>83</v>
      </c>
      <c r="AV241" s="21" t="s">
        <v>83</v>
      </c>
      <c r="AW241" s="21" t="s">
        <v>198</v>
      </c>
      <c r="AX241" s="21" t="s">
        <v>83</v>
      </c>
      <c r="AY241" s="21" t="s">
        <v>198</v>
      </c>
      <c r="AZ241" s="21" t="s">
        <v>198</v>
      </c>
      <c r="BA241" s="17" t="s">
        <v>252</v>
      </c>
      <c r="BB241" s="17" t="s">
        <v>223</v>
      </c>
      <c r="BC241" s="18">
        <f>--ISNUMBER(SEARCH("Radio or television",BA241))</f>
        <v>1</v>
      </c>
      <c r="BD241" s="18">
        <f>--ISNUMBER(SEARCH("Newspapers or print media",BA241))</f>
        <v>0</v>
      </c>
      <c r="BE241" s="18">
        <f>--ISNUMBER(SEARCH("Social media (e.g. Facebook, WhatsApp, YouTube, X/Twitter)",BA241))</f>
        <v>1</v>
      </c>
      <c r="BF241" s="18">
        <f>--ISNUMBER(SEARCH("Family members",BA241))</f>
        <v>1</v>
      </c>
      <c r="BG241" s="18">
        <f>--ISNUMBER(SEARCH("Friends or fellow students",BA241))</f>
        <v>0</v>
      </c>
      <c r="BH241" s="18">
        <f>--ISNUMBER(SEARCH("School coursework or lectures",BA241))</f>
        <v>0</v>
      </c>
      <c r="BI241" s="18">
        <f>--ISNUMBER(SEARCH("NHIMA outreach activities or NHIMA offices",BA241))</f>
        <v>0</v>
      </c>
      <c r="BJ241" s="18">
        <f>--ISNUMBER(SEARCH("Health facility staff",BA241))</f>
        <v>0</v>
      </c>
      <c r="BK241" s="18">
        <f>--ISNUMBER(SEARCH("not received information",BA241))</f>
        <v>0</v>
      </c>
      <c r="BL241" s="18">
        <f>IF(T241="","",--(T241='Codebook'!$F$13))</f>
        <v>1</v>
      </c>
      <c r="BM241" s="18">
        <f>IF(U241="","",--(U241='Codebook'!$F$14))</f>
        <v>0</v>
      </c>
      <c r="BN241" s="18">
        <f>IF(V241="","",--(V241='Codebook'!$F$15))</f>
        <v>0</v>
      </c>
      <c r="BO241" s="18">
        <f>IF(W241="","",--(W241='Codebook'!$F$16))</f>
        <v>1</v>
      </c>
      <c r="BP241" s="18">
        <f>IF(X241="","",--(X241='Codebook'!$F$17))</f>
        <v>0</v>
      </c>
      <c r="BQ241" s="18">
        <f>IF(Y241="","",--(Y241='Codebook'!$F$18))</f>
        <v>0</v>
      </c>
      <c r="BR241" s="18">
        <f>IF(Z241="","",--(Z241='Codebook'!$F$19))</f>
        <v>1</v>
      </c>
      <c r="BS241" s="18">
        <f>IF(AA241="","",--(AA241='Codebook'!$F$20))</f>
        <v>0</v>
      </c>
      <c r="BT241" s="18">
        <f>IF(AB241="","",--(AB241='Codebook'!$F$21))</f>
        <v>0</v>
      </c>
      <c r="BU241" s="18">
        <f>IF(AC241="","",--(AC241='Codebook'!$F$22))</f>
        <v>1</v>
      </c>
      <c r="BV241" s="18">
        <f>IF(AD241="","",--(AD241='Codebook'!$F$23))</f>
        <v>1</v>
      </c>
      <c r="BW241" s="18">
        <f>IF(AE241="","",--(AE241='Codebook'!$F$24))</f>
        <v>0</v>
      </c>
      <c r="BX241" s="18">
        <f>IF(AF241="","",--(AF241='Codebook'!$F$25))</f>
        <v>0</v>
      </c>
      <c r="BY241" s="18">
        <f>IF(AG241="","",--(AG241='Codebook'!$F$26))</f>
        <v>1</v>
      </c>
      <c r="BZ241" s="18">
        <f>IF(AH241="","",--(AH241='Codebook'!$F$27))</f>
        <v>1</v>
      </c>
      <c r="CA241" s="18">
        <f>IF(AI241="","",--(AI241='Codebook'!$F$28))</f>
        <v>0</v>
      </c>
      <c r="CB241" s="18">
        <f>IF(AJ241="","",--(AJ241='Codebook'!$F$29))</f>
        <v>0</v>
      </c>
      <c r="CC241" s="18">
        <f>IF(AK241="","",--(AK241='Codebook'!$F$30))</f>
        <v>1</v>
      </c>
      <c r="CD241" s="18">
        <f>IF(AL241="","",--(AL241='Codebook'!$F$31))</f>
        <v>0</v>
      </c>
      <c r="CE241" s="18">
        <f>IF(AM241="","",--(AM241='Codebook'!$F$32))</f>
        <v>1</v>
      </c>
      <c r="CF241" s="18">
        <f>IF(AN241="","",--(AN241='Codebook'!$F$33))</f>
        <v>1</v>
      </c>
      <c r="CG241" s="18">
        <f>IF(AO241="","",--(AO241='Codebook'!$F$34))</f>
        <v>1</v>
      </c>
      <c r="CH241" s="18">
        <f>IF(AP241="","",--(AP241='Codebook'!$F$35))</f>
        <v>1</v>
      </c>
      <c r="CI241" s="18">
        <f>IF(AQ241="","",--(AQ241='Codebook'!$F$36))</f>
        <v>1</v>
      </c>
      <c r="CJ241" s="18">
        <f>IF(AR241="","",--(AR241='Codebook'!$F$37))</f>
        <v>1</v>
      </c>
      <c r="CK241" s="18">
        <f>IF(AS241="","",--(AS241='Codebook'!$F$38))</f>
        <v>1</v>
      </c>
      <c r="CL241" s="18">
        <f>IF(AT241="","",--(AT241='Codebook'!$F$39))</f>
        <v>1</v>
      </c>
      <c r="CM241" s="18">
        <f>IF(AU241="","",--(AU241='Codebook'!$F$40))</f>
        <v>0</v>
      </c>
      <c r="CN241" s="18">
        <f>IF(AV241="","",--(AV241='Codebook'!$F$41))</f>
        <v>0</v>
      </c>
      <c r="CO241" s="18">
        <f>IF(AW241="","",--(AW241='Codebook'!$F$42))</f>
        <v>0</v>
      </c>
      <c r="CP241" s="18">
        <f>IF(AX241="","",--(AX241='Codebook'!$F$43))</f>
        <v>0</v>
      </c>
      <c r="CQ241" s="18">
        <f>IF(AY241="","",--(AY241='Codebook'!$F$44))</f>
        <v>0</v>
      </c>
      <c r="CR241" s="18">
        <f>IF(AZ241="","",--(AZ241='Codebook'!$F$45))</f>
        <v>0</v>
      </c>
    </row>
    <row r="242" spans="2:96" ht="24" customHeight="1">
      <c r="B242" s="18">
        <v>237</v>
      </c>
      <c r="C242" s="23">
        <v>46289.41156920139</v>
      </c>
      <c r="D242" s="21" t="s">
        <v>275</v>
      </c>
      <c r="E242" s="21" t="s">
        <v>206</v>
      </c>
      <c r="F242" s="21" t="s">
        <v>212</v>
      </c>
      <c r="G242" s="17" t="s">
        <v>224</v>
      </c>
      <c r="H242" s="21" t="s">
        <v>197</v>
      </c>
      <c r="I242" s="18">
        <f>SUM(BL242:BU242)</f>
        <v>6</v>
      </c>
      <c r="J242" s="18">
        <f>IF(COUNT(BV242:CD242)=9,SUM(BV242:CD242),"")</f>
        <v>5</v>
      </c>
      <c r="K242" s="18">
        <f>SUM(BL242:CD242)</f>
        <v>11</v>
      </c>
      <c r="L242" s="18">
        <f>--(K242&gt;='Codebook'!$C$8)</f>
        <v>0</v>
      </c>
      <c r="M242" s="18">
        <f>--(COUNT(BL242:CD242)=19)</f>
        <v>1</v>
      </c>
      <c r="N242" s="18">
        <f>SUM(CE242:CL242)</f>
        <v>6</v>
      </c>
      <c r="O242" s="18">
        <f>SUM(CM242:CR242)</f>
        <v>0</v>
      </c>
      <c r="P242" s="18">
        <f>N242+O242</f>
        <v>6</v>
      </c>
      <c r="Q242" s="21" t="s">
        <v>198</v>
      </c>
      <c r="R242" s="17" t="s">
        <v>152</v>
      </c>
      <c r="S242" s="18">
        <f>--OR(Overview!$B$6="All",E242=Overview!$B$6)*--OR(Overview!$F$6="All",F242=Overview!$F$6)*--OR(Overview!$J$6="All",G242=Overview!$J$6)*--OR(Overview!$N$6="All",H242=Overview!$N$6)</f>
        <v>1</v>
      </c>
      <c r="T242" s="21" t="s">
        <v>22</v>
      </c>
      <c r="U242" s="21" t="s">
        <v>22</v>
      </c>
      <c r="V242" s="21" t="s">
        <v>22</v>
      </c>
      <c r="W242" s="21" t="s">
        <v>22</v>
      </c>
      <c r="X242" s="21" t="s">
        <v>22</v>
      </c>
      <c r="Y242" s="21" t="s">
        <v>22</v>
      </c>
      <c r="Z242" s="21" t="s">
        <v>22</v>
      </c>
      <c r="AA242" s="21" t="s">
        <v>22</v>
      </c>
      <c r="AB242" s="21" t="s">
        <v>22</v>
      </c>
      <c r="AC242" s="21" t="s">
        <v>22</v>
      </c>
      <c r="AD242" s="21" t="s">
        <v>22</v>
      </c>
      <c r="AE242" s="21" t="s">
        <v>22</v>
      </c>
      <c r="AF242" s="21" t="s">
        <v>22</v>
      </c>
      <c r="AG242" s="21" t="s">
        <v>22</v>
      </c>
      <c r="AH242" s="21" t="s">
        <v>22</v>
      </c>
      <c r="AI242" s="21" t="s">
        <v>22</v>
      </c>
      <c r="AJ242" s="21" t="s">
        <v>22</v>
      </c>
      <c r="AK242" s="21" t="s">
        <v>22</v>
      </c>
      <c r="AL242" s="21" t="s">
        <v>198</v>
      </c>
      <c r="AM242" s="21" t="s">
        <v>198</v>
      </c>
      <c r="AN242" s="21" t="s">
        <v>83</v>
      </c>
      <c r="AO242" s="21" t="s">
        <v>198</v>
      </c>
      <c r="AP242" s="21" t="s">
        <v>83</v>
      </c>
      <c r="AQ242" s="21" t="s">
        <v>83</v>
      </c>
      <c r="AR242" s="21" t="s">
        <v>83</v>
      </c>
      <c r="AS242" s="21" t="s">
        <v>83</v>
      </c>
      <c r="AT242" s="21" t="s">
        <v>83</v>
      </c>
      <c r="AU242" s="21" t="s">
        <v>198</v>
      </c>
      <c r="AV242" s="21" t="s">
        <v>83</v>
      </c>
      <c r="AW242" s="21" t="s">
        <v>83</v>
      </c>
      <c r="AX242" s="21" t="s">
        <v>83</v>
      </c>
      <c r="AY242" s="21" t="s">
        <v>83</v>
      </c>
      <c r="AZ242" s="21" t="s">
        <v>83</v>
      </c>
      <c r="BA242" s="17" t="s">
        <v>223</v>
      </c>
      <c r="BB242" s="17" t="s">
        <v>223</v>
      </c>
      <c r="BC242" s="18">
        <f>--ISNUMBER(SEARCH("Radio or television",BA242))</f>
        <v>1</v>
      </c>
      <c r="BD242" s="18">
        <f>--ISNUMBER(SEARCH("Newspapers or print media",BA242))</f>
        <v>0</v>
      </c>
      <c r="BE242" s="18">
        <f>--ISNUMBER(SEARCH("Social media (e.g. Facebook, WhatsApp, YouTube, X/Twitter)",BA242))</f>
        <v>0</v>
      </c>
      <c r="BF242" s="18">
        <f>--ISNUMBER(SEARCH("Family members",BA242))</f>
        <v>0</v>
      </c>
      <c r="BG242" s="18">
        <f>--ISNUMBER(SEARCH("Friends or fellow students",BA242))</f>
        <v>0</v>
      </c>
      <c r="BH242" s="18">
        <f>--ISNUMBER(SEARCH("School coursework or lectures",BA242))</f>
        <v>0</v>
      </c>
      <c r="BI242" s="18">
        <f>--ISNUMBER(SEARCH("NHIMA outreach activities or NHIMA offices",BA242))</f>
        <v>0</v>
      </c>
      <c r="BJ242" s="18">
        <f>--ISNUMBER(SEARCH("Health facility staff",BA242))</f>
        <v>0</v>
      </c>
      <c r="BK242" s="18">
        <f>--ISNUMBER(SEARCH("not received information",BA242))</f>
        <v>0</v>
      </c>
      <c r="BL242" s="18">
        <f>IF(T242="","",--(T242='Codebook'!$F$13))</f>
        <v>1</v>
      </c>
      <c r="BM242" s="18">
        <f>IF(U242="","",--(U242='Codebook'!$F$14))</f>
        <v>0</v>
      </c>
      <c r="BN242" s="18">
        <f>IF(V242="","",--(V242='Codebook'!$F$15))</f>
        <v>0</v>
      </c>
      <c r="BO242" s="18">
        <f>IF(W242="","",--(W242='Codebook'!$F$16))</f>
        <v>1</v>
      </c>
      <c r="BP242" s="18">
        <f>IF(X242="","",--(X242='Codebook'!$F$17))</f>
        <v>1</v>
      </c>
      <c r="BQ242" s="18">
        <f>IF(Y242="","",--(Y242='Codebook'!$F$18))</f>
        <v>0</v>
      </c>
      <c r="BR242" s="18">
        <f>IF(Z242="","",--(Z242='Codebook'!$F$19))</f>
        <v>1</v>
      </c>
      <c r="BS242" s="18">
        <f>IF(AA242="","",--(AA242='Codebook'!$F$20))</f>
        <v>1</v>
      </c>
      <c r="BT242" s="18">
        <f>IF(AB242="","",--(AB242='Codebook'!$F$21))</f>
        <v>0</v>
      </c>
      <c r="BU242" s="18">
        <f>IF(AC242="","",--(AC242='Codebook'!$F$22))</f>
        <v>1</v>
      </c>
      <c r="BV242" s="18">
        <f>IF(AD242="","",--(AD242='Codebook'!$F$23))</f>
        <v>1</v>
      </c>
      <c r="BW242" s="18">
        <f>IF(AE242="","",--(AE242='Codebook'!$F$24))</f>
        <v>1</v>
      </c>
      <c r="BX242" s="18">
        <f>IF(AF242="","",--(AF242='Codebook'!$F$25))</f>
        <v>0</v>
      </c>
      <c r="BY242" s="18">
        <f>IF(AG242="","",--(AG242='Codebook'!$F$26))</f>
        <v>1</v>
      </c>
      <c r="BZ242" s="18">
        <f>IF(AH242="","",--(AH242='Codebook'!$F$27))</f>
        <v>1</v>
      </c>
      <c r="CA242" s="18">
        <f>IF(AI242="","",--(AI242='Codebook'!$F$28))</f>
        <v>0</v>
      </c>
      <c r="CB242" s="18">
        <f>IF(AJ242="","",--(AJ242='Codebook'!$F$29))</f>
        <v>0</v>
      </c>
      <c r="CC242" s="18">
        <f>IF(AK242="","",--(AK242='Codebook'!$F$30))</f>
        <v>1</v>
      </c>
      <c r="CD242" s="18">
        <f>IF(AL242="","",--(AL242='Codebook'!$F$31))</f>
        <v>0</v>
      </c>
      <c r="CE242" s="18">
        <f>IF(AM242="","",--(AM242='Codebook'!$F$32))</f>
        <v>0</v>
      </c>
      <c r="CF242" s="18">
        <f>IF(AN242="","",--(AN242='Codebook'!$F$33))</f>
        <v>1</v>
      </c>
      <c r="CG242" s="18">
        <f>IF(AO242="","",--(AO242='Codebook'!$F$34))</f>
        <v>0</v>
      </c>
      <c r="CH242" s="18">
        <f>IF(AP242="","",--(AP242='Codebook'!$F$35))</f>
        <v>1</v>
      </c>
      <c r="CI242" s="18">
        <f>IF(AQ242="","",--(AQ242='Codebook'!$F$36))</f>
        <v>1</v>
      </c>
      <c r="CJ242" s="18">
        <f>IF(AR242="","",--(AR242='Codebook'!$F$37))</f>
        <v>1</v>
      </c>
      <c r="CK242" s="18">
        <f>IF(AS242="","",--(AS242='Codebook'!$F$38))</f>
        <v>1</v>
      </c>
      <c r="CL242" s="18">
        <f>IF(AT242="","",--(AT242='Codebook'!$F$39))</f>
        <v>1</v>
      </c>
      <c r="CM242" s="18">
        <f>IF(AU242="","",--(AU242='Codebook'!$F$40))</f>
        <v>0</v>
      </c>
      <c r="CN242" s="18">
        <f>IF(AV242="","",--(AV242='Codebook'!$F$41))</f>
        <v>0</v>
      </c>
      <c r="CO242" s="18">
        <f>IF(AW242="","",--(AW242='Codebook'!$F$42))</f>
        <v>0</v>
      </c>
      <c r="CP242" s="18">
        <f>IF(AX242="","",--(AX242='Codebook'!$F$43))</f>
        <v>0</v>
      </c>
      <c r="CQ242" s="18">
        <f>IF(AY242="","",--(AY242='Codebook'!$F$44))</f>
        <v>0</v>
      </c>
      <c r="CR242" s="18">
        <f>IF(AZ242="","",--(AZ242='Codebook'!$F$45))</f>
        <v>0</v>
      </c>
    </row>
    <row r="243" spans="2:96" ht="24" customHeight="1">
      <c r="B243" s="18">
        <v>238</v>
      </c>
      <c r="C243" s="23">
        <v>46289.41227737268</v>
      </c>
      <c r="D243" s="21" t="s">
        <v>275</v>
      </c>
      <c r="E243" s="21" t="s">
        <v>194</v>
      </c>
      <c r="F243" s="21" t="s">
        <v>195</v>
      </c>
      <c r="G243" s="17" t="s">
        <v>202</v>
      </c>
      <c r="H243" s="21" t="s">
        <v>197</v>
      </c>
      <c r="I243" s="18">
        <f>SUM(BL243:BU243)</f>
        <v>6</v>
      </c>
      <c r="J243" s="18">
        <f>IF(COUNT(BV243:CD243)=9,SUM(BV243:CD243),"")</f>
        <v>5</v>
      </c>
      <c r="K243" s="18">
        <f>SUM(BL243:CD243)</f>
        <v>11</v>
      </c>
      <c r="L243" s="18">
        <f>--(K243&gt;='Codebook'!$C$8)</f>
        <v>0</v>
      </c>
      <c r="M243" s="18">
        <f>--(COUNT(BL243:CD243)=19)</f>
        <v>1</v>
      </c>
      <c r="N243" s="18">
        <f>SUM(CE243:CL243)</f>
        <v>6</v>
      </c>
      <c r="O243" s="18">
        <f>SUM(CM243:CR243)</f>
        <v>5</v>
      </c>
      <c r="P243" s="18">
        <f>N243+O243</f>
        <v>11</v>
      </c>
      <c r="Q243" s="21" t="s">
        <v>197</v>
      </c>
      <c r="R243" s="17" t="s">
        <v>152</v>
      </c>
      <c r="S243" s="18">
        <f>--OR(Overview!$B$6="All",E243=Overview!$B$6)*--OR(Overview!$F$6="All",F243=Overview!$F$6)*--OR(Overview!$J$6="All",G243=Overview!$J$6)*--OR(Overview!$N$6="All",H243=Overview!$N$6)</f>
        <v>1</v>
      </c>
      <c r="T243" s="21" t="s">
        <v>22</v>
      </c>
      <c r="U243" s="21" t="s">
        <v>22</v>
      </c>
      <c r="V243" s="21" t="s">
        <v>22</v>
      </c>
      <c r="W243" s="21" t="s">
        <v>22</v>
      </c>
      <c r="X243" s="21" t="s">
        <v>22</v>
      </c>
      <c r="Y243" s="21" t="s">
        <v>22</v>
      </c>
      <c r="Z243" s="21" t="s">
        <v>22</v>
      </c>
      <c r="AA243" s="21" t="s">
        <v>22</v>
      </c>
      <c r="AB243" s="21" t="s">
        <v>22</v>
      </c>
      <c r="AC243" s="21" t="s">
        <v>22</v>
      </c>
      <c r="AD243" s="21" t="s">
        <v>22</v>
      </c>
      <c r="AE243" s="21" t="s">
        <v>22</v>
      </c>
      <c r="AF243" s="21" t="s">
        <v>22</v>
      </c>
      <c r="AG243" s="21" t="s">
        <v>22</v>
      </c>
      <c r="AH243" s="21" t="s">
        <v>22</v>
      </c>
      <c r="AI243" s="21" t="s">
        <v>22</v>
      </c>
      <c r="AJ243" s="21" t="s">
        <v>22</v>
      </c>
      <c r="AK243" s="21" t="s">
        <v>22</v>
      </c>
      <c r="AL243" s="21" t="s">
        <v>22</v>
      </c>
      <c r="AM243" s="21" t="s">
        <v>83</v>
      </c>
      <c r="AN243" s="21" t="s">
        <v>109</v>
      </c>
      <c r="AO243" s="21" t="s">
        <v>83</v>
      </c>
      <c r="AP243" s="21" t="s">
        <v>83</v>
      </c>
      <c r="AQ243" s="21" t="s">
        <v>109</v>
      </c>
      <c r="AR243" s="21" t="s">
        <v>83</v>
      </c>
      <c r="AS243" s="21" t="s">
        <v>83</v>
      </c>
      <c r="AT243" s="21" t="s">
        <v>83</v>
      </c>
      <c r="AU243" s="21" t="s">
        <v>109</v>
      </c>
      <c r="AV243" s="21" t="s">
        <v>109</v>
      </c>
      <c r="AW243" s="21" t="s">
        <v>109</v>
      </c>
      <c r="AX243" s="21" t="s">
        <v>109</v>
      </c>
      <c r="AY243" s="21" t="s">
        <v>83</v>
      </c>
      <c r="AZ243" s="21" t="s">
        <v>109</v>
      </c>
      <c r="BA243" s="17" t="s">
        <v>223</v>
      </c>
      <c r="BB243" s="17" t="s">
        <v>223</v>
      </c>
      <c r="BC243" s="18">
        <f>--ISNUMBER(SEARCH("Radio or television",BA243))</f>
        <v>1</v>
      </c>
      <c r="BD243" s="18">
        <f>--ISNUMBER(SEARCH("Newspapers or print media",BA243))</f>
        <v>0</v>
      </c>
      <c r="BE243" s="18">
        <f>--ISNUMBER(SEARCH("Social media (e.g. Facebook, WhatsApp, YouTube, X/Twitter)",BA243))</f>
        <v>0</v>
      </c>
      <c r="BF243" s="18">
        <f>--ISNUMBER(SEARCH("Family members",BA243))</f>
        <v>0</v>
      </c>
      <c r="BG243" s="18">
        <f>--ISNUMBER(SEARCH("Friends or fellow students",BA243))</f>
        <v>0</v>
      </c>
      <c r="BH243" s="18">
        <f>--ISNUMBER(SEARCH("School coursework or lectures",BA243))</f>
        <v>0</v>
      </c>
      <c r="BI243" s="18">
        <f>--ISNUMBER(SEARCH("NHIMA outreach activities or NHIMA offices",BA243))</f>
        <v>0</v>
      </c>
      <c r="BJ243" s="18">
        <f>--ISNUMBER(SEARCH("Health facility staff",BA243))</f>
        <v>0</v>
      </c>
      <c r="BK243" s="18">
        <f>--ISNUMBER(SEARCH("not received information",BA243))</f>
        <v>0</v>
      </c>
      <c r="BL243" s="18">
        <f>IF(T243="","",--(T243='Codebook'!$F$13))</f>
        <v>1</v>
      </c>
      <c r="BM243" s="18">
        <f>IF(U243="","",--(U243='Codebook'!$F$14))</f>
        <v>0</v>
      </c>
      <c r="BN243" s="18">
        <f>IF(V243="","",--(V243='Codebook'!$F$15))</f>
        <v>0</v>
      </c>
      <c r="BO243" s="18">
        <f>IF(W243="","",--(W243='Codebook'!$F$16))</f>
        <v>1</v>
      </c>
      <c r="BP243" s="18">
        <f>IF(X243="","",--(X243='Codebook'!$F$17))</f>
        <v>1</v>
      </c>
      <c r="BQ243" s="18">
        <f>IF(Y243="","",--(Y243='Codebook'!$F$18))</f>
        <v>0</v>
      </c>
      <c r="BR243" s="18">
        <f>IF(Z243="","",--(Z243='Codebook'!$F$19))</f>
        <v>1</v>
      </c>
      <c r="BS243" s="18">
        <f>IF(AA243="","",--(AA243='Codebook'!$F$20))</f>
        <v>1</v>
      </c>
      <c r="BT243" s="18">
        <f>IF(AB243="","",--(AB243='Codebook'!$F$21))</f>
        <v>0</v>
      </c>
      <c r="BU243" s="18">
        <f>IF(AC243="","",--(AC243='Codebook'!$F$22))</f>
        <v>1</v>
      </c>
      <c r="BV243" s="18">
        <f>IF(AD243="","",--(AD243='Codebook'!$F$23))</f>
        <v>1</v>
      </c>
      <c r="BW243" s="18">
        <f>IF(AE243="","",--(AE243='Codebook'!$F$24))</f>
        <v>1</v>
      </c>
      <c r="BX243" s="18">
        <f>IF(AF243="","",--(AF243='Codebook'!$F$25))</f>
        <v>0</v>
      </c>
      <c r="BY243" s="18">
        <f>IF(AG243="","",--(AG243='Codebook'!$F$26))</f>
        <v>1</v>
      </c>
      <c r="BZ243" s="18">
        <f>IF(AH243="","",--(AH243='Codebook'!$F$27))</f>
        <v>1</v>
      </c>
      <c r="CA243" s="18">
        <f>IF(AI243="","",--(AI243='Codebook'!$F$28))</f>
        <v>0</v>
      </c>
      <c r="CB243" s="18">
        <f>IF(AJ243="","",--(AJ243='Codebook'!$F$29))</f>
        <v>0</v>
      </c>
      <c r="CC243" s="18">
        <f>IF(AK243="","",--(AK243='Codebook'!$F$30))</f>
        <v>1</v>
      </c>
      <c r="CD243" s="18">
        <f>IF(AL243="","",--(AL243='Codebook'!$F$31))</f>
        <v>0</v>
      </c>
      <c r="CE243" s="18">
        <f>IF(AM243="","",--(AM243='Codebook'!$F$32))</f>
        <v>1</v>
      </c>
      <c r="CF243" s="18">
        <f>IF(AN243="","",--(AN243='Codebook'!$F$33))</f>
        <v>0</v>
      </c>
      <c r="CG243" s="18">
        <f>IF(AO243="","",--(AO243='Codebook'!$F$34))</f>
        <v>1</v>
      </c>
      <c r="CH243" s="18">
        <f>IF(AP243="","",--(AP243='Codebook'!$F$35))</f>
        <v>1</v>
      </c>
      <c r="CI243" s="18">
        <f>IF(AQ243="","",--(AQ243='Codebook'!$F$36))</f>
        <v>0</v>
      </c>
      <c r="CJ243" s="18">
        <f>IF(AR243="","",--(AR243='Codebook'!$F$37))</f>
        <v>1</v>
      </c>
      <c r="CK243" s="18">
        <f>IF(AS243="","",--(AS243='Codebook'!$F$38))</f>
        <v>1</v>
      </c>
      <c r="CL243" s="18">
        <f>IF(AT243="","",--(AT243='Codebook'!$F$39))</f>
        <v>1</v>
      </c>
      <c r="CM243" s="18">
        <f>IF(AU243="","",--(AU243='Codebook'!$F$40))</f>
        <v>1</v>
      </c>
      <c r="CN243" s="18">
        <f>IF(AV243="","",--(AV243='Codebook'!$F$41))</f>
        <v>1</v>
      </c>
      <c r="CO243" s="18">
        <f>IF(AW243="","",--(AW243='Codebook'!$F$42))</f>
        <v>1</v>
      </c>
      <c r="CP243" s="18">
        <f>IF(AX243="","",--(AX243='Codebook'!$F$43))</f>
        <v>1</v>
      </c>
      <c r="CQ243" s="18">
        <f>IF(AY243="","",--(AY243='Codebook'!$F$44))</f>
        <v>0</v>
      </c>
      <c r="CR243" s="18">
        <f>IF(AZ243="","",--(AZ243='Codebook'!$F$45))</f>
        <v>1</v>
      </c>
    </row>
    <row r="244" spans="2:96" ht="24" customHeight="1">
      <c r="B244" s="18">
        <v>239</v>
      </c>
      <c r="C244" s="23">
        <v>46289.41558211805</v>
      </c>
      <c r="D244" s="21" t="s">
        <v>275</v>
      </c>
      <c r="E244" s="21" t="s">
        <v>206</v>
      </c>
      <c r="F244" s="21" t="s">
        <v>201</v>
      </c>
      <c r="G244" s="17" t="s">
        <v>196</v>
      </c>
      <c r="H244" s="21" t="s">
        <v>198</v>
      </c>
      <c r="I244" s="18">
        <f>SUM(BL244:BU244)</f>
        <v>5</v>
      </c>
      <c r="J244" s="18">
        <f>IF(COUNT(BV244:CD244)=9,SUM(BV244:CD244),"")</f>
        <v>4</v>
      </c>
      <c r="K244" s="18">
        <f>SUM(BL244:CD244)</f>
        <v>9</v>
      </c>
      <c r="L244" s="18">
        <f>--(K244&gt;='Codebook'!$C$8)</f>
        <v>0</v>
      </c>
      <c r="M244" s="18">
        <f>--(COUNT(BL244:CD244)=19)</f>
        <v>1</v>
      </c>
      <c r="N244" s="18">
        <f>SUM(CE244:CL244)</f>
        <v>8</v>
      </c>
      <c r="O244" s="18">
        <f>SUM(CM244:CR244)</f>
        <v>2</v>
      </c>
      <c r="P244" s="18">
        <f>N244+O244</f>
        <v>10</v>
      </c>
      <c r="Q244" s="21" t="s">
        <v>198</v>
      </c>
      <c r="R244" s="17" t="s">
        <v>152</v>
      </c>
      <c r="S244" s="18">
        <f>--OR(Overview!$B$6="All",E244=Overview!$B$6)*--OR(Overview!$F$6="All",F244=Overview!$F$6)*--OR(Overview!$J$6="All",G244=Overview!$J$6)*--OR(Overview!$N$6="All",H244=Overview!$N$6)</f>
        <v>1</v>
      </c>
      <c r="T244" s="21" t="s">
        <v>22</v>
      </c>
      <c r="U244" s="21" t="s">
        <v>22</v>
      </c>
      <c r="V244" s="21" t="s">
        <v>22</v>
      </c>
      <c r="W244" s="21" t="s">
        <v>22</v>
      </c>
      <c r="X244" s="21" t="s">
        <v>22</v>
      </c>
      <c r="Y244" s="21" t="s">
        <v>22</v>
      </c>
      <c r="Z244" s="21" t="s">
        <v>22</v>
      </c>
      <c r="AA244" s="21" t="s">
        <v>198</v>
      </c>
      <c r="AB244" s="21" t="s">
        <v>22</v>
      </c>
      <c r="AC244" s="21" t="s">
        <v>22</v>
      </c>
      <c r="AD244" s="21" t="s">
        <v>22</v>
      </c>
      <c r="AE244" s="21" t="s">
        <v>198</v>
      </c>
      <c r="AF244" s="21" t="s">
        <v>22</v>
      </c>
      <c r="AG244" s="21" t="s">
        <v>22</v>
      </c>
      <c r="AH244" s="21" t="s">
        <v>26</v>
      </c>
      <c r="AI244" s="21" t="s">
        <v>26</v>
      </c>
      <c r="AJ244" s="21" t="s">
        <v>22</v>
      </c>
      <c r="AK244" s="21" t="s">
        <v>22</v>
      </c>
      <c r="AL244" s="21" t="s">
        <v>22</v>
      </c>
      <c r="AM244" s="21" t="s">
        <v>83</v>
      </c>
      <c r="AN244" s="21" t="s">
        <v>83</v>
      </c>
      <c r="AO244" s="21" t="s">
        <v>83</v>
      </c>
      <c r="AP244" s="21" t="s">
        <v>83</v>
      </c>
      <c r="AQ244" s="21" t="s">
        <v>83</v>
      </c>
      <c r="AR244" s="21" t="s">
        <v>83</v>
      </c>
      <c r="AS244" s="21" t="s">
        <v>83</v>
      </c>
      <c r="AT244" s="21" t="s">
        <v>83</v>
      </c>
      <c r="AU244" s="21" t="s">
        <v>109</v>
      </c>
      <c r="AV244" s="21" t="s">
        <v>198</v>
      </c>
      <c r="AW244" s="21" t="s">
        <v>198</v>
      </c>
      <c r="AX244" s="21" t="s">
        <v>83</v>
      </c>
      <c r="AY244" s="21" t="s">
        <v>109</v>
      </c>
      <c r="AZ244" s="21" t="s">
        <v>198</v>
      </c>
      <c r="BA244" s="17" t="s">
        <v>271</v>
      </c>
      <c r="BB244" s="17" t="s">
        <v>223</v>
      </c>
      <c r="BC244" s="18">
        <f>--ISNUMBER(SEARCH("Radio or television",BA244))</f>
        <v>1</v>
      </c>
      <c r="BD244" s="18">
        <f>--ISNUMBER(SEARCH("Newspapers or print media",BA244))</f>
        <v>1</v>
      </c>
      <c r="BE244" s="18">
        <f>--ISNUMBER(SEARCH("Social media (e.g. Facebook, WhatsApp, YouTube, X/Twitter)",BA244))</f>
        <v>0</v>
      </c>
      <c r="BF244" s="18">
        <f>--ISNUMBER(SEARCH("Family members",BA244))</f>
        <v>0</v>
      </c>
      <c r="BG244" s="18">
        <f>--ISNUMBER(SEARCH("Friends or fellow students",BA244))</f>
        <v>0</v>
      </c>
      <c r="BH244" s="18">
        <f>--ISNUMBER(SEARCH("School coursework or lectures",BA244))</f>
        <v>0</v>
      </c>
      <c r="BI244" s="18">
        <f>--ISNUMBER(SEARCH("NHIMA outreach activities or NHIMA offices",BA244))</f>
        <v>0</v>
      </c>
      <c r="BJ244" s="18">
        <f>--ISNUMBER(SEARCH("Health facility staff",BA244))</f>
        <v>0</v>
      </c>
      <c r="BK244" s="18">
        <f>--ISNUMBER(SEARCH("not received information",BA244))</f>
        <v>0</v>
      </c>
      <c r="BL244" s="18">
        <f>IF(T244="","",--(T244='Codebook'!$F$13))</f>
        <v>1</v>
      </c>
      <c r="BM244" s="18">
        <f>IF(U244="","",--(U244='Codebook'!$F$14))</f>
        <v>0</v>
      </c>
      <c r="BN244" s="18">
        <f>IF(V244="","",--(V244='Codebook'!$F$15))</f>
        <v>0</v>
      </c>
      <c r="BO244" s="18">
        <f>IF(W244="","",--(W244='Codebook'!$F$16))</f>
        <v>1</v>
      </c>
      <c r="BP244" s="18">
        <f>IF(X244="","",--(X244='Codebook'!$F$17))</f>
        <v>1</v>
      </c>
      <c r="BQ244" s="18">
        <f>IF(Y244="","",--(Y244='Codebook'!$F$18))</f>
        <v>0</v>
      </c>
      <c r="BR244" s="18">
        <f>IF(Z244="","",--(Z244='Codebook'!$F$19))</f>
        <v>1</v>
      </c>
      <c r="BS244" s="18">
        <f>IF(AA244="","",--(AA244='Codebook'!$F$20))</f>
        <v>0</v>
      </c>
      <c r="BT244" s="18">
        <f>IF(AB244="","",--(AB244='Codebook'!$F$21))</f>
        <v>0</v>
      </c>
      <c r="BU244" s="18">
        <f>IF(AC244="","",--(AC244='Codebook'!$F$22))</f>
        <v>1</v>
      </c>
      <c r="BV244" s="18">
        <f>IF(AD244="","",--(AD244='Codebook'!$F$23))</f>
        <v>1</v>
      </c>
      <c r="BW244" s="18">
        <f>IF(AE244="","",--(AE244='Codebook'!$F$24))</f>
        <v>0</v>
      </c>
      <c r="BX244" s="18">
        <f>IF(AF244="","",--(AF244='Codebook'!$F$25))</f>
        <v>0</v>
      </c>
      <c r="BY244" s="18">
        <f>IF(AG244="","",--(AG244='Codebook'!$F$26))</f>
        <v>1</v>
      </c>
      <c r="BZ244" s="18">
        <f>IF(AH244="","",--(AH244='Codebook'!$F$27))</f>
        <v>0</v>
      </c>
      <c r="CA244" s="18">
        <f>IF(AI244="","",--(AI244='Codebook'!$F$28))</f>
        <v>1</v>
      </c>
      <c r="CB244" s="18">
        <f>IF(AJ244="","",--(AJ244='Codebook'!$F$29))</f>
        <v>0</v>
      </c>
      <c r="CC244" s="18">
        <f>IF(AK244="","",--(AK244='Codebook'!$F$30))</f>
        <v>1</v>
      </c>
      <c r="CD244" s="18">
        <f>IF(AL244="","",--(AL244='Codebook'!$F$31))</f>
        <v>0</v>
      </c>
      <c r="CE244" s="18">
        <f>IF(AM244="","",--(AM244='Codebook'!$F$32))</f>
        <v>1</v>
      </c>
      <c r="CF244" s="18">
        <f>IF(AN244="","",--(AN244='Codebook'!$F$33))</f>
        <v>1</v>
      </c>
      <c r="CG244" s="18">
        <f>IF(AO244="","",--(AO244='Codebook'!$F$34))</f>
        <v>1</v>
      </c>
      <c r="CH244" s="18">
        <f>IF(AP244="","",--(AP244='Codebook'!$F$35))</f>
        <v>1</v>
      </c>
      <c r="CI244" s="18">
        <f>IF(AQ244="","",--(AQ244='Codebook'!$F$36))</f>
        <v>1</v>
      </c>
      <c r="CJ244" s="18">
        <f>IF(AR244="","",--(AR244='Codebook'!$F$37))</f>
        <v>1</v>
      </c>
      <c r="CK244" s="18">
        <f>IF(AS244="","",--(AS244='Codebook'!$F$38))</f>
        <v>1</v>
      </c>
      <c r="CL244" s="18">
        <f>IF(AT244="","",--(AT244='Codebook'!$F$39))</f>
        <v>1</v>
      </c>
      <c r="CM244" s="18">
        <f>IF(AU244="","",--(AU244='Codebook'!$F$40))</f>
        <v>1</v>
      </c>
      <c r="CN244" s="18">
        <f>IF(AV244="","",--(AV244='Codebook'!$F$41))</f>
        <v>0</v>
      </c>
      <c r="CO244" s="18">
        <f>IF(AW244="","",--(AW244='Codebook'!$F$42))</f>
        <v>0</v>
      </c>
      <c r="CP244" s="18">
        <f>IF(AX244="","",--(AX244='Codebook'!$F$43))</f>
        <v>0</v>
      </c>
      <c r="CQ244" s="18">
        <f>IF(AY244="","",--(AY244='Codebook'!$F$44))</f>
        <v>1</v>
      </c>
      <c r="CR244" s="18">
        <f>IF(AZ244="","",--(AZ244='Codebook'!$F$45))</f>
        <v>0</v>
      </c>
    </row>
    <row r="245" spans="2:96" ht="24" customHeight="1">
      <c r="B245" s="18">
        <v>240</v>
      </c>
      <c r="C245" s="23">
        <v>46289.45286425926</v>
      </c>
      <c r="D245" s="21" t="s">
        <v>268</v>
      </c>
      <c r="E245" s="21" t="s">
        <v>194</v>
      </c>
      <c r="F245" s="21" t="s">
        <v>212</v>
      </c>
      <c r="G245" s="17" t="s">
        <v>224</v>
      </c>
      <c r="H245" s="21" t="s">
        <v>197</v>
      </c>
      <c r="I245" s="18">
        <f>SUM(BL245:BU245)</f>
        <v>7</v>
      </c>
      <c r="J245" s="18">
        <f>IF(COUNT(BV245:CD245)=9,SUM(BV245:CD245),"")</f>
        <v>5</v>
      </c>
      <c r="K245" s="18">
        <f>SUM(BL245:CD245)</f>
        <v>12</v>
      </c>
      <c r="L245" s="18">
        <f>--(K245&gt;='Codebook'!$C$8)</f>
        <v>1</v>
      </c>
      <c r="M245" s="18">
        <f>--(COUNT(BL245:CD245)=19)</f>
        <v>1</v>
      </c>
      <c r="N245" s="18">
        <f>SUM(CE245:CL245)</f>
        <v>8</v>
      </c>
      <c r="O245" s="18">
        <f>SUM(CM245:CR245)</f>
        <v>5</v>
      </c>
      <c r="P245" s="18">
        <f>N245+O245</f>
        <v>13</v>
      </c>
      <c r="Q245" s="21" t="s">
        <v>197</v>
      </c>
      <c r="R245" s="17" t="s">
        <v>152</v>
      </c>
      <c r="S245" s="18">
        <f>--OR(Overview!$B$6="All",E245=Overview!$B$6)*--OR(Overview!$F$6="All",F245=Overview!$F$6)*--OR(Overview!$J$6="All",G245=Overview!$J$6)*--OR(Overview!$N$6="All",H245=Overview!$N$6)</f>
        <v>1</v>
      </c>
      <c r="T245" s="21" t="s">
        <v>22</v>
      </c>
      <c r="U245" s="21" t="s">
        <v>22</v>
      </c>
      <c r="V245" s="21" t="s">
        <v>22</v>
      </c>
      <c r="W245" s="21" t="s">
        <v>22</v>
      </c>
      <c r="X245" s="21" t="s">
        <v>22</v>
      </c>
      <c r="Y245" s="21" t="s">
        <v>22</v>
      </c>
      <c r="Z245" s="21" t="s">
        <v>22</v>
      </c>
      <c r="AA245" s="21" t="s">
        <v>22</v>
      </c>
      <c r="AB245" s="21" t="s">
        <v>26</v>
      </c>
      <c r="AC245" s="21" t="s">
        <v>22</v>
      </c>
      <c r="AD245" s="21" t="s">
        <v>22</v>
      </c>
      <c r="AE245" s="21" t="s">
        <v>22</v>
      </c>
      <c r="AF245" s="21" t="s">
        <v>22</v>
      </c>
      <c r="AG245" s="21" t="s">
        <v>22</v>
      </c>
      <c r="AH245" s="21" t="s">
        <v>22</v>
      </c>
      <c r="AI245" s="21" t="s">
        <v>198</v>
      </c>
      <c r="AJ245" s="21" t="s">
        <v>198</v>
      </c>
      <c r="AK245" s="21" t="s">
        <v>22</v>
      </c>
      <c r="AL245" s="21" t="s">
        <v>198</v>
      </c>
      <c r="AM245" s="21" t="s">
        <v>83</v>
      </c>
      <c r="AN245" s="21" t="s">
        <v>83</v>
      </c>
      <c r="AO245" s="21" t="s">
        <v>83</v>
      </c>
      <c r="AP245" s="21" t="s">
        <v>83</v>
      </c>
      <c r="AQ245" s="21" t="s">
        <v>83</v>
      </c>
      <c r="AR245" s="21" t="s">
        <v>83</v>
      </c>
      <c r="AS245" s="21" t="s">
        <v>83</v>
      </c>
      <c r="AT245" s="21" t="s">
        <v>83</v>
      </c>
      <c r="AU245" s="21" t="s">
        <v>109</v>
      </c>
      <c r="AV245" s="21" t="s">
        <v>109</v>
      </c>
      <c r="AW245" s="21" t="s">
        <v>109</v>
      </c>
      <c r="AX245" s="21" t="s">
        <v>109</v>
      </c>
      <c r="AY245" s="21" t="s">
        <v>198</v>
      </c>
      <c r="AZ245" s="21" t="s">
        <v>109</v>
      </c>
      <c r="BA245" s="17" t="s">
        <v>223</v>
      </c>
      <c r="BB245" s="17" t="s">
        <v>223</v>
      </c>
      <c r="BC245" s="18">
        <f>--ISNUMBER(SEARCH("Radio or television",BA245))</f>
        <v>1</v>
      </c>
      <c r="BD245" s="18">
        <f>--ISNUMBER(SEARCH("Newspapers or print media",BA245))</f>
        <v>0</v>
      </c>
      <c r="BE245" s="18">
        <f>--ISNUMBER(SEARCH("Social media (e.g. Facebook, WhatsApp, YouTube, X/Twitter)",BA245))</f>
        <v>0</v>
      </c>
      <c r="BF245" s="18">
        <f>--ISNUMBER(SEARCH("Family members",BA245))</f>
        <v>0</v>
      </c>
      <c r="BG245" s="18">
        <f>--ISNUMBER(SEARCH("Friends or fellow students",BA245))</f>
        <v>0</v>
      </c>
      <c r="BH245" s="18">
        <f>--ISNUMBER(SEARCH("School coursework or lectures",BA245))</f>
        <v>0</v>
      </c>
      <c r="BI245" s="18">
        <f>--ISNUMBER(SEARCH("NHIMA outreach activities or NHIMA offices",BA245))</f>
        <v>0</v>
      </c>
      <c r="BJ245" s="18">
        <f>--ISNUMBER(SEARCH("Health facility staff",BA245))</f>
        <v>0</v>
      </c>
      <c r="BK245" s="18">
        <f>--ISNUMBER(SEARCH("not received information",BA245))</f>
        <v>0</v>
      </c>
      <c r="BL245" s="18">
        <f>IF(T245="","",--(T245='Codebook'!$F$13))</f>
        <v>1</v>
      </c>
      <c r="BM245" s="18">
        <f>IF(U245="","",--(U245='Codebook'!$F$14))</f>
        <v>0</v>
      </c>
      <c r="BN245" s="18">
        <f>IF(V245="","",--(V245='Codebook'!$F$15))</f>
        <v>0</v>
      </c>
      <c r="BO245" s="18">
        <f>IF(W245="","",--(W245='Codebook'!$F$16))</f>
        <v>1</v>
      </c>
      <c r="BP245" s="18">
        <f>IF(X245="","",--(X245='Codebook'!$F$17))</f>
        <v>1</v>
      </c>
      <c r="BQ245" s="18">
        <f>IF(Y245="","",--(Y245='Codebook'!$F$18))</f>
        <v>0</v>
      </c>
      <c r="BR245" s="18">
        <f>IF(Z245="","",--(Z245='Codebook'!$F$19))</f>
        <v>1</v>
      </c>
      <c r="BS245" s="18">
        <f>IF(AA245="","",--(AA245='Codebook'!$F$20))</f>
        <v>1</v>
      </c>
      <c r="BT245" s="18">
        <f>IF(AB245="","",--(AB245='Codebook'!$F$21))</f>
        <v>1</v>
      </c>
      <c r="BU245" s="18">
        <f>IF(AC245="","",--(AC245='Codebook'!$F$22))</f>
        <v>1</v>
      </c>
      <c r="BV245" s="18">
        <f>IF(AD245="","",--(AD245='Codebook'!$F$23))</f>
        <v>1</v>
      </c>
      <c r="BW245" s="18">
        <f>IF(AE245="","",--(AE245='Codebook'!$F$24))</f>
        <v>1</v>
      </c>
      <c r="BX245" s="18">
        <f>IF(AF245="","",--(AF245='Codebook'!$F$25))</f>
        <v>0</v>
      </c>
      <c r="BY245" s="18">
        <f>IF(AG245="","",--(AG245='Codebook'!$F$26))</f>
        <v>1</v>
      </c>
      <c r="BZ245" s="18">
        <f>IF(AH245="","",--(AH245='Codebook'!$F$27))</f>
        <v>1</v>
      </c>
      <c r="CA245" s="18">
        <f>IF(AI245="","",--(AI245='Codebook'!$F$28))</f>
        <v>0</v>
      </c>
      <c r="CB245" s="18">
        <f>IF(AJ245="","",--(AJ245='Codebook'!$F$29))</f>
        <v>0</v>
      </c>
      <c r="CC245" s="18">
        <f>IF(AK245="","",--(AK245='Codebook'!$F$30))</f>
        <v>1</v>
      </c>
      <c r="CD245" s="18">
        <f>IF(AL245="","",--(AL245='Codebook'!$F$31))</f>
        <v>0</v>
      </c>
      <c r="CE245" s="18">
        <f>IF(AM245="","",--(AM245='Codebook'!$F$32))</f>
        <v>1</v>
      </c>
      <c r="CF245" s="18">
        <f>IF(AN245="","",--(AN245='Codebook'!$F$33))</f>
        <v>1</v>
      </c>
      <c r="CG245" s="18">
        <f>IF(AO245="","",--(AO245='Codebook'!$F$34))</f>
        <v>1</v>
      </c>
      <c r="CH245" s="18">
        <f>IF(AP245="","",--(AP245='Codebook'!$F$35))</f>
        <v>1</v>
      </c>
      <c r="CI245" s="18">
        <f>IF(AQ245="","",--(AQ245='Codebook'!$F$36))</f>
        <v>1</v>
      </c>
      <c r="CJ245" s="18">
        <f>IF(AR245="","",--(AR245='Codebook'!$F$37))</f>
        <v>1</v>
      </c>
      <c r="CK245" s="18">
        <f>IF(AS245="","",--(AS245='Codebook'!$F$38))</f>
        <v>1</v>
      </c>
      <c r="CL245" s="18">
        <f>IF(AT245="","",--(AT245='Codebook'!$F$39))</f>
        <v>1</v>
      </c>
      <c r="CM245" s="18">
        <f>IF(AU245="","",--(AU245='Codebook'!$F$40))</f>
        <v>1</v>
      </c>
      <c r="CN245" s="18">
        <f>IF(AV245="","",--(AV245='Codebook'!$F$41))</f>
        <v>1</v>
      </c>
      <c r="CO245" s="18">
        <f>IF(AW245="","",--(AW245='Codebook'!$F$42))</f>
        <v>1</v>
      </c>
      <c r="CP245" s="18">
        <f>IF(AX245="","",--(AX245='Codebook'!$F$43))</f>
        <v>1</v>
      </c>
      <c r="CQ245" s="18">
        <f>IF(AY245="","",--(AY245='Codebook'!$F$44))</f>
        <v>0</v>
      </c>
      <c r="CR245" s="18">
        <f>IF(AZ245="","",--(AZ245='Codebook'!$F$45))</f>
        <v>1</v>
      </c>
    </row>
    <row r="246" spans="2:96" ht="24" customHeight="1">
      <c r="B246" s="18">
        <v>241</v>
      </c>
      <c r="C246" s="23">
        <v>46289.45387173611</v>
      </c>
      <c r="D246" s="21" t="s">
        <v>268</v>
      </c>
      <c r="E246" s="21" t="s">
        <v>206</v>
      </c>
      <c r="F246" s="21" t="s">
        <v>195</v>
      </c>
      <c r="G246" s="17" t="s">
        <v>202</v>
      </c>
      <c r="H246" s="21" t="s">
        <v>197</v>
      </c>
      <c r="I246" s="18">
        <f>SUM(BL246:BU246)</f>
        <v>5</v>
      </c>
      <c r="J246" s="18">
        <f>IF(COUNT(BV246:CD246)=9,SUM(BV246:CD246),"")</f>
        <v>6</v>
      </c>
      <c r="K246" s="18">
        <f>SUM(BL246:CD246)</f>
        <v>11</v>
      </c>
      <c r="L246" s="18">
        <f>--(K246&gt;='Codebook'!$C$8)</f>
        <v>0</v>
      </c>
      <c r="M246" s="18">
        <f>--(COUNT(BL246:CD246)=19)</f>
        <v>1</v>
      </c>
      <c r="N246" s="18">
        <f>SUM(CE246:CL246)</f>
        <v>6</v>
      </c>
      <c r="O246" s="18">
        <f>SUM(CM246:CR246)</f>
        <v>3</v>
      </c>
      <c r="P246" s="18">
        <f>N246+O246</f>
        <v>9</v>
      </c>
      <c r="Q246" s="21" t="s">
        <v>207</v>
      </c>
      <c r="R246" s="17" t="s">
        <v>154</v>
      </c>
      <c r="S246" s="18">
        <f>--OR(Overview!$B$6="All",E246=Overview!$B$6)*--OR(Overview!$F$6="All",F246=Overview!$F$6)*--OR(Overview!$J$6="All",G246=Overview!$J$6)*--OR(Overview!$N$6="All",H246=Overview!$N$6)</f>
        <v>1</v>
      </c>
      <c r="T246" s="21" t="s">
        <v>26</v>
      </c>
      <c r="U246" s="21" t="s">
        <v>22</v>
      </c>
      <c r="V246" s="21" t="s">
        <v>22</v>
      </c>
      <c r="W246" s="21" t="s">
        <v>22</v>
      </c>
      <c r="X246" s="21" t="s">
        <v>22</v>
      </c>
      <c r="Y246" s="21" t="s">
        <v>22</v>
      </c>
      <c r="Z246" s="21" t="s">
        <v>22</v>
      </c>
      <c r="AA246" s="21" t="s">
        <v>22</v>
      </c>
      <c r="AB246" s="21" t="s">
        <v>22</v>
      </c>
      <c r="AC246" s="21" t="s">
        <v>22</v>
      </c>
      <c r="AD246" s="21" t="s">
        <v>22</v>
      </c>
      <c r="AE246" s="21" t="s">
        <v>198</v>
      </c>
      <c r="AF246" s="21" t="s">
        <v>22</v>
      </c>
      <c r="AG246" s="21" t="s">
        <v>22</v>
      </c>
      <c r="AH246" s="21" t="s">
        <v>22</v>
      </c>
      <c r="AI246" s="21" t="s">
        <v>26</v>
      </c>
      <c r="AJ246" s="21" t="s">
        <v>22</v>
      </c>
      <c r="AK246" s="21" t="s">
        <v>22</v>
      </c>
      <c r="AL246" s="21" t="s">
        <v>26</v>
      </c>
      <c r="AM246" s="21" t="s">
        <v>83</v>
      </c>
      <c r="AN246" s="21" t="s">
        <v>83</v>
      </c>
      <c r="AO246" s="21" t="s">
        <v>198</v>
      </c>
      <c r="AP246" s="21" t="s">
        <v>109</v>
      </c>
      <c r="AQ246" s="21" t="s">
        <v>83</v>
      </c>
      <c r="AR246" s="21" t="s">
        <v>83</v>
      </c>
      <c r="AS246" s="21" t="s">
        <v>83</v>
      </c>
      <c r="AT246" s="21" t="s">
        <v>83</v>
      </c>
      <c r="AU246" s="21" t="s">
        <v>109</v>
      </c>
      <c r="AV246" s="21" t="s">
        <v>109</v>
      </c>
      <c r="AW246" s="21" t="s">
        <v>83</v>
      </c>
      <c r="AX246" s="21" t="s">
        <v>109</v>
      </c>
      <c r="AY246" s="21" t="s">
        <v>83</v>
      </c>
      <c r="AZ246" s="21" t="s">
        <v>83</v>
      </c>
      <c r="BA246" s="17" t="s">
        <v>246</v>
      </c>
      <c r="BB246" s="17" t="s">
        <v>250</v>
      </c>
      <c r="BC246" s="18">
        <f>--ISNUMBER(SEARCH("Radio or television",BA246))</f>
        <v>1</v>
      </c>
      <c r="BD246" s="18">
        <f>--ISNUMBER(SEARCH("Newspapers or print media",BA246))</f>
        <v>0</v>
      </c>
      <c r="BE246" s="18">
        <f>--ISNUMBER(SEARCH("Social media (e.g. Facebook, WhatsApp, YouTube, X/Twitter)",BA246))</f>
        <v>1</v>
      </c>
      <c r="BF246" s="18">
        <f>--ISNUMBER(SEARCH("Family members",BA246))</f>
        <v>0</v>
      </c>
      <c r="BG246" s="18">
        <f>--ISNUMBER(SEARCH("Friends or fellow students",BA246))</f>
        <v>0</v>
      </c>
      <c r="BH246" s="18">
        <f>--ISNUMBER(SEARCH("School coursework or lectures",BA246))</f>
        <v>0</v>
      </c>
      <c r="BI246" s="18">
        <f>--ISNUMBER(SEARCH("NHIMA outreach activities or NHIMA offices",BA246))</f>
        <v>0</v>
      </c>
      <c r="BJ246" s="18">
        <f>--ISNUMBER(SEARCH("Health facility staff",BA246))</f>
        <v>0</v>
      </c>
      <c r="BK246" s="18">
        <f>--ISNUMBER(SEARCH("not received information",BA246))</f>
        <v>0</v>
      </c>
      <c r="BL246" s="18">
        <f>IF(T246="","",--(T246='Codebook'!$F$13))</f>
        <v>0</v>
      </c>
      <c r="BM246" s="18">
        <f>IF(U246="","",--(U246='Codebook'!$F$14))</f>
        <v>0</v>
      </c>
      <c r="BN246" s="18">
        <f>IF(V246="","",--(V246='Codebook'!$F$15))</f>
        <v>0</v>
      </c>
      <c r="BO246" s="18">
        <f>IF(W246="","",--(W246='Codebook'!$F$16))</f>
        <v>1</v>
      </c>
      <c r="BP246" s="18">
        <f>IF(X246="","",--(X246='Codebook'!$F$17))</f>
        <v>1</v>
      </c>
      <c r="BQ246" s="18">
        <f>IF(Y246="","",--(Y246='Codebook'!$F$18))</f>
        <v>0</v>
      </c>
      <c r="BR246" s="18">
        <f>IF(Z246="","",--(Z246='Codebook'!$F$19))</f>
        <v>1</v>
      </c>
      <c r="BS246" s="18">
        <f>IF(AA246="","",--(AA246='Codebook'!$F$20))</f>
        <v>1</v>
      </c>
      <c r="BT246" s="18">
        <f>IF(AB246="","",--(AB246='Codebook'!$F$21))</f>
        <v>0</v>
      </c>
      <c r="BU246" s="18">
        <f>IF(AC246="","",--(AC246='Codebook'!$F$22))</f>
        <v>1</v>
      </c>
      <c r="BV246" s="18">
        <f>IF(AD246="","",--(AD246='Codebook'!$F$23))</f>
        <v>1</v>
      </c>
      <c r="BW246" s="18">
        <f>IF(AE246="","",--(AE246='Codebook'!$F$24))</f>
        <v>0</v>
      </c>
      <c r="BX246" s="18">
        <f>IF(AF246="","",--(AF246='Codebook'!$F$25))</f>
        <v>0</v>
      </c>
      <c r="BY246" s="18">
        <f>IF(AG246="","",--(AG246='Codebook'!$F$26))</f>
        <v>1</v>
      </c>
      <c r="BZ246" s="18">
        <f>IF(AH246="","",--(AH246='Codebook'!$F$27))</f>
        <v>1</v>
      </c>
      <c r="CA246" s="18">
        <f>IF(AI246="","",--(AI246='Codebook'!$F$28))</f>
        <v>1</v>
      </c>
      <c r="CB246" s="18">
        <f>IF(AJ246="","",--(AJ246='Codebook'!$F$29))</f>
        <v>0</v>
      </c>
      <c r="CC246" s="18">
        <f>IF(AK246="","",--(AK246='Codebook'!$F$30))</f>
        <v>1</v>
      </c>
      <c r="CD246" s="18">
        <f>IF(AL246="","",--(AL246='Codebook'!$F$31))</f>
        <v>1</v>
      </c>
      <c r="CE246" s="18">
        <f>IF(AM246="","",--(AM246='Codebook'!$F$32))</f>
        <v>1</v>
      </c>
      <c r="CF246" s="18">
        <f>IF(AN246="","",--(AN246='Codebook'!$F$33))</f>
        <v>1</v>
      </c>
      <c r="CG246" s="18">
        <f>IF(AO246="","",--(AO246='Codebook'!$F$34))</f>
        <v>0</v>
      </c>
      <c r="CH246" s="18">
        <f>IF(AP246="","",--(AP246='Codebook'!$F$35))</f>
        <v>0</v>
      </c>
      <c r="CI246" s="18">
        <f>IF(AQ246="","",--(AQ246='Codebook'!$F$36))</f>
        <v>1</v>
      </c>
      <c r="CJ246" s="18">
        <f>IF(AR246="","",--(AR246='Codebook'!$F$37))</f>
        <v>1</v>
      </c>
      <c r="CK246" s="18">
        <f>IF(AS246="","",--(AS246='Codebook'!$F$38))</f>
        <v>1</v>
      </c>
      <c r="CL246" s="18">
        <f>IF(AT246="","",--(AT246='Codebook'!$F$39))</f>
        <v>1</v>
      </c>
      <c r="CM246" s="18">
        <f>IF(AU246="","",--(AU246='Codebook'!$F$40))</f>
        <v>1</v>
      </c>
      <c r="CN246" s="18">
        <f>IF(AV246="","",--(AV246='Codebook'!$F$41))</f>
        <v>1</v>
      </c>
      <c r="CO246" s="18">
        <f>IF(AW246="","",--(AW246='Codebook'!$F$42))</f>
        <v>0</v>
      </c>
      <c r="CP246" s="18">
        <f>IF(AX246="","",--(AX246='Codebook'!$F$43))</f>
        <v>1</v>
      </c>
      <c r="CQ246" s="18">
        <f>IF(AY246="","",--(AY246='Codebook'!$F$44))</f>
        <v>0</v>
      </c>
      <c r="CR246" s="18">
        <f>IF(AZ246="","",--(AZ246='Codebook'!$F$45))</f>
        <v>0</v>
      </c>
    </row>
    <row r="247" spans="2:96" ht="24" customHeight="1">
      <c r="B247" s="18">
        <v>242</v>
      </c>
      <c r="C247" s="23">
        <v>46289.45470938658</v>
      </c>
      <c r="D247" s="21" t="s">
        <v>268</v>
      </c>
      <c r="E247" s="21" t="s">
        <v>194</v>
      </c>
      <c r="F247" s="21" t="s">
        <v>201</v>
      </c>
      <c r="G247" s="17" t="s">
        <v>196</v>
      </c>
      <c r="H247" s="21" t="s">
        <v>197</v>
      </c>
      <c r="I247" s="18">
        <f>SUM(BL247:BU247)</f>
        <v>3</v>
      </c>
      <c r="J247" s="18">
        <f>IF(COUNT(BV247:CD247)=9,SUM(BV247:CD247),"")</f>
        <v>4</v>
      </c>
      <c r="K247" s="18">
        <f>SUM(BL247:CD247)</f>
        <v>7</v>
      </c>
      <c r="L247" s="18">
        <f>--(K247&gt;='Codebook'!$C$8)</f>
        <v>0</v>
      </c>
      <c r="M247" s="18">
        <f>--(COUNT(BL247:CD247)=19)</f>
        <v>1</v>
      </c>
      <c r="N247" s="18">
        <f>SUM(CE247:CL247)</f>
        <v>7</v>
      </c>
      <c r="O247" s="18">
        <f>SUM(CM247:CR247)</f>
        <v>5</v>
      </c>
      <c r="P247" s="18">
        <f>N247+O247</f>
        <v>12</v>
      </c>
      <c r="Q247" s="21"/>
      <c r="R247" s="17" t="s">
        <v>156</v>
      </c>
      <c r="S247" s="18">
        <f>--OR(Overview!$B$6="All",E247=Overview!$B$6)*--OR(Overview!$F$6="All",F247=Overview!$F$6)*--OR(Overview!$J$6="All",G247=Overview!$J$6)*--OR(Overview!$N$6="All",H247=Overview!$N$6)</f>
        <v>1</v>
      </c>
      <c r="T247" s="21" t="s">
        <v>26</v>
      </c>
      <c r="U247" s="21" t="s">
        <v>22</v>
      </c>
      <c r="V247" s="21" t="s">
        <v>22</v>
      </c>
      <c r="W247" s="21" t="s">
        <v>26</v>
      </c>
      <c r="X247" s="21" t="s">
        <v>22</v>
      </c>
      <c r="Y247" s="21" t="s">
        <v>22</v>
      </c>
      <c r="Z247" s="21" t="s">
        <v>22</v>
      </c>
      <c r="AA247" s="21" t="s">
        <v>26</v>
      </c>
      <c r="AB247" s="21" t="s">
        <v>22</v>
      </c>
      <c r="AC247" s="21" t="s">
        <v>22</v>
      </c>
      <c r="AD247" s="21" t="s">
        <v>198</v>
      </c>
      <c r="AE247" s="21" t="s">
        <v>22</v>
      </c>
      <c r="AF247" s="21" t="s">
        <v>22</v>
      </c>
      <c r="AG247" s="21" t="s">
        <v>22</v>
      </c>
      <c r="AH247" s="21" t="s">
        <v>22</v>
      </c>
      <c r="AI247" s="21" t="s">
        <v>22</v>
      </c>
      <c r="AJ247" s="21" t="s">
        <v>22</v>
      </c>
      <c r="AK247" s="21" t="s">
        <v>22</v>
      </c>
      <c r="AL247" s="21" t="s">
        <v>22</v>
      </c>
      <c r="AM247" s="21" t="s">
        <v>83</v>
      </c>
      <c r="AN247" s="21" t="s">
        <v>83</v>
      </c>
      <c r="AO247" s="21" t="s">
        <v>109</v>
      </c>
      <c r="AP247" s="21" t="s">
        <v>83</v>
      </c>
      <c r="AQ247" s="21" t="s">
        <v>83</v>
      </c>
      <c r="AR247" s="21" t="s">
        <v>83</v>
      </c>
      <c r="AS247" s="21" t="s">
        <v>83</v>
      </c>
      <c r="AT247" s="21" t="s">
        <v>83</v>
      </c>
      <c r="AU247" s="21" t="s">
        <v>109</v>
      </c>
      <c r="AV247" s="21" t="s">
        <v>109</v>
      </c>
      <c r="AW247" s="21" t="s">
        <v>109</v>
      </c>
      <c r="AX247" s="21" t="s">
        <v>198</v>
      </c>
      <c r="AY247" s="21" t="s">
        <v>109</v>
      </c>
      <c r="AZ247" s="21" t="s">
        <v>109</v>
      </c>
      <c r="BA247" s="17" t="s">
        <v>292</v>
      </c>
      <c r="BB247" s="17" t="s">
        <v>313</v>
      </c>
      <c r="BC247" s="18">
        <f>--ISNUMBER(SEARCH("Radio or television",BA247))</f>
        <v>1</v>
      </c>
      <c r="BD247" s="18">
        <f>--ISNUMBER(SEARCH("Newspapers or print media",BA247))</f>
        <v>0</v>
      </c>
      <c r="BE247" s="18">
        <f>--ISNUMBER(SEARCH("Social media (e.g. Facebook, WhatsApp, YouTube, X/Twitter)",BA247))</f>
        <v>1</v>
      </c>
      <c r="BF247" s="18">
        <f>--ISNUMBER(SEARCH("Family members",BA247))</f>
        <v>0</v>
      </c>
      <c r="BG247" s="18">
        <f>--ISNUMBER(SEARCH("Friends or fellow students",BA247))</f>
        <v>1</v>
      </c>
      <c r="BH247" s="18">
        <f>--ISNUMBER(SEARCH("School coursework or lectures",BA247))</f>
        <v>0</v>
      </c>
      <c r="BI247" s="18">
        <f>--ISNUMBER(SEARCH("NHIMA outreach activities or NHIMA offices",BA247))</f>
        <v>0</v>
      </c>
      <c r="BJ247" s="18">
        <f>--ISNUMBER(SEARCH("Health facility staff",BA247))</f>
        <v>0</v>
      </c>
      <c r="BK247" s="18">
        <f>--ISNUMBER(SEARCH("not received information",BA247))</f>
        <v>0</v>
      </c>
      <c r="BL247" s="18">
        <f>IF(T247="","",--(T247='Codebook'!$F$13))</f>
        <v>0</v>
      </c>
      <c r="BM247" s="18">
        <f>IF(U247="","",--(U247='Codebook'!$F$14))</f>
        <v>0</v>
      </c>
      <c r="BN247" s="18">
        <f>IF(V247="","",--(V247='Codebook'!$F$15))</f>
        <v>0</v>
      </c>
      <c r="BO247" s="18">
        <f>IF(W247="","",--(W247='Codebook'!$F$16))</f>
        <v>0</v>
      </c>
      <c r="BP247" s="18">
        <f>IF(X247="","",--(X247='Codebook'!$F$17))</f>
        <v>1</v>
      </c>
      <c r="BQ247" s="18">
        <f>IF(Y247="","",--(Y247='Codebook'!$F$18))</f>
        <v>0</v>
      </c>
      <c r="BR247" s="18">
        <f>IF(Z247="","",--(Z247='Codebook'!$F$19))</f>
        <v>1</v>
      </c>
      <c r="BS247" s="18">
        <f>IF(AA247="","",--(AA247='Codebook'!$F$20))</f>
        <v>0</v>
      </c>
      <c r="BT247" s="18">
        <f>IF(AB247="","",--(AB247='Codebook'!$F$21))</f>
        <v>0</v>
      </c>
      <c r="BU247" s="18">
        <f>IF(AC247="","",--(AC247='Codebook'!$F$22))</f>
        <v>1</v>
      </c>
      <c r="BV247" s="18">
        <f>IF(AD247="","",--(AD247='Codebook'!$F$23))</f>
        <v>0</v>
      </c>
      <c r="BW247" s="18">
        <f>IF(AE247="","",--(AE247='Codebook'!$F$24))</f>
        <v>1</v>
      </c>
      <c r="BX247" s="18">
        <f>IF(AF247="","",--(AF247='Codebook'!$F$25))</f>
        <v>0</v>
      </c>
      <c r="BY247" s="18">
        <f>IF(AG247="","",--(AG247='Codebook'!$F$26))</f>
        <v>1</v>
      </c>
      <c r="BZ247" s="18">
        <f>IF(AH247="","",--(AH247='Codebook'!$F$27))</f>
        <v>1</v>
      </c>
      <c r="CA247" s="18">
        <f>IF(AI247="","",--(AI247='Codebook'!$F$28))</f>
        <v>0</v>
      </c>
      <c r="CB247" s="18">
        <f>IF(AJ247="","",--(AJ247='Codebook'!$F$29))</f>
        <v>0</v>
      </c>
      <c r="CC247" s="18">
        <f>IF(AK247="","",--(AK247='Codebook'!$F$30))</f>
        <v>1</v>
      </c>
      <c r="CD247" s="18">
        <f>IF(AL247="","",--(AL247='Codebook'!$F$31))</f>
        <v>0</v>
      </c>
      <c r="CE247" s="18">
        <f>IF(AM247="","",--(AM247='Codebook'!$F$32))</f>
        <v>1</v>
      </c>
      <c r="CF247" s="18">
        <f>IF(AN247="","",--(AN247='Codebook'!$F$33))</f>
        <v>1</v>
      </c>
      <c r="CG247" s="18">
        <f>IF(AO247="","",--(AO247='Codebook'!$F$34))</f>
        <v>0</v>
      </c>
      <c r="CH247" s="18">
        <f>IF(AP247="","",--(AP247='Codebook'!$F$35))</f>
        <v>1</v>
      </c>
      <c r="CI247" s="18">
        <f>IF(AQ247="","",--(AQ247='Codebook'!$F$36))</f>
        <v>1</v>
      </c>
      <c r="CJ247" s="18">
        <f>IF(AR247="","",--(AR247='Codebook'!$F$37))</f>
        <v>1</v>
      </c>
      <c r="CK247" s="18">
        <f>IF(AS247="","",--(AS247='Codebook'!$F$38))</f>
        <v>1</v>
      </c>
      <c r="CL247" s="18">
        <f>IF(AT247="","",--(AT247='Codebook'!$F$39))</f>
        <v>1</v>
      </c>
      <c r="CM247" s="18">
        <f>IF(AU247="","",--(AU247='Codebook'!$F$40))</f>
        <v>1</v>
      </c>
      <c r="CN247" s="18">
        <f>IF(AV247="","",--(AV247='Codebook'!$F$41))</f>
        <v>1</v>
      </c>
      <c r="CO247" s="18">
        <f>IF(AW247="","",--(AW247='Codebook'!$F$42))</f>
        <v>1</v>
      </c>
      <c r="CP247" s="18">
        <f>IF(AX247="","",--(AX247='Codebook'!$F$43))</f>
        <v>0</v>
      </c>
      <c r="CQ247" s="18">
        <f>IF(AY247="","",--(AY247='Codebook'!$F$44))</f>
        <v>1</v>
      </c>
      <c r="CR247" s="18">
        <f>IF(AZ247="","",--(AZ247='Codebook'!$F$45))</f>
        <v>1</v>
      </c>
    </row>
    <row r="248" spans="2:96" ht="24" customHeight="1">
      <c r="B248" s="18">
        <v>243</v>
      </c>
      <c r="C248" s="23">
        <v>46289.45553943287</v>
      </c>
      <c r="D248" s="21" t="s">
        <v>268</v>
      </c>
      <c r="E248" s="21" t="s">
        <v>194</v>
      </c>
      <c r="F248" s="21" t="s">
        <v>226</v>
      </c>
      <c r="G248" s="17" t="s">
        <v>215</v>
      </c>
      <c r="H248" s="21" t="s">
        <v>197</v>
      </c>
      <c r="I248" s="18">
        <f>SUM(BL248:BU248)</f>
        <v>7</v>
      </c>
      <c r="J248" s="18">
        <f>IF(COUNT(BV248:CD248)=9,SUM(BV248:CD248),"")</f>
        <v>2</v>
      </c>
      <c r="K248" s="18">
        <f>SUM(BL248:CD248)</f>
        <v>9</v>
      </c>
      <c r="L248" s="18">
        <f>--(K248&gt;='Codebook'!$C$8)</f>
        <v>0</v>
      </c>
      <c r="M248" s="18">
        <f>--(COUNT(BL248:CD248)=19)</f>
        <v>1</v>
      </c>
      <c r="N248" s="18">
        <f>SUM(CE248:CL248)</f>
        <v>5</v>
      </c>
      <c r="O248" s="18">
        <f>SUM(CM248:CR248)</f>
        <v>2</v>
      </c>
      <c r="P248" s="18">
        <f>N248+O248</f>
        <v>7</v>
      </c>
      <c r="Q248" s="21" t="s">
        <v>198</v>
      </c>
      <c r="R248" s="17" t="s">
        <v>216</v>
      </c>
      <c r="S248" s="18">
        <f>--OR(Overview!$B$6="All",E248=Overview!$B$6)*--OR(Overview!$F$6="All",F248=Overview!$F$6)*--OR(Overview!$J$6="All",G248=Overview!$J$6)*--OR(Overview!$N$6="All",H248=Overview!$N$6)</f>
        <v>1</v>
      </c>
      <c r="T248" s="21" t="s">
        <v>22</v>
      </c>
      <c r="U248" s="21" t="s">
        <v>22</v>
      </c>
      <c r="V248" s="21" t="s">
        <v>26</v>
      </c>
      <c r="W248" s="21" t="s">
        <v>22</v>
      </c>
      <c r="X248" s="21" t="s">
        <v>22</v>
      </c>
      <c r="Y248" s="21" t="s">
        <v>22</v>
      </c>
      <c r="Z248" s="21" t="s">
        <v>22</v>
      </c>
      <c r="AA248" s="21" t="s">
        <v>22</v>
      </c>
      <c r="AB248" s="21" t="s">
        <v>22</v>
      </c>
      <c r="AC248" s="21" t="s">
        <v>22</v>
      </c>
      <c r="AD248" s="21" t="s">
        <v>198</v>
      </c>
      <c r="AE248" s="21" t="s">
        <v>22</v>
      </c>
      <c r="AF248" s="21" t="s">
        <v>22</v>
      </c>
      <c r="AG248" s="21" t="s">
        <v>26</v>
      </c>
      <c r="AH248" s="21" t="s">
        <v>22</v>
      </c>
      <c r="AI248" s="21" t="s">
        <v>22</v>
      </c>
      <c r="AJ248" s="21" t="s">
        <v>22</v>
      </c>
      <c r="AK248" s="21" t="s">
        <v>26</v>
      </c>
      <c r="AL248" s="21" t="s">
        <v>22</v>
      </c>
      <c r="AM248" s="21" t="s">
        <v>83</v>
      </c>
      <c r="AN248" s="21" t="s">
        <v>109</v>
      </c>
      <c r="AO248" s="21" t="s">
        <v>83</v>
      </c>
      <c r="AP248" s="21" t="s">
        <v>109</v>
      </c>
      <c r="AQ248" s="21" t="s">
        <v>83</v>
      </c>
      <c r="AR248" s="21" t="s">
        <v>83</v>
      </c>
      <c r="AS248" s="21" t="s">
        <v>83</v>
      </c>
      <c r="AT248" s="21" t="s">
        <v>198</v>
      </c>
      <c r="AU248" s="21" t="s">
        <v>109</v>
      </c>
      <c r="AV248" s="21" t="s">
        <v>83</v>
      </c>
      <c r="AW248" s="21" t="s">
        <v>109</v>
      </c>
      <c r="AX248" s="21" t="s">
        <v>83</v>
      </c>
      <c r="AY248" s="21" t="s">
        <v>83</v>
      </c>
      <c r="AZ248" s="21" t="s">
        <v>83</v>
      </c>
      <c r="BA248" s="17" t="s">
        <v>246</v>
      </c>
      <c r="BB248" s="17" t="s">
        <v>246</v>
      </c>
      <c r="BC248" s="18">
        <f>--ISNUMBER(SEARCH("Radio or television",BA248))</f>
        <v>1</v>
      </c>
      <c r="BD248" s="18">
        <f>--ISNUMBER(SEARCH("Newspapers or print media",BA248))</f>
        <v>0</v>
      </c>
      <c r="BE248" s="18">
        <f>--ISNUMBER(SEARCH("Social media (e.g. Facebook, WhatsApp, YouTube, X/Twitter)",BA248))</f>
        <v>1</v>
      </c>
      <c r="BF248" s="18">
        <f>--ISNUMBER(SEARCH("Family members",BA248))</f>
        <v>0</v>
      </c>
      <c r="BG248" s="18">
        <f>--ISNUMBER(SEARCH("Friends or fellow students",BA248))</f>
        <v>0</v>
      </c>
      <c r="BH248" s="18">
        <f>--ISNUMBER(SEARCH("School coursework or lectures",BA248))</f>
        <v>0</v>
      </c>
      <c r="BI248" s="18">
        <f>--ISNUMBER(SEARCH("NHIMA outreach activities or NHIMA offices",BA248))</f>
        <v>0</v>
      </c>
      <c r="BJ248" s="18">
        <f>--ISNUMBER(SEARCH("Health facility staff",BA248))</f>
        <v>0</v>
      </c>
      <c r="BK248" s="18">
        <f>--ISNUMBER(SEARCH("not received information",BA248))</f>
        <v>0</v>
      </c>
      <c r="BL248" s="18">
        <f>IF(T248="","",--(T248='Codebook'!$F$13))</f>
        <v>1</v>
      </c>
      <c r="BM248" s="18">
        <f>IF(U248="","",--(U248='Codebook'!$F$14))</f>
        <v>0</v>
      </c>
      <c r="BN248" s="18">
        <f>IF(V248="","",--(V248='Codebook'!$F$15))</f>
        <v>1</v>
      </c>
      <c r="BO248" s="18">
        <f>IF(W248="","",--(W248='Codebook'!$F$16))</f>
        <v>1</v>
      </c>
      <c r="BP248" s="18">
        <f>IF(X248="","",--(X248='Codebook'!$F$17))</f>
        <v>1</v>
      </c>
      <c r="BQ248" s="18">
        <f>IF(Y248="","",--(Y248='Codebook'!$F$18))</f>
        <v>0</v>
      </c>
      <c r="BR248" s="18">
        <f>IF(Z248="","",--(Z248='Codebook'!$F$19))</f>
        <v>1</v>
      </c>
      <c r="BS248" s="18">
        <f>IF(AA248="","",--(AA248='Codebook'!$F$20))</f>
        <v>1</v>
      </c>
      <c r="BT248" s="18">
        <f>IF(AB248="","",--(AB248='Codebook'!$F$21))</f>
        <v>0</v>
      </c>
      <c r="BU248" s="18">
        <f>IF(AC248="","",--(AC248='Codebook'!$F$22))</f>
        <v>1</v>
      </c>
      <c r="BV248" s="18">
        <f>IF(AD248="","",--(AD248='Codebook'!$F$23))</f>
        <v>0</v>
      </c>
      <c r="BW248" s="18">
        <f>IF(AE248="","",--(AE248='Codebook'!$F$24))</f>
        <v>1</v>
      </c>
      <c r="BX248" s="18">
        <f>IF(AF248="","",--(AF248='Codebook'!$F$25))</f>
        <v>0</v>
      </c>
      <c r="BY248" s="18">
        <f>IF(AG248="","",--(AG248='Codebook'!$F$26))</f>
        <v>0</v>
      </c>
      <c r="BZ248" s="18">
        <f>IF(AH248="","",--(AH248='Codebook'!$F$27))</f>
        <v>1</v>
      </c>
      <c r="CA248" s="18">
        <f>IF(AI248="","",--(AI248='Codebook'!$F$28))</f>
        <v>0</v>
      </c>
      <c r="CB248" s="18">
        <f>IF(AJ248="","",--(AJ248='Codebook'!$F$29))</f>
        <v>0</v>
      </c>
      <c r="CC248" s="18">
        <f>IF(AK248="","",--(AK248='Codebook'!$F$30))</f>
        <v>0</v>
      </c>
      <c r="CD248" s="18">
        <f>IF(AL248="","",--(AL248='Codebook'!$F$31))</f>
        <v>0</v>
      </c>
      <c r="CE248" s="18">
        <f>IF(AM248="","",--(AM248='Codebook'!$F$32))</f>
        <v>1</v>
      </c>
      <c r="CF248" s="18">
        <f>IF(AN248="","",--(AN248='Codebook'!$F$33))</f>
        <v>0</v>
      </c>
      <c r="CG248" s="18">
        <f>IF(AO248="","",--(AO248='Codebook'!$F$34))</f>
        <v>1</v>
      </c>
      <c r="CH248" s="18">
        <f>IF(AP248="","",--(AP248='Codebook'!$F$35))</f>
        <v>0</v>
      </c>
      <c r="CI248" s="18">
        <f>IF(AQ248="","",--(AQ248='Codebook'!$F$36))</f>
        <v>1</v>
      </c>
      <c r="CJ248" s="18">
        <f>IF(AR248="","",--(AR248='Codebook'!$F$37))</f>
        <v>1</v>
      </c>
      <c r="CK248" s="18">
        <f>IF(AS248="","",--(AS248='Codebook'!$F$38))</f>
        <v>1</v>
      </c>
      <c r="CL248" s="18">
        <f>IF(AT248="","",--(AT248='Codebook'!$F$39))</f>
        <v>0</v>
      </c>
      <c r="CM248" s="18">
        <f>IF(AU248="","",--(AU248='Codebook'!$F$40))</f>
        <v>1</v>
      </c>
      <c r="CN248" s="18">
        <f>IF(AV248="","",--(AV248='Codebook'!$F$41))</f>
        <v>0</v>
      </c>
      <c r="CO248" s="18">
        <f>IF(AW248="","",--(AW248='Codebook'!$F$42))</f>
        <v>1</v>
      </c>
      <c r="CP248" s="18">
        <f>IF(AX248="","",--(AX248='Codebook'!$F$43))</f>
        <v>0</v>
      </c>
      <c r="CQ248" s="18">
        <f>IF(AY248="","",--(AY248='Codebook'!$F$44))</f>
        <v>0</v>
      </c>
      <c r="CR248" s="18">
        <f>IF(AZ248="","",--(AZ248='Codebook'!$F$45))</f>
        <v>0</v>
      </c>
    </row>
    <row r="249" spans="2:96" ht="24" customHeight="1">
      <c r="B249" s="18">
        <v>244</v>
      </c>
      <c r="C249" s="23">
        <v>46289.45656427083</v>
      </c>
      <c r="D249" s="21" t="s">
        <v>275</v>
      </c>
      <c r="E249" s="21" t="s">
        <v>194</v>
      </c>
      <c r="F249" s="21" t="s">
        <v>226</v>
      </c>
      <c r="G249" s="17" t="s">
        <v>247</v>
      </c>
      <c r="H249" s="21" t="s">
        <v>197</v>
      </c>
      <c r="I249" s="18">
        <f>SUM(BL249:BU249)</f>
        <v>4</v>
      </c>
      <c r="J249" s="18">
        <f>IF(COUNT(BV249:CD249)=9,SUM(BV249:CD249),"")</f>
        <v>2</v>
      </c>
      <c r="K249" s="18">
        <f>SUM(BL249:CD249)</f>
        <v>6</v>
      </c>
      <c r="L249" s="18">
        <f>--(K249&gt;='Codebook'!$C$8)</f>
        <v>0</v>
      </c>
      <c r="M249" s="18">
        <f>--(COUNT(BL249:CD249)=19)</f>
        <v>1</v>
      </c>
      <c r="N249" s="18">
        <f>SUM(CE249:CL249)</f>
        <v>1</v>
      </c>
      <c r="O249" s="18">
        <f>SUM(CM249:CR249)</f>
        <v>1</v>
      </c>
      <c r="P249" s="18">
        <f>N249+O249</f>
        <v>2</v>
      </c>
      <c r="Q249" s="21" t="s">
        <v>197</v>
      </c>
      <c r="R249" s="17" t="s">
        <v>216</v>
      </c>
      <c r="S249" s="18">
        <f>--OR(Overview!$B$6="All",E249=Overview!$B$6)*--OR(Overview!$F$6="All",F249=Overview!$F$6)*--OR(Overview!$J$6="All",G249=Overview!$J$6)*--OR(Overview!$N$6="All",H249=Overview!$N$6)</f>
        <v>1</v>
      </c>
      <c r="T249" s="21" t="s">
        <v>22</v>
      </c>
      <c r="U249" s="21" t="s">
        <v>22</v>
      </c>
      <c r="V249" s="21" t="s">
        <v>22</v>
      </c>
      <c r="W249" s="21" t="s">
        <v>22</v>
      </c>
      <c r="X249" s="21" t="s">
        <v>22</v>
      </c>
      <c r="Y249" s="21" t="s">
        <v>22</v>
      </c>
      <c r="Z249" s="21" t="s">
        <v>198</v>
      </c>
      <c r="AA249" s="21" t="s">
        <v>26</v>
      </c>
      <c r="AB249" s="21" t="s">
        <v>22</v>
      </c>
      <c r="AC249" s="21" t="s">
        <v>22</v>
      </c>
      <c r="AD249" s="21" t="s">
        <v>22</v>
      </c>
      <c r="AE249" s="21" t="s">
        <v>22</v>
      </c>
      <c r="AF249" s="21" t="s">
        <v>22</v>
      </c>
      <c r="AG249" s="21" t="s">
        <v>26</v>
      </c>
      <c r="AH249" s="21" t="s">
        <v>26</v>
      </c>
      <c r="AI249" s="21" t="s">
        <v>22</v>
      </c>
      <c r="AJ249" s="21" t="s">
        <v>22</v>
      </c>
      <c r="AK249" s="21" t="s">
        <v>26</v>
      </c>
      <c r="AL249" s="21" t="s">
        <v>22</v>
      </c>
      <c r="AM249" s="21" t="s">
        <v>109</v>
      </c>
      <c r="AN249" s="21" t="s">
        <v>109</v>
      </c>
      <c r="AO249" s="21" t="s">
        <v>198</v>
      </c>
      <c r="AP249" s="21" t="s">
        <v>109</v>
      </c>
      <c r="AQ249" s="21" t="s">
        <v>198</v>
      </c>
      <c r="AR249" s="21" t="s">
        <v>198</v>
      </c>
      <c r="AS249" s="21" t="s">
        <v>109</v>
      </c>
      <c r="AT249" s="21" t="s">
        <v>83</v>
      </c>
      <c r="AU249" s="21" t="s">
        <v>83</v>
      </c>
      <c r="AV249" s="21" t="s">
        <v>83</v>
      </c>
      <c r="AW249" s="21" t="s">
        <v>83</v>
      </c>
      <c r="AX249" s="21" t="s">
        <v>83</v>
      </c>
      <c r="AY249" s="21" t="s">
        <v>83</v>
      </c>
      <c r="AZ249" s="21" t="s">
        <v>109</v>
      </c>
      <c r="BA249" s="17" t="s">
        <v>252</v>
      </c>
      <c r="BB249" s="17" t="s">
        <v>324</v>
      </c>
      <c r="BC249" s="18">
        <f>--ISNUMBER(SEARCH("Radio or television",BA249))</f>
        <v>1</v>
      </c>
      <c r="BD249" s="18">
        <f>--ISNUMBER(SEARCH("Newspapers or print media",BA249))</f>
        <v>0</v>
      </c>
      <c r="BE249" s="18">
        <f>--ISNUMBER(SEARCH("Social media (e.g. Facebook, WhatsApp, YouTube, X/Twitter)",BA249))</f>
        <v>1</v>
      </c>
      <c r="BF249" s="18">
        <f>--ISNUMBER(SEARCH("Family members",BA249))</f>
        <v>1</v>
      </c>
      <c r="BG249" s="18">
        <f>--ISNUMBER(SEARCH("Friends or fellow students",BA249))</f>
        <v>0</v>
      </c>
      <c r="BH249" s="18">
        <f>--ISNUMBER(SEARCH("School coursework or lectures",BA249))</f>
        <v>0</v>
      </c>
      <c r="BI249" s="18">
        <f>--ISNUMBER(SEARCH("NHIMA outreach activities or NHIMA offices",BA249))</f>
        <v>0</v>
      </c>
      <c r="BJ249" s="18">
        <f>--ISNUMBER(SEARCH("Health facility staff",BA249))</f>
        <v>0</v>
      </c>
      <c r="BK249" s="18">
        <f>--ISNUMBER(SEARCH("not received information",BA249))</f>
        <v>0</v>
      </c>
      <c r="BL249" s="18">
        <f>IF(T249="","",--(T249='Codebook'!$F$13))</f>
        <v>1</v>
      </c>
      <c r="BM249" s="18">
        <f>IF(U249="","",--(U249='Codebook'!$F$14))</f>
        <v>0</v>
      </c>
      <c r="BN249" s="18">
        <f>IF(V249="","",--(V249='Codebook'!$F$15))</f>
        <v>0</v>
      </c>
      <c r="BO249" s="18">
        <f>IF(W249="","",--(W249='Codebook'!$F$16))</f>
        <v>1</v>
      </c>
      <c r="BP249" s="18">
        <f>IF(X249="","",--(X249='Codebook'!$F$17))</f>
        <v>1</v>
      </c>
      <c r="BQ249" s="18">
        <f>IF(Y249="","",--(Y249='Codebook'!$F$18))</f>
        <v>0</v>
      </c>
      <c r="BR249" s="18">
        <f>IF(Z249="","",--(Z249='Codebook'!$F$19))</f>
        <v>0</v>
      </c>
      <c r="BS249" s="18">
        <f>IF(AA249="","",--(AA249='Codebook'!$F$20))</f>
        <v>0</v>
      </c>
      <c r="BT249" s="18">
        <f>IF(AB249="","",--(AB249='Codebook'!$F$21))</f>
        <v>0</v>
      </c>
      <c r="BU249" s="18">
        <f>IF(AC249="","",--(AC249='Codebook'!$F$22))</f>
        <v>1</v>
      </c>
      <c r="BV249" s="18">
        <f>IF(AD249="","",--(AD249='Codebook'!$F$23))</f>
        <v>1</v>
      </c>
      <c r="BW249" s="18">
        <f>IF(AE249="","",--(AE249='Codebook'!$F$24))</f>
        <v>1</v>
      </c>
      <c r="BX249" s="18">
        <f>IF(AF249="","",--(AF249='Codebook'!$F$25))</f>
        <v>0</v>
      </c>
      <c r="BY249" s="18">
        <f>IF(AG249="","",--(AG249='Codebook'!$F$26))</f>
        <v>0</v>
      </c>
      <c r="BZ249" s="18">
        <f>IF(AH249="","",--(AH249='Codebook'!$F$27))</f>
        <v>0</v>
      </c>
      <c r="CA249" s="18">
        <f>IF(AI249="","",--(AI249='Codebook'!$F$28))</f>
        <v>0</v>
      </c>
      <c r="CB249" s="18">
        <f>IF(AJ249="","",--(AJ249='Codebook'!$F$29))</f>
        <v>0</v>
      </c>
      <c r="CC249" s="18">
        <f>IF(AK249="","",--(AK249='Codebook'!$F$30))</f>
        <v>0</v>
      </c>
      <c r="CD249" s="18">
        <f>IF(AL249="","",--(AL249='Codebook'!$F$31))</f>
        <v>0</v>
      </c>
      <c r="CE249" s="18">
        <f>IF(AM249="","",--(AM249='Codebook'!$F$32))</f>
        <v>0</v>
      </c>
      <c r="CF249" s="18">
        <f>IF(AN249="","",--(AN249='Codebook'!$F$33))</f>
        <v>0</v>
      </c>
      <c r="CG249" s="18">
        <f>IF(AO249="","",--(AO249='Codebook'!$F$34))</f>
        <v>0</v>
      </c>
      <c r="CH249" s="18">
        <f>IF(AP249="","",--(AP249='Codebook'!$F$35))</f>
        <v>0</v>
      </c>
      <c r="CI249" s="18">
        <f>IF(AQ249="","",--(AQ249='Codebook'!$F$36))</f>
        <v>0</v>
      </c>
      <c r="CJ249" s="18">
        <f>IF(AR249="","",--(AR249='Codebook'!$F$37))</f>
        <v>0</v>
      </c>
      <c r="CK249" s="18">
        <f>IF(AS249="","",--(AS249='Codebook'!$F$38))</f>
        <v>0</v>
      </c>
      <c r="CL249" s="18">
        <f>IF(AT249="","",--(AT249='Codebook'!$F$39))</f>
        <v>1</v>
      </c>
      <c r="CM249" s="18">
        <f>IF(AU249="","",--(AU249='Codebook'!$F$40))</f>
        <v>0</v>
      </c>
      <c r="CN249" s="18">
        <f>IF(AV249="","",--(AV249='Codebook'!$F$41))</f>
        <v>0</v>
      </c>
      <c r="CO249" s="18">
        <f>IF(AW249="","",--(AW249='Codebook'!$F$42))</f>
        <v>0</v>
      </c>
      <c r="CP249" s="18">
        <f>IF(AX249="","",--(AX249='Codebook'!$F$43))</f>
        <v>0</v>
      </c>
      <c r="CQ249" s="18">
        <f>IF(AY249="","",--(AY249='Codebook'!$F$44))</f>
        <v>0</v>
      </c>
      <c r="CR249" s="18">
        <f>IF(AZ249="","",--(AZ249='Codebook'!$F$45))</f>
        <v>1</v>
      </c>
    </row>
    <row r="250" spans="2:96" ht="24" customHeight="1">
      <c r="B250" s="18">
        <v>245</v>
      </c>
      <c r="C250" s="23">
        <v>46289.45745553241</v>
      </c>
      <c r="D250" s="21" t="s">
        <v>275</v>
      </c>
      <c r="E250" s="21" t="s">
        <v>194</v>
      </c>
      <c r="F250" s="21" t="s">
        <v>201</v>
      </c>
      <c r="G250" s="17" t="s">
        <v>196</v>
      </c>
      <c r="H250" s="21" t="s">
        <v>198</v>
      </c>
      <c r="I250" s="18">
        <f>SUM(BL250:BU250)</f>
        <v>8</v>
      </c>
      <c r="J250" s="18">
        <f>IF(COUNT(BV250:CD250)=9,SUM(BV250:CD250),"")</f>
        <v>4</v>
      </c>
      <c r="K250" s="18">
        <f>SUM(BL250:CD250)</f>
        <v>12</v>
      </c>
      <c r="L250" s="18">
        <f>--(K250&gt;='Codebook'!$C$8)</f>
        <v>1</v>
      </c>
      <c r="M250" s="18">
        <f>--(COUNT(BL250:CD250)=19)</f>
        <v>1</v>
      </c>
      <c r="N250" s="18">
        <f>SUM(CE250:CL250)</f>
        <v>5</v>
      </c>
      <c r="O250" s="18">
        <f>SUM(CM250:CR250)</f>
        <v>1</v>
      </c>
      <c r="P250" s="18">
        <f>N250+O250</f>
        <v>6</v>
      </c>
      <c r="Q250" s="21" t="s">
        <v>198</v>
      </c>
      <c r="R250" s="17" t="s">
        <v>155</v>
      </c>
      <c r="S250" s="18">
        <f>--OR(Overview!$B$6="All",E250=Overview!$B$6)*--OR(Overview!$F$6="All",F250=Overview!$F$6)*--OR(Overview!$J$6="All",G250=Overview!$J$6)*--OR(Overview!$N$6="All",H250=Overview!$N$6)</f>
        <v>1</v>
      </c>
      <c r="T250" s="21" t="s">
        <v>22</v>
      </c>
      <c r="U250" s="21" t="s">
        <v>26</v>
      </c>
      <c r="V250" s="21" t="s">
        <v>26</v>
      </c>
      <c r="W250" s="21" t="s">
        <v>22</v>
      </c>
      <c r="X250" s="21" t="s">
        <v>22</v>
      </c>
      <c r="Y250" s="21" t="s">
        <v>26</v>
      </c>
      <c r="Z250" s="21" t="s">
        <v>198</v>
      </c>
      <c r="AA250" s="21" t="s">
        <v>22</v>
      </c>
      <c r="AB250" s="21" t="s">
        <v>198</v>
      </c>
      <c r="AC250" s="21" t="s">
        <v>22</v>
      </c>
      <c r="AD250" s="21" t="s">
        <v>198</v>
      </c>
      <c r="AE250" s="21" t="s">
        <v>22</v>
      </c>
      <c r="AF250" s="21" t="s">
        <v>22</v>
      </c>
      <c r="AG250" s="21" t="s">
        <v>22</v>
      </c>
      <c r="AH250" s="21" t="s">
        <v>22</v>
      </c>
      <c r="AI250" s="21" t="s">
        <v>22</v>
      </c>
      <c r="AJ250" s="21" t="s">
        <v>198</v>
      </c>
      <c r="AK250" s="21" t="s">
        <v>22</v>
      </c>
      <c r="AL250" s="21" t="s">
        <v>22</v>
      </c>
      <c r="AM250" s="21" t="s">
        <v>83</v>
      </c>
      <c r="AN250" s="21" t="s">
        <v>109</v>
      </c>
      <c r="AO250" s="21" t="s">
        <v>83</v>
      </c>
      <c r="AP250" s="21" t="s">
        <v>83</v>
      </c>
      <c r="AQ250" s="21" t="s">
        <v>83</v>
      </c>
      <c r="AR250" s="21" t="s">
        <v>83</v>
      </c>
      <c r="AS250" s="21" t="s">
        <v>198</v>
      </c>
      <c r="AT250" s="21" t="s">
        <v>198</v>
      </c>
      <c r="AU250" s="21" t="s">
        <v>83</v>
      </c>
      <c r="AV250" s="21" t="s">
        <v>198</v>
      </c>
      <c r="AW250" s="21" t="s">
        <v>109</v>
      </c>
      <c r="AX250" s="21" t="s">
        <v>198</v>
      </c>
      <c r="AY250" s="21" t="s">
        <v>83</v>
      </c>
      <c r="AZ250" s="21" t="s">
        <v>198</v>
      </c>
      <c r="BA250" s="17" t="s">
        <v>298</v>
      </c>
      <c r="BB250" s="17" t="s">
        <v>219</v>
      </c>
      <c r="BC250" s="18">
        <f>--ISNUMBER(SEARCH("Radio or television",BA250))</f>
        <v>1</v>
      </c>
      <c r="BD250" s="18">
        <f>--ISNUMBER(SEARCH("Newspapers or print media",BA250))</f>
        <v>0</v>
      </c>
      <c r="BE250" s="18">
        <f>--ISNUMBER(SEARCH("Social media (e.g. Facebook, WhatsApp, YouTube, X/Twitter)",BA250))</f>
        <v>0</v>
      </c>
      <c r="BF250" s="18">
        <f>--ISNUMBER(SEARCH("Family members",BA250))</f>
        <v>1</v>
      </c>
      <c r="BG250" s="18">
        <f>--ISNUMBER(SEARCH("Friends or fellow students",BA250))</f>
        <v>1</v>
      </c>
      <c r="BH250" s="18">
        <f>--ISNUMBER(SEARCH("School coursework or lectures",BA250))</f>
        <v>0</v>
      </c>
      <c r="BI250" s="18">
        <f>--ISNUMBER(SEARCH("NHIMA outreach activities or NHIMA offices",BA250))</f>
        <v>0</v>
      </c>
      <c r="BJ250" s="18">
        <f>--ISNUMBER(SEARCH("Health facility staff",BA250))</f>
        <v>0</v>
      </c>
      <c r="BK250" s="18">
        <f>--ISNUMBER(SEARCH("not received information",BA250))</f>
        <v>0</v>
      </c>
      <c r="BL250" s="18">
        <f>IF(T250="","",--(T250='Codebook'!$F$13))</f>
        <v>1</v>
      </c>
      <c r="BM250" s="18">
        <f>IF(U250="","",--(U250='Codebook'!$F$14))</f>
        <v>1</v>
      </c>
      <c r="BN250" s="18">
        <f>IF(V250="","",--(V250='Codebook'!$F$15))</f>
        <v>1</v>
      </c>
      <c r="BO250" s="18">
        <f>IF(W250="","",--(W250='Codebook'!$F$16))</f>
        <v>1</v>
      </c>
      <c r="BP250" s="18">
        <f>IF(X250="","",--(X250='Codebook'!$F$17))</f>
        <v>1</v>
      </c>
      <c r="BQ250" s="18">
        <f>IF(Y250="","",--(Y250='Codebook'!$F$18))</f>
        <v>1</v>
      </c>
      <c r="BR250" s="18">
        <f>IF(Z250="","",--(Z250='Codebook'!$F$19))</f>
        <v>0</v>
      </c>
      <c r="BS250" s="18">
        <f>IF(AA250="","",--(AA250='Codebook'!$F$20))</f>
        <v>1</v>
      </c>
      <c r="BT250" s="18">
        <f>IF(AB250="","",--(AB250='Codebook'!$F$21))</f>
        <v>0</v>
      </c>
      <c r="BU250" s="18">
        <f>IF(AC250="","",--(AC250='Codebook'!$F$22))</f>
        <v>1</v>
      </c>
      <c r="BV250" s="18">
        <f>IF(AD250="","",--(AD250='Codebook'!$F$23))</f>
        <v>0</v>
      </c>
      <c r="BW250" s="18">
        <f>IF(AE250="","",--(AE250='Codebook'!$F$24))</f>
        <v>1</v>
      </c>
      <c r="BX250" s="18">
        <f>IF(AF250="","",--(AF250='Codebook'!$F$25))</f>
        <v>0</v>
      </c>
      <c r="BY250" s="18">
        <f>IF(AG250="","",--(AG250='Codebook'!$F$26))</f>
        <v>1</v>
      </c>
      <c r="BZ250" s="18">
        <f>IF(AH250="","",--(AH250='Codebook'!$F$27))</f>
        <v>1</v>
      </c>
      <c r="CA250" s="18">
        <f>IF(AI250="","",--(AI250='Codebook'!$F$28))</f>
        <v>0</v>
      </c>
      <c r="CB250" s="18">
        <f>IF(AJ250="","",--(AJ250='Codebook'!$F$29))</f>
        <v>0</v>
      </c>
      <c r="CC250" s="18">
        <f>IF(AK250="","",--(AK250='Codebook'!$F$30))</f>
        <v>1</v>
      </c>
      <c r="CD250" s="18">
        <f>IF(AL250="","",--(AL250='Codebook'!$F$31))</f>
        <v>0</v>
      </c>
      <c r="CE250" s="18">
        <f>IF(AM250="","",--(AM250='Codebook'!$F$32))</f>
        <v>1</v>
      </c>
      <c r="CF250" s="18">
        <f>IF(AN250="","",--(AN250='Codebook'!$F$33))</f>
        <v>0</v>
      </c>
      <c r="CG250" s="18">
        <f>IF(AO250="","",--(AO250='Codebook'!$F$34))</f>
        <v>1</v>
      </c>
      <c r="CH250" s="18">
        <f>IF(AP250="","",--(AP250='Codebook'!$F$35))</f>
        <v>1</v>
      </c>
      <c r="CI250" s="18">
        <f>IF(AQ250="","",--(AQ250='Codebook'!$F$36))</f>
        <v>1</v>
      </c>
      <c r="CJ250" s="18">
        <f>IF(AR250="","",--(AR250='Codebook'!$F$37))</f>
        <v>1</v>
      </c>
      <c r="CK250" s="18">
        <f>IF(AS250="","",--(AS250='Codebook'!$F$38))</f>
        <v>0</v>
      </c>
      <c r="CL250" s="18">
        <f>IF(AT250="","",--(AT250='Codebook'!$F$39))</f>
        <v>0</v>
      </c>
      <c r="CM250" s="18">
        <f>IF(AU250="","",--(AU250='Codebook'!$F$40))</f>
        <v>0</v>
      </c>
      <c r="CN250" s="18">
        <f>IF(AV250="","",--(AV250='Codebook'!$F$41))</f>
        <v>0</v>
      </c>
      <c r="CO250" s="18">
        <f>IF(AW250="","",--(AW250='Codebook'!$F$42))</f>
        <v>1</v>
      </c>
      <c r="CP250" s="18">
        <f>IF(AX250="","",--(AX250='Codebook'!$F$43))</f>
        <v>0</v>
      </c>
      <c r="CQ250" s="18">
        <f>IF(AY250="","",--(AY250='Codebook'!$F$44))</f>
        <v>0</v>
      </c>
      <c r="CR250" s="18">
        <f>IF(AZ250="","",--(AZ250='Codebook'!$F$45))</f>
        <v>0</v>
      </c>
    </row>
    <row r="251" spans="2:96" ht="24" customHeight="1">
      <c r="B251" s="18">
        <v>246</v>
      </c>
      <c r="C251" s="23">
        <v>46289.45846116898</v>
      </c>
      <c r="D251" s="21" t="s">
        <v>268</v>
      </c>
      <c r="E251" s="21" t="s">
        <v>206</v>
      </c>
      <c r="F251" s="21" t="s">
        <v>195</v>
      </c>
      <c r="G251" s="17" t="s">
        <v>247</v>
      </c>
      <c r="H251" s="21" t="s">
        <v>197</v>
      </c>
      <c r="I251" s="18">
        <f>SUM(BL251:BU251)</f>
        <v>5</v>
      </c>
      <c r="J251" s="18">
        <f>IF(COUNT(BV251:CD251)=9,SUM(BV251:CD251),"")</f>
        <v>5</v>
      </c>
      <c r="K251" s="18">
        <f>SUM(BL251:CD251)</f>
        <v>10</v>
      </c>
      <c r="L251" s="18">
        <f>--(K251&gt;='Codebook'!$C$8)</f>
        <v>0</v>
      </c>
      <c r="M251" s="18">
        <f>--(COUNT(BL251:CD251)=19)</f>
        <v>1</v>
      </c>
      <c r="N251" s="18">
        <f>SUM(CE251:CL251)</f>
        <v>6</v>
      </c>
      <c r="O251" s="18">
        <f>SUM(CM251:CR251)</f>
        <v>1</v>
      </c>
      <c r="P251" s="18">
        <f>N251+O251</f>
        <v>7</v>
      </c>
      <c r="Q251" s="21" t="s">
        <v>197</v>
      </c>
      <c r="R251" s="17" t="s">
        <v>152</v>
      </c>
      <c r="S251" s="18">
        <f>--OR(Overview!$B$6="All",E251=Overview!$B$6)*--OR(Overview!$F$6="All",F251=Overview!$F$6)*--OR(Overview!$J$6="All",G251=Overview!$J$6)*--OR(Overview!$N$6="All",H251=Overview!$N$6)</f>
        <v>1</v>
      </c>
      <c r="T251" s="21" t="s">
        <v>22</v>
      </c>
      <c r="U251" s="21" t="s">
        <v>22</v>
      </c>
      <c r="V251" s="21" t="s">
        <v>22</v>
      </c>
      <c r="W251" s="21" t="s">
        <v>22</v>
      </c>
      <c r="X251" s="21" t="s">
        <v>26</v>
      </c>
      <c r="Y251" s="21" t="s">
        <v>22</v>
      </c>
      <c r="Z251" s="21" t="s">
        <v>22</v>
      </c>
      <c r="AA251" s="21" t="s">
        <v>22</v>
      </c>
      <c r="AB251" s="21" t="s">
        <v>22</v>
      </c>
      <c r="AC251" s="21" t="s">
        <v>22</v>
      </c>
      <c r="AD251" s="21" t="s">
        <v>22</v>
      </c>
      <c r="AE251" s="21" t="s">
        <v>22</v>
      </c>
      <c r="AF251" s="21" t="s">
        <v>26</v>
      </c>
      <c r="AG251" s="21" t="s">
        <v>26</v>
      </c>
      <c r="AH251" s="21" t="s">
        <v>22</v>
      </c>
      <c r="AI251" s="21" t="s">
        <v>22</v>
      </c>
      <c r="AJ251" s="21" t="s">
        <v>22</v>
      </c>
      <c r="AK251" s="21" t="s">
        <v>22</v>
      </c>
      <c r="AL251" s="21" t="s">
        <v>22</v>
      </c>
      <c r="AM251" s="21" t="s">
        <v>83</v>
      </c>
      <c r="AN251" s="21" t="s">
        <v>83</v>
      </c>
      <c r="AO251" s="21" t="s">
        <v>109</v>
      </c>
      <c r="AP251" s="21" t="s">
        <v>83</v>
      </c>
      <c r="AQ251" s="21" t="s">
        <v>83</v>
      </c>
      <c r="AR251" s="21" t="s">
        <v>83</v>
      </c>
      <c r="AS251" s="21" t="s">
        <v>83</v>
      </c>
      <c r="AT251" s="21" t="s">
        <v>198</v>
      </c>
      <c r="AU251" s="21" t="s">
        <v>83</v>
      </c>
      <c r="AV251" s="21" t="s">
        <v>83</v>
      </c>
      <c r="AW251" s="21" t="s">
        <v>83</v>
      </c>
      <c r="AX251" s="21" t="s">
        <v>83</v>
      </c>
      <c r="AY251" s="21" t="s">
        <v>109</v>
      </c>
      <c r="AZ251" s="21" t="s">
        <v>83</v>
      </c>
      <c r="BA251" s="17" t="s">
        <v>223</v>
      </c>
      <c r="BB251" s="17" t="s">
        <v>223</v>
      </c>
      <c r="BC251" s="18">
        <f>--ISNUMBER(SEARCH("Radio or television",BA251))</f>
        <v>1</v>
      </c>
      <c r="BD251" s="18">
        <f>--ISNUMBER(SEARCH("Newspapers or print media",BA251))</f>
        <v>0</v>
      </c>
      <c r="BE251" s="18">
        <f>--ISNUMBER(SEARCH("Social media (e.g. Facebook, WhatsApp, YouTube, X/Twitter)",BA251))</f>
        <v>0</v>
      </c>
      <c r="BF251" s="18">
        <f>--ISNUMBER(SEARCH("Family members",BA251))</f>
        <v>0</v>
      </c>
      <c r="BG251" s="18">
        <f>--ISNUMBER(SEARCH("Friends or fellow students",BA251))</f>
        <v>0</v>
      </c>
      <c r="BH251" s="18">
        <f>--ISNUMBER(SEARCH("School coursework or lectures",BA251))</f>
        <v>0</v>
      </c>
      <c r="BI251" s="18">
        <f>--ISNUMBER(SEARCH("NHIMA outreach activities or NHIMA offices",BA251))</f>
        <v>0</v>
      </c>
      <c r="BJ251" s="18">
        <f>--ISNUMBER(SEARCH("Health facility staff",BA251))</f>
        <v>0</v>
      </c>
      <c r="BK251" s="18">
        <f>--ISNUMBER(SEARCH("not received information",BA251))</f>
        <v>0</v>
      </c>
      <c r="BL251" s="18">
        <f>IF(T251="","",--(T251='Codebook'!$F$13))</f>
        <v>1</v>
      </c>
      <c r="BM251" s="18">
        <f>IF(U251="","",--(U251='Codebook'!$F$14))</f>
        <v>0</v>
      </c>
      <c r="BN251" s="18">
        <f>IF(V251="","",--(V251='Codebook'!$F$15))</f>
        <v>0</v>
      </c>
      <c r="BO251" s="18">
        <f>IF(W251="","",--(W251='Codebook'!$F$16))</f>
        <v>1</v>
      </c>
      <c r="BP251" s="18">
        <f>IF(X251="","",--(X251='Codebook'!$F$17))</f>
        <v>0</v>
      </c>
      <c r="BQ251" s="18">
        <f>IF(Y251="","",--(Y251='Codebook'!$F$18))</f>
        <v>0</v>
      </c>
      <c r="BR251" s="18">
        <f>IF(Z251="","",--(Z251='Codebook'!$F$19))</f>
        <v>1</v>
      </c>
      <c r="BS251" s="18">
        <f>IF(AA251="","",--(AA251='Codebook'!$F$20))</f>
        <v>1</v>
      </c>
      <c r="BT251" s="18">
        <f>IF(AB251="","",--(AB251='Codebook'!$F$21))</f>
        <v>0</v>
      </c>
      <c r="BU251" s="18">
        <f>IF(AC251="","",--(AC251='Codebook'!$F$22))</f>
        <v>1</v>
      </c>
      <c r="BV251" s="18">
        <f>IF(AD251="","",--(AD251='Codebook'!$F$23))</f>
        <v>1</v>
      </c>
      <c r="BW251" s="18">
        <f>IF(AE251="","",--(AE251='Codebook'!$F$24))</f>
        <v>1</v>
      </c>
      <c r="BX251" s="18">
        <f>IF(AF251="","",--(AF251='Codebook'!$F$25))</f>
        <v>1</v>
      </c>
      <c r="BY251" s="18">
        <f>IF(AG251="","",--(AG251='Codebook'!$F$26))</f>
        <v>0</v>
      </c>
      <c r="BZ251" s="18">
        <f>IF(AH251="","",--(AH251='Codebook'!$F$27))</f>
        <v>1</v>
      </c>
      <c r="CA251" s="18">
        <f>IF(AI251="","",--(AI251='Codebook'!$F$28))</f>
        <v>0</v>
      </c>
      <c r="CB251" s="18">
        <f>IF(AJ251="","",--(AJ251='Codebook'!$F$29))</f>
        <v>0</v>
      </c>
      <c r="CC251" s="18">
        <f>IF(AK251="","",--(AK251='Codebook'!$F$30))</f>
        <v>1</v>
      </c>
      <c r="CD251" s="18">
        <f>IF(AL251="","",--(AL251='Codebook'!$F$31))</f>
        <v>0</v>
      </c>
      <c r="CE251" s="18">
        <f>IF(AM251="","",--(AM251='Codebook'!$F$32))</f>
        <v>1</v>
      </c>
      <c r="CF251" s="18">
        <f>IF(AN251="","",--(AN251='Codebook'!$F$33))</f>
        <v>1</v>
      </c>
      <c r="CG251" s="18">
        <f>IF(AO251="","",--(AO251='Codebook'!$F$34))</f>
        <v>0</v>
      </c>
      <c r="CH251" s="18">
        <f>IF(AP251="","",--(AP251='Codebook'!$F$35))</f>
        <v>1</v>
      </c>
      <c r="CI251" s="18">
        <f>IF(AQ251="","",--(AQ251='Codebook'!$F$36))</f>
        <v>1</v>
      </c>
      <c r="CJ251" s="18">
        <f>IF(AR251="","",--(AR251='Codebook'!$F$37))</f>
        <v>1</v>
      </c>
      <c r="CK251" s="18">
        <f>IF(AS251="","",--(AS251='Codebook'!$F$38))</f>
        <v>1</v>
      </c>
      <c r="CL251" s="18">
        <f>IF(AT251="","",--(AT251='Codebook'!$F$39))</f>
        <v>0</v>
      </c>
      <c r="CM251" s="18">
        <f>IF(AU251="","",--(AU251='Codebook'!$F$40))</f>
        <v>0</v>
      </c>
      <c r="CN251" s="18">
        <f>IF(AV251="","",--(AV251='Codebook'!$F$41))</f>
        <v>0</v>
      </c>
      <c r="CO251" s="18">
        <f>IF(AW251="","",--(AW251='Codebook'!$F$42))</f>
        <v>0</v>
      </c>
      <c r="CP251" s="18">
        <f>IF(AX251="","",--(AX251='Codebook'!$F$43))</f>
        <v>0</v>
      </c>
      <c r="CQ251" s="18">
        <f>IF(AY251="","",--(AY251='Codebook'!$F$44))</f>
        <v>1</v>
      </c>
      <c r="CR251" s="18">
        <f>IF(AZ251="","",--(AZ251='Codebook'!$F$45))</f>
        <v>0</v>
      </c>
    </row>
    <row r="252" spans="2:96" ht="24" customHeight="1">
      <c r="B252" s="18">
        <v>247</v>
      </c>
      <c r="C252" s="23">
        <v>46289.50031773148</v>
      </c>
      <c r="D252" s="21" t="s">
        <v>331</v>
      </c>
      <c r="E252" s="21" t="s">
        <v>194</v>
      </c>
      <c r="F252" s="21" t="s">
        <v>195</v>
      </c>
      <c r="G252" s="17" t="s">
        <v>224</v>
      </c>
      <c r="H252" s="21" t="s">
        <v>197</v>
      </c>
      <c r="I252" s="18">
        <f>SUM(BL252:BU252)</f>
        <v>6</v>
      </c>
      <c r="J252" s="18">
        <f>IF(COUNT(BV252:CD252)=9,SUM(BV252:CD252),"")</f>
        <v>6</v>
      </c>
      <c r="K252" s="18">
        <f>SUM(BL252:CD252)</f>
        <v>12</v>
      </c>
      <c r="L252" s="18">
        <f>--(K252&gt;='Codebook'!$C$8)</f>
        <v>1</v>
      </c>
      <c r="M252" s="18">
        <f>--(COUNT(BL252:CD252)=19)</f>
        <v>1</v>
      </c>
      <c r="N252" s="18">
        <f>SUM(CE252:CL252)</f>
        <v>7</v>
      </c>
      <c r="O252" s="18">
        <f>SUM(CM252:CR252)</f>
        <v>1</v>
      </c>
      <c r="P252" s="18">
        <f>N252+O252</f>
        <v>8</v>
      </c>
      <c r="Q252" s="21" t="s">
        <v>207</v>
      </c>
      <c r="R252" s="17" t="s">
        <v>152</v>
      </c>
      <c r="S252" s="18">
        <f>--OR(Overview!$B$6="All",E252=Overview!$B$6)*--OR(Overview!$F$6="All",F252=Overview!$F$6)*--OR(Overview!$J$6="All",G252=Overview!$J$6)*--OR(Overview!$N$6="All",H252=Overview!$N$6)</f>
        <v>1</v>
      </c>
      <c r="T252" s="21" t="s">
        <v>22</v>
      </c>
      <c r="U252" s="21" t="s">
        <v>22</v>
      </c>
      <c r="V252" s="21" t="s">
        <v>22</v>
      </c>
      <c r="W252" s="21" t="s">
        <v>26</v>
      </c>
      <c r="X252" s="21" t="s">
        <v>22</v>
      </c>
      <c r="Y252" s="21" t="s">
        <v>26</v>
      </c>
      <c r="Z252" s="21" t="s">
        <v>22</v>
      </c>
      <c r="AA252" s="21" t="s">
        <v>22</v>
      </c>
      <c r="AB252" s="21" t="s">
        <v>22</v>
      </c>
      <c r="AC252" s="21" t="s">
        <v>22</v>
      </c>
      <c r="AD252" s="21" t="s">
        <v>22</v>
      </c>
      <c r="AE252" s="21" t="s">
        <v>22</v>
      </c>
      <c r="AF252" s="21" t="s">
        <v>22</v>
      </c>
      <c r="AG252" s="21" t="s">
        <v>22</v>
      </c>
      <c r="AH252" s="21" t="s">
        <v>22</v>
      </c>
      <c r="AI252" s="21" t="s">
        <v>22</v>
      </c>
      <c r="AJ252" s="21" t="s">
        <v>22</v>
      </c>
      <c r="AK252" s="21" t="s">
        <v>22</v>
      </c>
      <c r="AL252" s="21" t="s">
        <v>26</v>
      </c>
      <c r="AM252" s="21" t="s">
        <v>83</v>
      </c>
      <c r="AN252" s="21" t="s">
        <v>83</v>
      </c>
      <c r="AO252" s="21" t="s">
        <v>83</v>
      </c>
      <c r="AP252" s="21" t="s">
        <v>83</v>
      </c>
      <c r="AQ252" s="21" t="s">
        <v>83</v>
      </c>
      <c r="AR252" s="21" t="s">
        <v>109</v>
      </c>
      <c r="AS252" s="21" t="s">
        <v>83</v>
      </c>
      <c r="AT252" s="21" t="s">
        <v>83</v>
      </c>
      <c r="AU252" s="21" t="s">
        <v>83</v>
      </c>
      <c r="AV252" s="21" t="s">
        <v>83</v>
      </c>
      <c r="AW252" s="21" t="s">
        <v>83</v>
      </c>
      <c r="AX252" s="21" t="s">
        <v>83</v>
      </c>
      <c r="AY252" s="21" t="s">
        <v>83</v>
      </c>
      <c r="AZ252" s="21" t="s">
        <v>109</v>
      </c>
      <c r="BA252" s="17" t="s">
        <v>223</v>
      </c>
      <c r="BB252" s="17" t="s">
        <v>223</v>
      </c>
      <c r="BC252" s="18">
        <f>--ISNUMBER(SEARCH("Radio or television",BA252))</f>
        <v>1</v>
      </c>
      <c r="BD252" s="18">
        <f>--ISNUMBER(SEARCH("Newspapers or print media",BA252))</f>
        <v>0</v>
      </c>
      <c r="BE252" s="18">
        <f>--ISNUMBER(SEARCH("Social media (e.g. Facebook, WhatsApp, YouTube, X/Twitter)",BA252))</f>
        <v>0</v>
      </c>
      <c r="BF252" s="18">
        <f>--ISNUMBER(SEARCH("Family members",BA252))</f>
        <v>0</v>
      </c>
      <c r="BG252" s="18">
        <f>--ISNUMBER(SEARCH("Friends or fellow students",BA252))</f>
        <v>0</v>
      </c>
      <c r="BH252" s="18">
        <f>--ISNUMBER(SEARCH("School coursework or lectures",BA252))</f>
        <v>0</v>
      </c>
      <c r="BI252" s="18">
        <f>--ISNUMBER(SEARCH("NHIMA outreach activities or NHIMA offices",BA252))</f>
        <v>0</v>
      </c>
      <c r="BJ252" s="18">
        <f>--ISNUMBER(SEARCH("Health facility staff",BA252))</f>
        <v>0</v>
      </c>
      <c r="BK252" s="18">
        <f>--ISNUMBER(SEARCH("not received information",BA252))</f>
        <v>0</v>
      </c>
      <c r="BL252" s="18">
        <f>IF(T252="","",--(T252='Codebook'!$F$13))</f>
        <v>1</v>
      </c>
      <c r="BM252" s="18">
        <f>IF(U252="","",--(U252='Codebook'!$F$14))</f>
        <v>0</v>
      </c>
      <c r="BN252" s="18">
        <f>IF(V252="","",--(V252='Codebook'!$F$15))</f>
        <v>0</v>
      </c>
      <c r="BO252" s="18">
        <f>IF(W252="","",--(W252='Codebook'!$F$16))</f>
        <v>0</v>
      </c>
      <c r="BP252" s="18">
        <f>IF(X252="","",--(X252='Codebook'!$F$17))</f>
        <v>1</v>
      </c>
      <c r="BQ252" s="18">
        <f>IF(Y252="","",--(Y252='Codebook'!$F$18))</f>
        <v>1</v>
      </c>
      <c r="BR252" s="18">
        <f>IF(Z252="","",--(Z252='Codebook'!$F$19))</f>
        <v>1</v>
      </c>
      <c r="BS252" s="18">
        <f>IF(AA252="","",--(AA252='Codebook'!$F$20))</f>
        <v>1</v>
      </c>
      <c r="BT252" s="18">
        <f>IF(AB252="","",--(AB252='Codebook'!$F$21))</f>
        <v>0</v>
      </c>
      <c r="BU252" s="18">
        <f>IF(AC252="","",--(AC252='Codebook'!$F$22))</f>
        <v>1</v>
      </c>
      <c r="BV252" s="18">
        <f>IF(AD252="","",--(AD252='Codebook'!$F$23))</f>
        <v>1</v>
      </c>
      <c r="BW252" s="18">
        <f>IF(AE252="","",--(AE252='Codebook'!$F$24))</f>
        <v>1</v>
      </c>
      <c r="BX252" s="18">
        <f>IF(AF252="","",--(AF252='Codebook'!$F$25))</f>
        <v>0</v>
      </c>
      <c r="BY252" s="18">
        <f>IF(AG252="","",--(AG252='Codebook'!$F$26))</f>
        <v>1</v>
      </c>
      <c r="BZ252" s="18">
        <f>IF(AH252="","",--(AH252='Codebook'!$F$27))</f>
        <v>1</v>
      </c>
      <c r="CA252" s="18">
        <f>IF(AI252="","",--(AI252='Codebook'!$F$28))</f>
        <v>0</v>
      </c>
      <c r="CB252" s="18">
        <f>IF(AJ252="","",--(AJ252='Codebook'!$F$29))</f>
        <v>0</v>
      </c>
      <c r="CC252" s="18">
        <f>IF(AK252="","",--(AK252='Codebook'!$F$30))</f>
        <v>1</v>
      </c>
      <c r="CD252" s="18">
        <f>IF(AL252="","",--(AL252='Codebook'!$F$31))</f>
        <v>1</v>
      </c>
      <c r="CE252" s="18">
        <f>IF(AM252="","",--(AM252='Codebook'!$F$32))</f>
        <v>1</v>
      </c>
      <c r="CF252" s="18">
        <f>IF(AN252="","",--(AN252='Codebook'!$F$33))</f>
        <v>1</v>
      </c>
      <c r="CG252" s="18">
        <f>IF(AO252="","",--(AO252='Codebook'!$F$34))</f>
        <v>1</v>
      </c>
      <c r="CH252" s="18">
        <f>IF(AP252="","",--(AP252='Codebook'!$F$35))</f>
        <v>1</v>
      </c>
      <c r="CI252" s="18">
        <f>IF(AQ252="","",--(AQ252='Codebook'!$F$36))</f>
        <v>1</v>
      </c>
      <c r="CJ252" s="18">
        <f>IF(AR252="","",--(AR252='Codebook'!$F$37))</f>
        <v>0</v>
      </c>
      <c r="CK252" s="18">
        <f>IF(AS252="","",--(AS252='Codebook'!$F$38))</f>
        <v>1</v>
      </c>
      <c r="CL252" s="18">
        <f>IF(AT252="","",--(AT252='Codebook'!$F$39))</f>
        <v>1</v>
      </c>
      <c r="CM252" s="18">
        <f>IF(AU252="","",--(AU252='Codebook'!$F$40))</f>
        <v>0</v>
      </c>
      <c r="CN252" s="18">
        <f>IF(AV252="","",--(AV252='Codebook'!$F$41))</f>
        <v>0</v>
      </c>
      <c r="CO252" s="18">
        <f>IF(AW252="","",--(AW252='Codebook'!$F$42))</f>
        <v>0</v>
      </c>
      <c r="CP252" s="18">
        <f>IF(AX252="","",--(AX252='Codebook'!$F$43))</f>
        <v>0</v>
      </c>
      <c r="CQ252" s="18">
        <f>IF(AY252="","",--(AY252='Codebook'!$F$44))</f>
        <v>0</v>
      </c>
      <c r="CR252" s="18">
        <f>IF(AZ252="","",--(AZ252='Codebook'!$F$45))</f>
        <v>1</v>
      </c>
    </row>
    <row r="253" spans="2:96" ht="24" customHeight="1">
      <c r="B253" s="18">
        <v>248</v>
      </c>
      <c r="C253" s="23">
        <v>46289.50092409722</v>
      </c>
      <c r="D253" s="21" t="s">
        <v>268</v>
      </c>
      <c r="E253" s="21" t="s">
        <v>194</v>
      </c>
      <c r="F253" s="21" t="s">
        <v>212</v>
      </c>
      <c r="G253" s="17" t="s">
        <v>247</v>
      </c>
      <c r="H253" s="21" t="s">
        <v>198</v>
      </c>
      <c r="I253" s="18">
        <f>SUM(BL253:BU253)</f>
        <v>5</v>
      </c>
      <c r="J253" s="18">
        <f>IF(COUNT(BV253:CD253)=9,SUM(BV253:CD253),"")</f>
        <v>5</v>
      </c>
      <c r="K253" s="18">
        <f>SUM(BL253:CD253)</f>
        <v>10</v>
      </c>
      <c r="L253" s="18">
        <f>--(K253&gt;='Codebook'!$C$8)</f>
        <v>0</v>
      </c>
      <c r="M253" s="18">
        <f>--(COUNT(BL253:CD253)=19)</f>
        <v>1</v>
      </c>
      <c r="N253" s="18">
        <f>SUM(CE253:CL253)</f>
        <v>7</v>
      </c>
      <c r="O253" s="18">
        <f>SUM(CM253:CR253)</f>
        <v>3</v>
      </c>
      <c r="P253" s="18">
        <f>N253+O253</f>
        <v>10</v>
      </c>
      <c r="Q253" s="21" t="s">
        <v>198</v>
      </c>
      <c r="R253" s="17" t="s">
        <v>152</v>
      </c>
      <c r="S253" s="18">
        <f>--OR(Overview!$B$6="All",E253=Overview!$B$6)*--OR(Overview!$F$6="All",F253=Overview!$F$6)*--OR(Overview!$J$6="All",G253=Overview!$J$6)*--OR(Overview!$N$6="All",H253=Overview!$N$6)</f>
        <v>1</v>
      </c>
      <c r="T253" s="21" t="s">
        <v>22</v>
      </c>
      <c r="U253" s="21" t="s">
        <v>26</v>
      </c>
      <c r="V253" s="21" t="s">
        <v>22</v>
      </c>
      <c r="W253" s="21" t="s">
        <v>22</v>
      </c>
      <c r="X253" s="21" t="s">
        <v>26</v>
      </c>
      <c r="Y253" s="21" t="s">
        <v>22</v>
      </c>
      <c r="Z253" s="21" t="s">
        <v>22</v>
      </c>
      <c r="AA253" s="21" t="s">
        <v>22</v>
      </c>
      <c r="AB253" s="21" t="s">
        <v>22</v>
      </c>
      <c r="AC253" s="21" t="s">
        <v>26</v>
      </c>
      <c r="AD253" s="21" t="s">
        <v>22</v>
      </c>
      <c r="AE253" s="21" t="s">
        <v>22</v>
      </c>
      <c r="AF253" s="21" t="s">
        <v>26</v>
      </c>
      <c r="AG253" s="21" t="s">
        <v>22</v>
      </c>
      <c r="AH253" s="21" t="s">
        <v>22</v>
      </c>
      <c r="AI253" s="21" t="s">
        <v>22</v>
      </c>
      <c r="AJ253" s="21" t="s">
        <v>22</v>
      </c>
      <c r="AK253" s="21" t="s">
        <v>26</v>
      </c>
      <c r="AL253" s="21" t="s">
        <v>22</v>
      </c>
      <c r="AM253" s="21" t="s">
        <v>83</v>
      </c>
      <c r="AN253" s="21" t="s">
        <v>83</v>
      </c>
      <c r="AO253" s="21" t="s">
        <v>83</v>
      </c>
      <c r="AP253" s="21" t="s">
        <v>109</v>
      </c>
      <c r="AQ253" s="21" t="s">
        <v>83</v>
      </c>
      <c r="AR253" s="21" t="s">
        <v>83</v>
      </c>
      <c r="AS253" s="21" t="s">
        <v>83</v>
      </c>
      <c r="AT253" s="21" t="s">
        <v>83</v>
      </c>
      <c r="AU253" s="21" t="s">
        <v>109</v>
      </c>
      <c r="AV253" s="21" t="s">
        <v>83</v>
      </c>
      <c r="AW253" s="21" t="s">
        <v>109</v>
      </c>
      <c r="AX253" s="21" t="s">
        <v>109</v>
      </c>
      <c r="AY253" s="21" t="s">
        <v>198</v>
      </c>
      <c r="AZ253" s="21" t="s">
        <v>198</v>
      </c>
      <c r="BA253" s="17" t="s">
        <v>223</v>
      </c>
      <c r="BB253" s="17" t="s">
        <v>223</v>
      </c>
      <c r="BC253" s="18">
        <f>--ISNUMBER(SEARCH("Radio or television",BA253))</f>
        <v>1</v>
      </c>
      <c r="BD253" s="18">
        <f>--ISNUMBER(SEARCH("Newspapers or print media",BA253))</f>
        <v>0</v>
      </c>
      <c r="BE253" s="18">
        <f>--ISNUMBER(SEARCH("Social media (e.g. Facebook, WhatsApp, YouTube, X/Twitter)",BA253))</f>
        <v>0</v>
      </c>
      <c r="BF253" s="18">
        <f>--ISNUMBER(SEARCH("Family members",BA253))</f>
        <v>0</v>
      </c>
      <c r="BG253" s="18">
        <f>--ISNUMBER(SEARCH("Friends or fellow students",BA253))</f>
        <v>0</v>
      </c>
      <c r="BH253" s="18">
        <f>--ISNUMBER(SEARCH("School coursework or lectures",BA253))</f>
        <v>0</v>
      </c>
      <c r="BI253" s="18">
        <f>--ISNUMBER(SEARCH("NHIMA outreach activities or NHIMA offices",BA253))</f>
        <v>0</v>
      </c>
      <c r="BJ253" s="18">
        <f>--ISNUMBER(SEARCH("Health facility staff",BA253))</f>
        <v>0</v>
      </c>
      <c r="BK253" s="18">
        <f>--ISNUMBER(SEARCH("not received information",BA253))</f>
        <v>0</v>
      </c>
      <c r="BL253" s="18">
        <f>IF(T253="","",--(T253='Codebook'!$F$13))</f>
        <v>1</v>
      </c>
      <c r="BM253" s="18">
        <f>IF(U253="","",--(U253='Codebook'!$F$14))</f>
        <v>1</v>
      </c>
      <c r="BN253" s="18">
        <f>IF(V253="","",--(V253='Codebook'!$F$15))</f>
        <v>0</v>
      </c>
      <c r="BO253" s="18">
        <f>IF(W253="","",--(W253='Codebook'!$F$16))</f>
        <v>1</v>
      </c>
      <c r="BP253" s="18">
        <f>IF(X253="","",--(X253='Codebook'!$F$17))</f>
        <v>0</v>
      </c>
      <c r="BQ253" s="18">
        <f>IF(Y253="","",--(Y253='Codebook'!$F$18))</f>
        <v>0</v>
      </c>
      <c r="BR253" s="18">
        <f>IF(Z253="","",--(Z253='Codebook'!$F$19))</f>
        <v>1</v>
      </c>
      <c r="BS253" s="18">
        <f>IF(AA253="","",--(AA253='Codebook'!$F$20))</f>
        <v>1</v>
      </c>
      <c r="BT253" s="18">
        <f>IF(AB253="","",--(AB253='Codebook'!$F$21))</f>
        <v>0</v>
      </c>
      <c r="BU253" s="18">
        <f>IF(AC253="","",--(AC253='Codebook'!$F$22))</f>
        <v>0</v>
      </c>
      <c r="BV253" s="18">
        <f>IF(AD253="","",--(AD253='Codebook'!$F$23))</f>
        <v>1</v>
      </c>
      <c r="BW253" s="18">
        <f>IF(AE253="","",--(AE253='Codebook'!$F$24))</f>
        <v>1</v>
      </c>
      <c r="BX253" s="18">
        <f>IF(AF253="","",--(AF253='Codebook'!$F$25))</f>
        <v>1</v>
      </c>
      <c r="BY253" s="18">
        <f>IF(AG253="","",--(AG253='Codebook'!$F$26))</f>
        <v>1</v>
      </c>
      <c r="BZ253" s="18">
        <f>IF(AH253="","",--(AH253='Codebook'!$F$27))</f>
        <v>1</v>
      </c>
      <c r="CA253" s="18">
        <f>IF(AI253="","",--(AI253='Codebook'!$F$28))</f>
        <v>0</v>
      </c>
      <c r="CB253" s="18">
        <f>IF(AJ253="","",--(AJ253='Codebook'!$F$29))</f>
        <v>0</v>
      </c>
      <c r="CC253" s="18">
        <f>IF(AK253="","",--(AK253='Codebook'!$F$30))</f>
        <v>0</v>
      </c>
      <c r="CD253" s="18">
        <f>IF(AL253="","",--(AL253='Codebook'!$F$31))</f>
        <v>0</v>
      </c>
      <c r="CE253" s="18">
        <f>IF(AM253="","",--(AM253='Codebook'!$F$32))</f>
        <v>1</v>
      </c>
      <c r="CF253" s="18">
        <f>IF(AN253="","",--(AN253='Codebook'!$F$33))</f>
        <v>1</v>
      </c>
      <c r="CG253" s="18">
        <f>IF(AO253="","",--(AO253='Codebook'!$F$34))</f>
        <v>1</v>
      </c>
      <c r="CH253" s="18">
        <f>IF(AP253="","",--(AP253='Codebook'!$F$35))</f>
        <v>0</v>
      </c>
      <c r="CI253" s="18">
        <f>IF(AQ253="","",--(AQ253='Codebook'!$F$36))</f>
        <v>1</v>
      </c>
      <c r="CJ253" s="18">
        <f>IF(AR253="","",--(AR253='Codebook'!$F$37))</f>
        <v>1</v>
      </c>
      <c r="CK253" s="18">
        <f>IF(AS253="","",--(AS253='Codebook'!$F$38))</f>
        <v>1</v>
      </c>
      <c r="CL253" s="18">
        <f>IF(AT253="","",--(AT253='Codebook'!$F$39))</f>
        <v>1</v>
      </c>
      <c r="CM253" s="18">
        <f>IF(AU253="","",--(AU253='Codebook'!$F$40))</f>
        <v>1</v>
      </c>
      <c r="CN253" s="18">
        <f>IF(AV253="","",--(AV253='Codebook'!$F$41))</f>
        <v>0</v>
      </c>
      <c r="CO253" s="18">
        <f>IF(AW253="","",--(AW253='Codebook'!$F$42))</f>
        <v>1</v>
      </c>
      <c r="CP253" s="18">
        <f>IF(AX253="","",--(AX253='Codebook'!$F$43))</f>
        <v>1</v>
      </c>
      <c r="CQ253" s="18">
        <f>IF(AY253="","",--(AY253='Codebook'!$F$44))</f>
        <v>0</v>
      </c>
      <c r="CR253" s="18">
        <f>IF(AZ253="","",--(AZ253='Codebook'!$F$45))</f>
        <v>0</v>
      </c>
    </row>
    <row r="254" spans="2:96" ht="24" customHeight="1">
      <c r="B254" s="18">
        <v>249</v>
      </c>
      <c r="C254" s="23">
        <v>46289.5015284375</v>
      </c>
      <c r="D254" s="21" t="s">
        <v>268</v>
      </c>
      <c r="E254" s="21" t="s">
        <v>206</v>
      </c>
      <c r="F254" s="21" t="s">
        <v>201</v>
      </c>
      <c r="G254" s="17" t="s">
        <v>196</v>
      </c>
      <c r="H254" s="21" t="s">
        <v>197</v>
      </c>
      <c r="I254" s="18">
        <f>SUM(BL254:BU254)</f>
        <v>4</v>
      </c>
      <c r="J254" s="18">
        <f>IF(COUNT(BV254:CD254)=9,SUM(BV254:CD254),"")</f>
        <v>4</v>
      </c>
      <c r="K254" s="18">
        <f>SUM(BL254:CD254)</f>
        <v>8</v>
      </c>
      <c r="L254" s="18">
        <f>--(K254&gt;='Codebook'!$C$8)</f>
        <v>0</v>
      </c>
      <c r="M254" s="18">
        <f>--(COUNT(BL254:CD254)=19)</f>
        <v>1</v>
      </c>
      <c r="N254" s="18">
        <f>SUM(CE254:CL254)</f>
        <v>4</v>
      </c>
      <c r="O254" s="18">
        <f>SUM(CM254:CR254)</f>
        <v>1</v>
      </c>
      <c r="P254" s="18">
        <f>N254+O254</f>
        <v>5</v>
      </c>
      <c r="Q254" s="21" t="s">
        <v>198</v>
      </c>
      <c r="R254" s="17" t="s">
        <v>154</v>
      </c>
      <c r="S254" s="18">
        <f>--OR(Overview!$B$6="All",E254=Overview!$B$6)*--OR(Overview!$F$6="All",F254=Overview!$F$6)*--OR(Overview!$J$6="All",G254=Overview!$J$6)*--OR(Overview!$N$6="All",H254=Overview!$N$6)</f>
        <v>1</v>
      </c>
      <c r="T254" s="21" t="s">
        <v>26</v>
      </c>
      <c r="U254" s="21" t="s">
        <v>22</v>
      </c>
      <c r="V254" s="21" t="s">
        <v>22</v>
      </c>
      <c r="W254" s="21" t="s">
        <v>22</v>
      </c>
      <c r="X254" s="21" t="s">
        <v>26</v>
      </c>
      <c r="Y254" s="21" t="s">
        <v>22</v>
      </c>
      <c r="Z254" s="21" t="s">
        <v>22</v>
      </c>
      <c r="AA254" s="21" t="s">
        <v>22</v>
      </c>
      <c r="AB254" s="21" t="s">
        <v>22</v>
      </c>
      <c r="AC254" s="21" t="s">
        <v>22</v>
      </c>
      <c r="AD254" s="21" t="s">
        <v>22</v>
      </c>
      <c r="AE254" s="21" t="s">
        <v>26</v>
      </c>
      <c r="AF254" s="21" t="s">
        <v>22</v>
      </c>
      <c r="AG254" s="21" t="s">
        <v>22</v>
      </c>
      <c r="AH254" s="21" t="s">
        <v>26</v>
      </c>
      <c r="AI254" s="21" t="s">
        <v>22</v>
      </c>
      <c r="AJ254" s="21" t="s">
        <v>26</v>
      </c>
      <c r="AK254" s="21" t="s">
        <v>22</v>
      </c>
      <c r="AL254" s="21" t="s">
        <v>22</v>
      </c>
      <c r="AM254" s="21" t="s">
        <v>83</v>
      </c>
      <c r="AN254" s="21" t="s">
        <v>109</v>
      </c>
      <c r="AO254" s="21" t="s">
        <v>83</v>
      </c>
      <c r="AP254" s="21" t="s">
        <v>83</v>
      </c>
      <c r="AQ254" s="21" t="s">
        <v>109</v>
      </c>
      <c r="AR254" s="21" t="s">
        <v>198</v>
      </c>
      <c r="AS254" s="21" t="s">
        <v>83</v>
      </c>
      <c r="AT254" s="21" t="s">
        <v>109</v>
      </c>
      <c r="AU254" s="21" t="s">
        <v>198</v>
      </c>
      <c r="AV254" s="21" t="s">
        <v>83</v>
      </c>
      <c r="AW254" s="21" t="s">
        <v>198</v>
      </c>
      <c r="AX254" s="21" t="s">
        <v>83</v>
      </c>
      <c r="AY254" s="21" t="s">
        <v>83</v>
      </c>
      <c r="AZ254" s="21" t="s">
        <v>109</v>
      </c>
      <c r="BA254" s="17" t="s">
        <v>246</v>
      </c>
      <c r="BB254" s="17" t="s">
        <v>250</v>
      </c>
      <c r="BC254" s="18">
        <f>--ISNUMBER(SEARCH("Radio or television",BA254))</f>
        <v>1</v>
      </c>
      <c r="BD254" s="18">
        <f>--ISNUMBER(SEARCH("Newspapers or print media",BA254))</f>
        <v>0</v>
      </c>
      <c r="BE254" s="18">
        <f>--ISNUMBER(SEARCH("Social media (e.g. Facebook, WhatsApp, YouTube, X/Twitter)",BA254))</f>
        <v>1</v>
      </c>
      <c r="BF254" s="18">
        <f>--ISNUMBER(SEARCH("Family members",BA254))</f>
        <v>0</v>
      </c>
      <c r="BG254" s="18">
        <f>--ISNUMBER(SEARCH("Friends or fellow students",BA254))</f>
        <v>0</v>
      </c>
      <c r="BH254" s="18">
        <f>--ISNUMBER(SEARCH("School coursework or lectures",BA254))</f>
        <v>0</v>
      </c>
      <c r="BI254" s="18">
        <f>--ISNUMBER(SEARCH("NHIMA outreach activities or NHIMA offices",BA254))</f>
        <v>0</v>
      </c>
      <c r="BJ254" s="18">
        <f>--ISNUMBER(SEARCH("Health facility staff",BA254))</f>
        <v>0</v>
      </c>
      <c r="BK254" s="18">
        <f>--ISNUMBER(SEARCH("not received information",BA254))</f>
        <v>0</v>
      </c>
      <c r="BL254" s="18">
        <f>IF(T254="","",--(T254='Codebook'!$F$13))</f>
        <v>0</v>
      </c>
      <c r="BM254" s="18">
        <f>IF(U254="","",--(U254='Codebook'!$F$14))</f>
        <v>0</v>
      </c>
      <c r="BN254" s="18">
        <f>IF(V254="","",--(V254='Codebook'!$F$15))</f>
        <v>0</v>
      </c>
      <c r="BO254" s="18">
        <f>IF(W254="","",--(W254='Codebook'!$F$16))</f>
        <v>1</v>
      </c>
      <c r="BP254" s="18">
        <f>IF(X254="","",--(X254='Codebook'!$F$17))</f>
        <v>0</v>
      </c>
      <c r="BQ254" s="18">
        <f>IF(Y254="","",--(Y254='Codebook'!$F$18))</f>
        <v>0</v>
      </c>
      <c r="BR254" s="18">
        <f>IF(Z254="","",--(Z254='Codebook'!$F$19))</f>
        <v>1</v>
      </c>
      <c r="BS254" s="18">
        <f>IF(AA254="","",--(AA254='Codebook'!$F$20))</f>
        <v>1</v>
      </c>
      <c r="BT254" s="18">
        <f>IF(AB254="","",--(AB254='Codebook'!$F$21))</f>
        <v>0</v>
      </c>
      <c r="BU254" s="18">
        <f>IF(AC254="","",--(AC254='Codebook'!$F$22))</f>
        <v>1</v>
      </c>
      <c r="BV254" s="18">
        <f>IF(AD254="","",--(AD254='Codebook'!$F$23))</f>
        <v>1</v>
      </c>
      <c r="BW254" s="18">
        <f>IF(AE254="","",--(AE254='Codebook'!$F$24))</f>
        <v>0</v>
      </c>
      <c r="BX254" s="18">
        <f>IF(AF254="","",--(AF254='Codebook'!$F$25))</f>
        <v>0</v>
      </c>
      <c r="BY254" s="18">
        <f>IF(AG254="","",--(AG254='Codebook'!$F$26))</f>
        <v>1</v>
      </c>
      <c r="BZ254" s="18">
        <f>IF(AH254="","",--(AH254='Codebook'!$F$27))</f>
        <v>0</v>
      </c>
      <c r="CA254" s="18">
        <f>IF(AI254="","",--(AI254='Codebook'!$F$28))</f>
        <v>0</v>
      </c>
      <c r="CB254" s="18">
        <f>IF(AJ254="","",--(AJ254='Codebook'!$F$29))</f>
        <v>1</v>
      </c>
      <c r="CC254" s="18">
        <f>IF(AK254="","",--(AK254='Codebook'!$F$30))</f>
        <v>1</v>
      </c>
      <c r="CD254" s="18">
        <f>IF(AL254="","",--(AL254='Codebook'!$F$31))</f>
        <v>0</v>
      </c>
      <c r="CE254" s="18">
        <f>IF(AM254="","",--(AM254='Codebook'!$F$32))</f>
        <v>1</v>
      </c>
      <c r="CF254" s="18">
        <f>IF(AN254="","",--(AN254='Codebook'!$F$33))</f>
        <v>0</v>
      </c>
      <c r="CG254" s="18">
        <f>IF(AO254="","",--(AO254='Codebook'!$F$34))</f>
        <v>1</v>
      </c>
      <c r="CH254" s="18">
        <f>IF(AP254="","",--(AP254='Codebook'!$F$35))</f>
        <v>1</v>
      </c>
      <c r="CI254" s="18">
        <f>IF(AQ254="","",--(AQ254='Codebook'!$F$36))</f>
        <v>0</v>
      </c>
      <c r="CJ254" s="18">
        <f>IF(AR254="","",--(AR254='Codebook'!$F$37))</f>
        <v>0</v>
      </c>
      <c r="CK254" s="18">
        <f>IF(AS254="","",--(AS254='Codebook'!$F$38))</f>
        <v>1</v>
      </c>
      <c r="CL254" s="18">
        <f>IF(AT254="","",--(AT254='Codebook'!$F$39))</f>
        <v>0</v>
      </c>
      <c r="CM254" s="18">
        <f>IF(AU254="","",--(AU254='Codebook'!$F$40))</f>
        <v>0</v>
      </c>
      <c r="CN254" s="18">
        <f>IF(AV254="","",--(AV254='Codebook'!$F$41))</f>
        <v>0</v>
      </c>
      <c r="CO254" s="18">
        <f>IF(AW254="","",--(AW254='Codebook'!$F$42))</f>
        <v>0</v>
      </c>
      <c r="CP254" s="18">
        <f>IF(AX254="","",--(AX254='Codebook'!$F$43))</f>
        <v>0</v>
      </c>
      <c r="CQ254" s="18">
        <f>IF(AY254="","",--(AY254='Codebook'!$F$44))</f>
        <v>0</v>
      </c>
      <c r="CR254" s="18">
        <f>IF(AZ254="","",--(AZ254='Codebook'!$F$45))</f>
        <v>1</v>
      </c>
    </row>
    <row r="255" spans="2:96" ht="24" customHeight="1">
      <c r="B255" s="18">
        <v>250</v>
      </c>
      <c r="C255" s="23">
        <v>46289.50223707176</v>
      </c>
      <c r="D255" s="21" t="s">
        <v>275</v>
      </c>
      <c r="E255" s="21" t="s">
        <v>206</v>
      </c>
      <c r="F255" s="21" t="s">
        <v>195</v>
      </c>
      <c r="G255" s="17" t="s">
        <v>247</v>
      </c>
      <c r="H255" s="21" t="s">
        <v>207</v>
      </c>
      <c r="I255" s="18">
        <f>SUM(BL255:BU255)</f>
        <v>4</v>
      </c>
      <c r="J255" s="18">
        <f>IF(COUNT(BV255:CD255)=9,SUM(BV255:CD255),"")</f>
        <v>5</v>
      </c>
      <c r="K255" s="18">
        <f>SUM(BL255:CD255)</f>
        <v>9</v>
      </c>
      <c r="L255" s="18">
        <f>--(K255&gt;='Codebook'!$C$8)</f>
        <v>0</v>
      </c>
      <c r="M255" s="18">
        <f>--(COUNT(BL255:CD255)=19)</f>
        <v>1</v>
      </c>
      <c r="N255" s="18">
        <f>SUM(CE255:CL255)</f>
        <v>5</v>
      </c>
      <c r="O255" s="18">
        <f>SUM(CM255:CR255)</f>
        <v>1</v>
      </c>
      <c r="P255" s="18">
        <f>N255+O255</f>
        <v>6</v>
      </c>
      <c r="Q255" s="21" t="s">
        <v>198</v>
      </c>
      <c r="R255" s="17" t="s">
        <v>155</v>
      </c>
      <c r="S255" s="18">
        <f>--OR(Overview!$B$6="All",E255=Overview!$B$6)*--OR(Overview!$F$6="All",F255=Overview!$F$6)*--OR(Overview!$J$6="All",G255=Overview!$J$6)*--OR(Overview!$N$6="All",H255=Overview!$N$6)</f>
        <v>1</v>
      </c>
      <c r="T255" s="21" t="s">
        <v>198</v>
      </c>
      <c r="U255" s="21" t="s">
        <v>22</v>
      </c>
      <c r="V255" s="21" t="s">
        <v>26</v>
      </c>
      <c r="W255" s="21" t="s">
        <v>198</v>
      </c>
      <c r="X255" s="21" t="s">
        <v>22</v>
      </c>
      <c r="Y255" s="21" t="s">
        <v>26</v>
      </c>
      <c r="Z255" s="21" t="s">
        <v>26</v>
      </c>
      <c r="AA255" s="21" t="s">
        <v>22</v>
      </c>
      <c r="AB255" s="21" t="s">
        <v>22</v>
      </c>
      <c r="AC255" s="21" t="s">
        <v>26</v>
      </c>
      <c r="AD255" s="21" t="s">
        <v>22</v>
      </c>
      <c r="AE255" s="21" t="s">
        <v>22</v>
      </c>
      <c r="AF255" s="21" t="s">
        <v>26</v>
      </c>
      <c r="AG255" s="21" t="s">
        <v>22</v>
      </c>
      <c r="AH255" s="21" t="s">
        <v>26</v>
      </c>
      <c r="AI255" s="21" t="s">
        <v>22</v>
      </c>
      <c r="AJ255" s="21" t="s">
        <v>22</v>
      </c>
      <c r="AK255" s="21" t="s">
        <v>22</v>
      </c>
      <c r="AL255" s="21" t="s">
        <v>22</v>
      </c>
      <c r="AM255" s="21" t="s">
        <v>109</v>
      </c>
      <c r="AN255" s="21" t="s">
        <v>83</v>
      </c>
      <c r="AO255" s="21" t="s">
        <v>83</v>
      </c>
      <c r="AP255" s="21" t="s">
        <v>83</v>
      </c>
      <c r="AQ255" s="21" t="s">
        <v>83</v>
      </c>
      <c r="AR255" s="21" t="s">
        <v>109</v>
      </c>
      <c r="AS255" s="21" t="s">
        <v>83</v>
      </c>
      <c r="AT255" s="21" t="s">
        <v>109</v>
      </c>
      <c r="AU255" s="21" t="s">
        <v>83</v>
      </c>
      <c r="AV255" s="21" t="s">
        <v>109</v>
      </c>
      <c r="AW255" s="21" t="s">
        <v>83</v>
      </c>
      <c r="AX255" s="21" t="s">
        <v>83</v>
      </c>
      <c r="AY255" s="21" t="s">
        <v>83</v>
      </c>
      <c r="AZ255" s="21" t="s">
        <v>198</v>
      </c>
      <c r="BA255" s="17" t="s">
        <v>291</v>
      </c>
      <c r="BB255" s="17" t="s">
        <v>219</v>
      </c>
      <c r="BC255" s="18">
        <f>--ISNUMBER(SEARCH("Radio or television",BA255))</f>
        <v>0</v>
      </c>
      <c r="BD255" s="18">
        <f>--ISNUMBER(SEARCH("Newspapers or print media",BA255))</f>
        <v>0</v>
      </c>
      <c r="BE255" s="18">
        <f>--ISNUMBER(SEARCH("Social media (e.g. Facebook, WhatsApp, YouTube, X/Twitter)",BA255))</f>
        <v>0</v>
      </c>
      <c r="BF255" s="18">
        <f>--ISNUMBER(SEARCH("Family members",BA255))</f>
        <v>1</v>
      </c>
      <c r="BG255" s="18">
        <f>--ISNUMBER(SEARCH("Friends or fellow students",BA255))</f>
        <v>1</v>
      </c>
      <c r="BH255" s="18">
        <f>--ISNUMBER(SEARCH("School coursework or lectures",BA255))</f>
        <v>0</v>
      </c>
      <c r="BI255" s="18">
        <f>--ISNUMBER(SEARCH("NHIMA outreach activities or NHIMA offices",BA255))</f>
        <v>0</v>
      </c>
      <c r="BJ255" s="18">
        <f>--ISNUMBER(SEARCH("Health facility staff",BA255))</f>
        <v>0</v>
      </c>
      <c r="BK255" s="18">
        <f>--ISNUMBER(SEARCH("not received information",BA255))</f>
        <v>0</v>
      </c>
      <c r="BL255" s="18">
        <f>IF(T255="","",--(T255='Codebook'!$F$13))</f>
        <v>0</v>
      </c>
      <c r="BM255" s="18">
        <f>IF(U255="","",--(U255='Codebook'!$F$14))</f>
        <v>0</v>
      </c>
      <c r="BN255" s="18">
        <f>IF(V255="","",--(V255='Codebook'!$F$15))</f>
        <v>1</v>
      </c>
      <c r="BO255" s="18">
        <f>IF(W255="","",--(W255='Codebook'!$F$16))</f>
        <v>0</v>
      </c>
      <c r="BP255" s="18">
        <f>IF(X255="","",--(X255='Codebook'!$F$17))</f>
        <v>1</v>
      </c>
      <c r="BQ255" s="18">
        <f>IF(Y255="","",--(Y255='Codebook'!$F$18))</f>
        <v>1</v>
      </c>
      <c r="BR255" s="18">
        <f>IF(Z255="","",--(Z255='Codebook'!$F$19))</f>
        <v>0</v>
      </c>
      <c r="BS255" s="18">
        <f>IF(AA255="","",--(AA255='Codebook'!$F$20))</f>
        <v>1</v>
      </c>
      <c r="BT255" s="18">
        <f>IF(AB255="","",--(AB255='Codebook'!$F$21))</f>
        <v>0</v>
      </c>
      <c r="BU255" s="18">
        <f>IF(AC255="","",--(AC255='Codebook'!$F$22))</f>
        <v>0</v>
      </c>
      <c r="BV255" s="18">
        <f>IF(AD255="","",--(AD255='Codebook'!$F$23))</f>
        <v>1</v>
      </c>
      <c r="BW255" s="18">
        <f>IF(AE255="","",--(AE255='Codebook'!$F$24))</f>
        <v>1</v>
      </c>
      <c r="BX255" s="18">
        <f>IF(AF255="","",--(AF255='Codebook'!$F$25))</f>
        <v>1</v>
      </c>
      <c r="BY255" s="18">
        <f>IF(AG255="","",--(AG255='Codebook'!$F$26))</f>
        <v>1</v>
      </c>
      <c r="BZ255" s="18">
        <f>IF(AH255="","",--(AH255='Codebook'!$F$27))</f>
        <v>0</v>
      </c>
      <c r="CA255" s="18">
        <f>IF(AI255="","",--(AI255='Codebook'!$F$28))</f>
        <v>0</v>
      </c>
      <c r="CB255" s="18">
        <f>IF(AJ255="","",--(AJ255='Codebook'!$F$29))</f>
        <v>0</v>
      </c>
      <c r="CC255" s="18">
        <f>IF(AK255="","",--(AK255='Codebook'!$F$30))</f>
        <v>1</v>
      </c>
      <c r="CD255" s="18">
        <f>IF(AL255="","",--(AL255='Codebook'!$F$31))</f>
        <v>0</v>
      </c>
      <c r="CE255" s="18">
        <f>IF(AM255="","",--(AM255='Codebook'!$F$32))</f>
        <v>0</v>
      </c>
      <c r="CF255" s="18">
        <f>IF(AN255="","",--(AN255='Codebook'!$F$33))</f>
        <v>1</v>
      </c>
      <c r="CG255" s="18">
        <f>IF(AO255="","",--(AO255='Codebook'!$F$34))</f>
        <v>1</v>
      </c>
      <c r="CH255" s="18">
        <f>IF(AP255="","",--(AP255='Codebook'!$F$35))</f>
        <v>1</v>
      </c>
      <c r="CI255" s="18">
        <f>IF(AQ255="","",--(AQ255='Codebook'!$F$36))</f>
        <v>1</v>
      </c>
      <c r="CJ255" s="18">
        <f>IF(AR255="","",--(AR255='Codebook'!$F$37))</f>
        <v>0</v>
      </c>
      <c r="CK255" s="18">
        <f>IF(AS255="","",--(AS255='Codebook'!$F$38))</f>
        <v>1</v>
      </c>
      <c r="CL255" s="18">
        <f>IF(AT255="","",--(AT255='Codebook'!$F$39))</f>
        <v>0</v>
      </c>
      <c r="CM255" s="18">
        <f>IF(AU255="","",--(AU255='Codebook'!$F$40))</f>
        <v>0</v>
      </c>
      <c r="CN255" s="18">
        <f>IF(AV255="","",--(AV255='Codebook'!$F$41))</f>
        <v>1</v>
      </c>
      <c r="CO255" s="18">
        <f>IF(AW255="","",--(AW255='Codebook'!$F$42))</f>
        <v>0</v>
      </c>
      <c r="CP255" s="18">
        <f>IF(AX255="","",--(AX255='Codebook'!$F$43))</f>
        <v>0</v>
      </c>
      <c r="CQ255" s="18">
        <f>IF(AY255="","",--(AY255='Codebook'!$F$44))</f>
        <v>0</v>
      </c>
      <c r="CR255" s="18">
        <f>IF(AZ255="","",--(AZ255='Codebook'!$F$45))</f>
        <v>0</v>
      </c>
    </row>
    <row r="256" spans="2:96" ht="24" customHeight="1">
      <c r="B256" s="18">
        <v>251</v>
      </c>
      <c r="C256" s="23">
        <v>46289.50286601852</v>
      </c>
      <c r="D256" s="21" t="s">
        <v>268</v>
      </c>
      <c r="E256" s="21" t="s">
        <v>194</v>
      </c>
      <c r="F256" s="21" t="s">
        <v>195</v>
      </c>
      <c r="G256" s="17" t="s">
        <v>215</v>
      </c>
      <c r="H256" s="21" t="s">
        <v>198</v>
      </c>
      <c r="I256" s="18">
        <f>SUM(BL256:BU256)</f>
        <v>6</v>
      </c>
      <c r="J256" s="18">
        <f>IF(COUNT(BV256:CD256)=9,SUM(BV256:CD256),"")</f>
        <v>5</v>
      </c>
      <c r="K256" s="18">
        <f>SUM(BL256:CD256)</f>
        <v>11</v>
      </c>
      <c r="L256" s="18">
        <f>--(K256&gt;='Codebook'!$C$8)</f>
        <v>0</v>
      </c>
      <c r="M256" s="18">
        <f>--(COUNT(BL256:CD256)=19)</f>
        <v>1</v>
      </c>
      <c r="N256" s="18">
        <f>SUM(CE256:CL256)</f>
        <v>7</v>
      </c>
      <c r="O256" s="18">
        <f>SUM(CM256:CR256)</f>
        <v>1</v>
      </c>
      <c r="P256" s="18">
        <f>N256+O256</f>
        <v>8</v>
      </c>
      <c r="Q256" s="21" t="s">
        <v>198</v>
      </c>
      <c r="R256" s="17" t="s">
        <v>156</v>
      </c>
      <c r="S256" s="18">
        <f>--OR(Overview!$B$6="All",E256=Overview!$B$6)*--OR(Overview!$F$6="All",F256=Overview!$F$6)*--OR(Overview!$J$6="All",G256=Overview!$J$6)*--OR(Overview!$N$6="All",H256=Overview!$N$6)</f>
        <v>1</v>
      </c>
      <c r="T256" s="21" t="s">
        <v>22</v>
      </c>
      <c r="U256" s="21" t="s">
        <v>198</v>
      </c>
      <c r="V256" s="21" t="s">
        <v>22</v>
      </c>
      <c r="W256" s="21" t="s">
        <v>22</v>
      </c>
      <c r="X256" s="21" t="s">
        <v>26</v>
      </c>
      <c r="Y256" s="21" t="s">
        <v>22</v>
      </c>
      <c r="Z256" s="21" t="s">
        <v>22</v>
      </c>
      <c r="AA256" s="21" t="s">
        <v>22</v>
      </c>
      <c r="AB256" s="21" t="s">
        <v>26</v>
      </c>
      <c r="AC256" s="21" t="s">
        <v>22</v>
      </c>
      <c r="AD256" s="21" t="s">
        <v>22</v>
      </c>
      <c r="AE256" s="21" t="s">
        <v>22</v>
      </c>
      <c r="AF256" s="21" t="s">
        <v>22</v>
      </c>
      <c r="AG256" s="21" t="s">
        <v>22</v>
      </c>
      <c r="AH256" s="21" t="s">
        <v>22</v>
      </c>
      <c r="AI256" s="21" t="s">
        <v>22</v>
      </c>
      <c r="AJ256" s="21" t="s">
        <v>22</v>
      </c>
      <c r="AK256" s="21" t="s">
        <v>22</v>
      </c>
      <c r="AL256" s="21" t="s">
        <v>22</v>
      </c>
      <c r="AM256" s="21" t="s">
        <v>83</v>
      </c>
      <c r="AN256" s="21" t="s">
        <v>109</v>
      </c>
      <c r="AO256" s="21" t="s">
        <v>83</v>
      </c>
      <c r="AP256" s="21" t="s">
        <v>83</v>
      </c>
      <c r="AQ256" s="21" t="s">
        <v>83</v>
      </c>
      <c r="AR256" s="21" t="s">
        <v>83</v>
      </c>
      <c r="AS256" s="21" t="s">
        <v>83</v>
      </c>
      <c r="AT256" s="21" t="s">
        <v>83</v>
      </c>
      <c r="AU256" s="21" t="s">
        <v>83</v>
      </c>
      <c r="AV256" s="21" t="s">
        <v>83</v>
      </c>
      <c r="AW256" s="21" t="s">
        <v>83</v>
      </c>
      <c r="AX256" s="21" t="s">
        <v>83</v>
      </c>
      <c r="AY256" s="21" t="s">
        <v>109</v>
      </c>
      <c r="AZ256" s="21" t="s">
        <v>198</v>
      </c>
      <c r="BA256" s="17" t="s">
        <v>313</v>
      </c>
      <c r="BB256" s="17" t="s">
        <v>313</v>
      </c>
      <c r="BC256" s="18">
        <f>--ISNUMBER(SEARCH("Radio or television",BA256))</f>
        <v>0</v>
      </c>
      <c r="BD256" s="18">
        <f>--ISNUMBER(SEARCH("Newspapers or print media",BA256))</f>
        <v>0</v>
      </c>
      <c r="BE256" s="18">
        <f>--ISNUMBER(SEARCH("Social media (e.g. Facebook, WhatsApp, YouTube, X/Twitter)",BA256))</f>
        <v>0</v>
      </c>
      <c r="BF256" s="18">
        <f>--ISNUMBER(SEARCH("Family members",BA256))</f>
        <v>0</v>
      </c>
      <c r="BG256" s="18">
        <f>--ISNUMBER(SEARCH("Friends or fellow students",BA256))</f>
        <v>1</v>
      </c>
      <c r="BH256" s="18">
        <f>--ISNUMBER(SEARCH("School coursework or lectures",BA256))</f>
        <v>0</v>
      </c>
      <c r="BI256" s="18">
        <f>--ISNUMBER(SEARCH("NHIMA outreach activities or NHIMA offices",BA256))</f>
        <v>0</v>
      </c>
      <c r="BJ256" s="18">
        <f>--ISNUMBER(SEARCH("Health facility staff",BA256))</f>
        <v>0</v>
      </c>
      <c r="BK256" s="18">
        <f>--ISNUMBER(SEARCH("not received information",BA256))</f>
        <v>0</v>
      </c>
      <c r="BL256" s="18">
        <f>IF(T256="","",--(T256='Codebook'!$F$13))</f>
        <v>1</v>
      </c>
      <c r="BM256" s="18">
        <f>IF(U256="","",--(U256='Codebook'!$F$14))</f>
        <v>0</v>
      </c>
      <c r="BN256" s="18">
        <f>IF(V256="","",--(V256='Codebook'!$F$15))</f>
        <v>0</v>
      </c>
      <c r="BO256" s="18">
        <f>IF(W256="","",--(W256='Codebook'!$F$16))</f>
        <v>1</v>
      </c>
      <c r="BP256" s="18">
        <f>IF(X256="","",--(X256='Codebook'!$F$17))</f>
        <v>0</v>
      </c>
      <c r="BQ256" s="18">
        <f>IF(Y256="","",--(Y256='Codebook'!$F$18))</f>
        <v>0</v>
      </c>
      <c r="BR256" s="18">
        <f>IF(Z256="","",--(Z256='Codebook'!$F$19))</f>
        <v>1</v>
      </c>
      <c r="BS256" s="18">
        <f>IF(AA256="","",--(AA256='Codebook'!$F$20))</f>
        <v>1</v>
      </c>
      <c r="BT256" s="18">
        <f>IF(AB256="","",--(AB256='Codebook'!$F$21))</f>
        <v>1</v>
      </c>
      <c r="BU256" s="18">
        <f>IF(AC256="","",--(AC256='Codebook'!$F$22))</f>
        <v>1</v>
      </c>
      <c r="BV256" s="18">
        <f>IF(AD256="","",--(AD256='Codebook'!$F$23))</f>
        <v>1</v>
      </c>
      <c r="BW256" s="18">
        <f>IF(AE256="","",--(AE256='Codebook'!$F$24))</f>
        <v>1</v>
      </c>
      <c r="BX256" s="18">
        <f>IF(AF256="","",--(AF256='Codebook'!$F$25))</f>
        <v>0</v>
      </c>
      <c r="BY256" s="18">
        <f>IF(AG256="","",--(AG256='Codebook'!$F$26))</f>
        <v>1</v>
      </c>
      <c r="BZ256" s="18">
        <f>IF(AH256="","",--(AH256='Codebook'!$F$27))</f>
        <v>1</v>
      </c>
      <c r="CA256" s="18">
        <f>IF(AI256="","",--(AI256='Codebook'!$F$28))</f>
        <v>0</v>
      </c>
      <c r="CB256" s="18">
        <f>IF(AJ256="","",--(AJ256='Codebook'!$F$29))</f>
        <v>0</v>
      </c>
      <c r="CC256" s="18">
        <f>IF(AK256="","",--(AK256='Codebook'!$F$30))</f>
        <v>1</v>
      </c>
      <c r="CD256" s="18">
        <f>IF(AL256="","",--(AL256='Codebook'!$F$31))</f>
        <v>0</v>
      </c>
      <c r="CE256" s="18">
        <f>IF(AM256="","",--(AM256='Codebook'!$F$32))</f>
        <v>1</v>
      </c>
      <c r="CF256" s="18">
        <f>IF(AN256="","",--(AN256='Codebook'!$F$33))</f>
        <v>0</v>
      </c>
      <c r="CG256" s="18">
        <f>IF(AO256="","",--(AO256='Codebook'!$F$34))</f>
        <v>1</v>
      </c>
      <c r="CH256" s="18">
        <f>IF(AP256="","",--(AP256='Codebook'!$F$35))</f>
        <v>1</v>
      </c>
      <c r="CI256" s="18">
        <f>IF(AQ256="","",--(AQ256='Codebook'!$F$36))</f>
        <v>1</v>
      </c>
      <c r="CJ256" s="18">
        <f>IF(AR256="","",--(AR256='Codebook'!$F$37))</f>
        <v>1</v>
      </c>
      <c r="CK256" s="18">
        <f>IF(AS256="","",--(AS256='Codebook'!$F$38))</f>
        <v>1</v>
      </c>
      <c r="CL256" s="18">
        <f>IF(AT256="","",--(AT256='Codebook'!$F$39))</f>
        <v>1</v>
      </c>
      <c r="CM256" s="18">
        <f>IF(AU256="","",--(AU256='Codebook'!$F$40))</f>
        <v>0</v>
      </c>
      <c r="CN256" s="18">
        <f>IF(AV256="","",--(AV256='Codebook'!$F$41))</f>
        <v>0</v>
      </c>
      <c r="CO256" s="18">
        <f>IF(AW256="","",--(AW256='Codebook'!$F$42))</f>
        <v>0</v>
      </c>
      <c r="CP256" s="18">
        <f>IF(AX256="","",--(AX256='Codebook'!$F$43))</f>
        <v>0</v>
      </c>
      <c r="CQ256" s="18">
        <f>IF(AY256="","",--(AY256='Codebook'!$F$44))</f>
        <v>1</v>
      </c>
      <c r="CR256" s="18">
        <f>IF(AZ256="","",--(AZ256='Codebook'!$F$45))</f>
        <v>0</v>
      </c>
    </row>
    <row r="257" spans="2:96" ht="24" customHeight="1">
      <c r="B257" s="18">
        <v>252</v>
      </c>
      <c r="C257" s="23">
        <v>46289.50351866898</v>
      </c>
      <c r="D257" s="21" t="s">
        <v>275</v>
      </c>
      <c r="E257" s="21" t="s">
        <v>206</v>
      </c>
      <c r="F257" s="21" t="s">
        <v>226</v>
      </c>
      <c r="G257" s="17" t="s">
        <v>196</v>
      </c>
      <c r="H257" s="21" t="s">
        <v>207</v>
      </c>
      <c r="I257" s="18">
        <f>SUM(BL257:BU257)</f>
        <v>5</v>
      </c>
      <c r="J257" s="18">
        <f>IF(COUNT(BV257:CD257)=9,SUM(BV257:CD257),"")</f>
        <v>5</v>
      </c>
      <c r="K257" s="18">
        <f>SUM(BL257:CD257)</f>
        <v>10</v>
      </c>
      <c r="L257" s="18">
        <f>--(K257&gt;='Codebook'!$C$8)</f>
        <v>0</v>
      </c>
      <c r="M257" s="18">
        <f>--(COUNT(BL257:CD257)=19)</f>
        <v>1</v>
      </c>
      <c r="N257" s="18">
        <f>SUM(CE257:CL257)</f>
        <v>7</v>
      </c>
      <c r="O257" s="18">
        <f>SUM(CM257:CR257)</f>
        <v>5</v>
      </c>
      <c r="P257" s="18">
        <f>N257+O257</f>
        <v>12</v>
      </c>
      <c r="Q257" s="21"/>
      <c r="R257" s="17" t="s">
        <v>156</v>
      </c>
      <c r="S257" s="18">
        <f>--OR(Overview!$B$6="All",E257=Overview!$B$6)*--OR(Overview!$F$6="All",F257=Overview!$F$6)*--OR(Overview!$J$6="All",G257=Overview!$J$6)*--OR(Overview!$N$6="All",H257=Overview!$N$6)</f>
        <v>1</v>
      </c>
      <c r="T257" s="21" t="s">
        <v>22</v>
      </c>
      <c r="U257" s="21" t="s">
        <v>22</v>
      </c>
      <c r="V257" s="21" t="s">
        <v>22</v>
      </c>
      <c r="W257" s="21" t="s">
        <v>26</v>
      </c>
      <c r="X257" s="21" t="s">
        <v>22</v>
      </c>
      <c r="Y257" s="21" t="s">
        <v>22</v>
      </c>
      <c r="Z257" s="21" t="s">
        <v>22</v>
      </c>
      <c r="AA257" s="21" t="s">
        <v>22</v>
      </c>
      <c r="AB257" s="21" t="s">
        <v>26</v>
      </c>
      <c r="AC257" s="21" t="s">
        <v>198</v>
      </c>
      <c r="AD257" s="21" t="s">
        <v>26</v>
      </c>
      <c r="AE257" s="21" t="s">
        <v>22</v>
      </c>
      <c r="AF257" s="21" t="s">
        <v>22</v>
      </c>
      <c r="AG257" s="21" t="s">
        <v>22</v>
      </c>
      <c r="AH257" s="21" t="s">
        <v>22</v>
      </c>
      <c r="AI257" s="21" t="s">
        <v>22</v>
      </c>
      <c r="AJ257" s="21" t="s">
        <v>26</v>
      </c>
      <c r="AK257" s="21" t="s">
        <v>22</v>
      </c>
      <c r="AL257" s="21" t="s">
        <v>22</v>
      </c>
      <c r="AM257" s="21" t="s">
        <v>109</v>
      </c>
      <c r="AN257" s="21" t="s">
        <v>83</v>
      </c>
      <c r="AO257" s="21" t="s">
        <v>83</v>
      </c>
      <c r="AP257" s="21" t="s">
        <v>83</v>
      </c>
      <c r="AQ257" s="21" t="s">
        <v>83</v>
      </c>
      <c r="AR257" s="21" t="s">
        <v>83</v>
      </c>
      <c r="AS257" s="21" t="s">
        <v>83</v>
      </c>
      <c r="AT257" s="21" t="s">
        <v>83</v>
      </c>
      <c r="AU257" s="21" t="s">
        <v>109</v>
      </c>
      <c r="AV257" s="21" t="s">
        <v>109</v>
      </c>
      <c r="AW257" s="21" t="s">
        <v>83</v>
      </c>
      <c r="AX257" s="21" t="s">
        <v>109</v>
      </c>
      <c r="AY257" s="21" t="s">
        <v>109</v>
      </c>
      <c r="AZ257" s="21" t="s">
        <v>109</v>
      </c>
      <c r="BA257" s="17" t="s">
        <v>332</v>
      </c>
      <c r="BB257" s="17" t="s">
        <v>313</v>
      </c>
      <c r="BC257" s="18">
        <f>--ISNUMBER(SEARCH("Radio or television",BA257))</f>
        <v>0</v>
      </c>
      <c r="BD257" s="18">
        <f>--ISNUMBER(SEARCH("Newspapers or print media",BA257))</f>
        <v>0</v>
      </c>
      <c r="BE257" s="18">
        <f>--ISNUMBER(SEARCH("Social media (e.g. Facebook, WhatsApp, YouTube, X/Twitter)",BA257))</f>
        <v>0</v>
      </c>
      <c r="BF257" s="18">
        <f>--ISNUMBER(SEARCH("Family members",BA257))</f>
        <v>0</v>
      </c>
      <c r="BG257" s="18">
        <f>--ISNUMBER(SEARCH("Friends or fellow students",BA257))</f>
        <v>0</v>
      </c>
      <c r="BH257" s="18">
        <f>--ISNUMBER(SEARCH("School coursework or lectures",BA257))</f>
        <v>1</v>
      </c>
      <c r="BI257" s="18">
        <f>--ISNUMBER(SEARCH("NHIMA outreach activities or NHIMA offices",BA257))</f>
        <v>1</v>
      </c>
      <c r="BJ257" s="18">
        <f>--ISNUMBER(SEARCH("Health facility staff",BA257))</f>
        <v>0</v>
      </c>
      <c r="BK257" s="18">
        <f>--ISNUMBER(SEARCH("not received information",BA257))</f>
        <v>0</v>
      </c>
      <c r="BL257" s="18">
        <f>IF(T257="","",--(T257='Codebook'!$F$13))</f>
        <v>1</v>
      </c>
      <c r="BM257" s="18">
        <f>IF(U257="","",--(U257='Codebook'!$F$14))</f>
        <v>0</v>
      </c>
      <c r="BN257" s="18">
        <f>IF(V257="","",--(V257='Codebook'!$F$15))</f>
        <v>0</v>
      </c>
      <c r="BO257" s="18">
        <f>IF(W257="","",--(W257='Codebook'!$F$16))</f>
        <v>0</v>
      </c>
      <c r="BP257" s="18">
        <f>IF(X257="","",--(X257='Codebook'!$F$17))</f>
        <v>1</v>
      </c>
      <c r="BQ257" s="18">
        <f>IF(Y257="","",--(Y257='Codebook'!$F$18))</f>
        <v>0</v>
      </c>
      <c r="BR257" s="18">
        <f>IF(Z257="","",--(Z257='Codebook'!$F$19))</f>
        <v>1</v>
      </c>
      <c r="BS257" s="18">
        <f>IF(AA257="","",--(AA257='Codebook'!$F$20))</f>
        <v>1</v>
      </c>
      <c r="BT257" s="18">
        <f>IF(AB257="","",--(AB257='Codebook'!$F$21))</f>
        <v>1</v>
      </c>
      <c r="BU257" s="18">
        <f>IF(AC257="","",--(AC257='Codebook'!$F$22))</f>
        <v>0</v>
      </c>
      <c r="BV257" s="18">
        <f>IF(AD257="","",--(AD257='Codebook'!$F$23))</f>
        <v>0</v>
      </c>
      <c r="BW257" s="18">
        <f>IF(AE257="","",--(AE257='Codebook'!$F$24))</f>
        <v>1</v>
      </c>
      <c r="BX257" s="18">
        <f>IF(AF257="","",--(AF257='Codebook'!$F$25))</f>
        <v>0</v>
      </c>
      <c r="BY257" s="18">
        <f>IF(AG257="","",--(AG257='Codebook'!$F$26))</f>
        <v>1</v>
      </c>
      <c r="BZ257" s="18">
        <f>IF(AH257="","",--(AH257='Codebook'!$F$27))</f>
        <v>1</v>
      </c>
      <c r="CA257" s="18">
        <f>IF(AI257="","",--(AI257='Codebook'!$F$28))</f>
        <v>0</v>
      </c>
      <c r="CB257" s="18">
        <f>IF(AJ257="","",--(AJ257='Codebook'!$F$29))</f>
        <v>1</v>
      </c>
      <c r="CC257" s="18">
        <f>IF(AK257="","",--(AK257='Codebook'!$F$30))</f>
        <v>1</v>
      </c>
      <c r="CD257" s="18">
        <f>IF(AL257="","",--(AL257='Codebook'!$F$31))</f>
        <v>0</v>
      </c>
      <c r="CE257" s="18">
        <f>IF(AM257="","",--(AM257='Codebook'!$F$32))</f>
        <v>0</v>
      </c>
      <c r="CF257" s="18">
        <f>IF(AN257="","",--(AN257='Codebook'!$F$33))</f>
        <v>1</v>
      </c>
      <c r="CG257" s="18">
        <f>IF(AO257="","",--(AO257='Codebook'!$F$34))</f>
        <v>1</v>
      </c>
      <c r="CH257" s="18">
        <f>IF(AP257="","",--(AP257='Codebook'!$F$35))</f>
        <v>1</v>
      </c>
      <c r="CI257" s="18">
        <f>IF(AQ257="","",--(AQ257='Codebook'!$F$36))</f>
        <v>1</v>
      </c>
      <c r="CJ257" s="18">
        <f>IF(AR257="","",--(AR257='Codebook'!$F$37))</f>
        <v>1</v>
      </c>
      <c r="CK257" s="18">
        <f>IF(AS257="","",--(AS257='Codebook'!$F$38))</f>
        <v>1</v>
      </c>
      <c r="CL257" s="18">
        <f>IF(AT257="","",--(AT257='Codebook'!$F$39))</f>
        <v>1</v>
      </c>
      <c r="CM257" s="18">
        <f>IF(AU257="","",--(AU257='Codebook'!$F$40))</f>
        <v>1</v>
      </c>
      <c r="CN257" s="18">
        <f>IF(AV257="","",--(AV257='Codebook'!$F$41))</f>
        <v>1</v>
      </c>
      <c r="CO257" s="18">
        <f>IF(AW257="","",--(AW257='Codebook'!$F$42))</f>
        <v>0</v>
      </c>
      <c r="CP257" s="18">
        <f>IF(AX257="","",--(AX257='Codebook'!$F$43))</f>
        <v>1</v>
      </c>
      <c r="CQ257" s="18">
        <f>IF(AY257="","",--(AY257='Codebook'!$F$44))</f>
        <v>1</v>
      </c>
      <c r="CR257" s="18">
        <f>IF(AZ257="","",--(AZ257='Codebook'!$F$45))</f>
        <v>1</v>
      </c>
    </row>
    <row r="258" spans="2:96" ht="24" customHeight="1">
      <c r="B258" s="18">
        <v>253</v>
      </c>
      <c r="C258" s="23">
        <v>46289.50411809028</v>
      </c>
      <c r="D258" s="21" t="s">
        <v>275</v>
      </c>
      <c r="E258" s="21" t="s">
        <v>206</v>
      </c>
      <c r="F258" s="21" t="s">
        <v>201</v>
      </c>
      <c r="G258" s="17" t="s">
        <v>224</v>
      </c>
      <c r="H258" s="21" t="s">
        <v>197</v>
      </c>
      <c r="I258" s="18">
        <f>SUM(BL258:BU258)</f>
        <v>6</v>
      </c>
      <c r="J258" s="18">
        <f>IF(COUNT(BV258:CD258)=9,SUM(BV258:CD258),"")</f>
        <v>5</v>
      </c>
      <c r="K258" s="18">
        <f>SUM(BL258:CD258)</f>
        <v>11</v>
      </c>
      <c r="L258" s="18">
        <f>--(K258&gt;='Codebook'!$C$8)</f>
        <v>0</v>
      </c>
      <c r="M258" s="18">
        <f>--(COUNT(BL258:CD258)=19)</f>
        <v>1</v>
      </c>
      <c r="N258" s="18">
        <f>SUM(CE258:CL258)</f>
        <v>6</v>
      </c>
      <c r="O258" s="18">
        <f>SUM(CM258:CR258)</f>
        <v>0</v>
      </c>
      <c r="P258" s="18">
        <f>N258+O258</f>
        <v>6</v>
      </c>
      <c r="Q258" s="21" t="s">
        <v>197</v>
      </c>
      <c r="R258" s="17" t="s">
        <v>152</v>
      </c>
      <c r="S258" s="18">
        <f>--OR(Overview!$B$6="All",E258=Overview!$B$6)*--OR(Overview!$F$6="All",F258=Overview!$F$6)*--OR(Overview!$J$6="All",G258=Overview!$J$6)*--OR(Overview!$N$6="All",H258=Overview!$N$6)</f>
        <v>1</v>
      </c>
      <c r="T258" s="21" t="s">
        <v>22</v>
      </c>
      <c r="U258" s="21" t="s">
        <v>22</v>
      </c>
      <c r="V258" s="21" t="s">
        <v>22</v>
      </c>
      <c r="W258" s="21" t="s">
        <v>22</v>
      </c>
      <c r="X258" s="21" t="s">
        <v>22</v>
      </c>
      <c r="Y258" s="21" t="s">
        <v>22</v>
      </c>
      <c r="Z258" s="21" t="s">
        <v>22</v>
      </c>
      <c r="AA258" s="21" t="s">
        <v>22</v>
      </c>
      <c r="AB258" s="21" t="s">
        <v>22</v>
      </c>
      <c r="AC258" s="21" t="s">
        <v>22</v>
      </c>
      <c r="AD258" s="21" t="s">
        <v>22</v>
      </c>
      <c r="AE258" s="21" t="s">
        <v>22</v>
      </c>
      <c r="AF258" s="21" t="s">
        <v>22</v>
      </c>
      <c r="AG258" s="21" t="s">
        <v>22</v>
      </c>
      <c r="AH258" s="21" t="s">
        <v>22</v>
      </c>
      <c r="AI258" s="21" t="s">
        <v>22</v>
      </c>
      <c r="AJ258" s="21" t="s">
        <v>22</v>
      </c>
      <c r="AK258" s="21" t="s">
        <v>22</v>
      </c>
      <c r="AL258" s="21" t="s">
        <v>22</v>
      </c>
      <c r="AM258" s="21" t="s">
        <v>83</v>
      </c>
      <c r="AN258" s="21" t="s">
        <v>109</v>
      </c>
      <c r="AO258" s="21" t="s">
        <v>83</v>
      </c>
      <c r="AP258" s="21" t="s">
        <v>83</v>
      </c>
      <c r="AQ258" s="21" t="s">
        <v>83</v>
      </c>
      <c r="AR258" s="21" t="s">
        <v>198</v>
      </c>
      <c r="AS258" s="21" t="s">
        <v>83</v>
      </c>
      <c r="AT258" s="21" t="s">
        <v>83</v>
      </c>
      <c r="AU258" s="21" t="s">
        <v>198</v>
      </c>
      <c r="AV258" s="21" t="s">
        <v>83</v>
      </c>
      <c r="AW258" s="21" t="s">
        <v>83</v>
      </c>
      <c r="AX258" s="21" t="s">
        <v>83</v>
      </c>
      <c r="AY258" s="21" t="s">
        <v>83</v>
      </c>
      <c r="AZ258" s="21" t="s">
        <v>83</v>
      </c>
      <c r="BA258" s="17" t="s">
        <v>223</v>
      </c>
      <c r="BB258" s="17" t="s">
        <v>223</v>
      </c>
      <c r="BC258" s="18">
        <f>--ISNUMBER(SEARCH("Radio or television",BA258))</f>
        <v>1</v>
      </c>
      <c r="BD258" s="18">
        <f>--ISNUMBER(SEARCH("Newspapers or print media",BA258))</f>
        <v>0</v>
      </c>
      <c r="BE258" s="18">
        <f>--ISNUMBER(SEARCH("Social media (e.g. Facebook, WhatsApp, YouTube, X/Twitter)",BA258))</f>
        <v>0</v>
      </c>
      <c r="BF258" s="18">
        <f>--ISNUMBER(SEARCH("Family members",BA258))</f>
        <v>0</v>
      </c>
      <c r="BG258" s="18">
        <f>--ISNUMBER(SEARCH("Friends or fellow students",BA258))</f>
        <v>0</v>
      </c>
      <c r="BH258" s="18">
        <f>--ISNUMBER(SEARCH("School coursework or lectures",BA258))</f>
        <v>0</v>
      </c>
      <c r="BI258" s="18">
        <f>--ISNUMBER(SEARCH("NHIMA outreach activities or NHIMA offices",BA258))</f>
        <v>0</v>
      </c>
      <c r="BJ258" s="18">
        <f>--ISNUMBER(SEARCH("Health facility staff",BA258))</f>
        <v>0</v>
      </c>
      <c r="BK258" s="18">
        <f>--ISNUMBER(SEARCH("not received information",BA258))</f>
        <v>0</v>
      </c>
      <c r="BL258" s="18">
        <f>IF(T258="","",--(T258='Codebook'!$F$13))</f>
        <v>1</v>
      </c>
      <c r="BM258" s="18">
        <f>IF(U258="","",--(U258='Codebook'!$F$14))</f>
        <v>0</v>
      </c>
      <c r="BN258" s="18">
        <f>IF(V258="","",--(V258='Codebook'!$F$15))</f>
        <v>0</v>
      </c>
      <c r="BO258" s="18">
        <f>IF(W258="","",--(W258='Codebook'!$F$16))</f>
        <v>1</v>
      </c>
      <c r="BP258" s="18">
        <f>IF(X258="","",--(X258='Codebook'!$F$17))</f>
        <v>1</v>
      </c>
      <c r="BQ258" s="18">
        <f>IF(Y258="","",--(Y258='Codebook'!$F$18))</f>
        <v>0</v>
      </c>
      <c r="BR258" s="18">
        <f>IF(Z258="","",--(Z258='Codebook'!$F$19))</f>
        <v>1</v>
      </c>
      <c r="BS258" s="18">
        <f>IF(AA258="","",--(AA258='Codebook'!$F$20))</f>
        <v>1</v>
      </c>
      <c r="BT258" s="18">
        <f>IF(AB258="","",--(AB258='Codebook'!$F$21))</f>
        <v>0</v>
      </c>
      <c r="BU258" s="18">
        <f>IF(AC258="","",--(AC258='Codebook'!$F$22))</f>
        <v>1</v>
      </c>
      <c r="BV258" s="18">
        <f>IF(AD258="","",--(AD258='Codebook'!$F$23))</f>
        <v>1</v>
      </c>
      <c r="BW258" s="18">
        <f>IF(AE258="","",--(AE258='Codebook'!$F$24))</f>
        <v>1</v>
      </c>
      <c r="BX258" s="18">
        <f>IF(AF258="","",--(AF258='Codebook'!$F$25))</f>
        <v>0</v>
      </c>
      <c r="BY258" s="18">
        <f>IF(AG258="","",--(AG258='Codebook'!$F$26))</f>
        <v>1</v>
      </c>
      <c r="BZ258" s="18">
        <f>IF(AH258="","",--(AH258='Codebook'!$F$27))</f>
        <v>1</v>
      </c>
      <c r="CA258" s="18">
        <f>IF(AI258="","",--(AI258='Codebook'!$F$28))</f>
        <v>0</v>
      </c>
      <c r="CB258" s="18">
        <f>IF(AJ258="","",--(AJ258='Codebook'!$F$29))</f>
        <v>0</v>
      </c>
      <c r="CC258" s="18">
        <f>IF(AK258="","",--(AK258='Codebook'!$F$30))</f>
        <v>1</v>
      </c>
      <c r="CD258" s="18">
        <f>IF(AL258="","",--(AL258='Codebook'!$F$31))</f>
        <v>0</v>
      </c>
      <c r="CE258" s="18">
        <f>IF(AM258="","",--(AM258='Codebook'!$F$32))</f>
        <v>1</v>
      </c>
      <c r="CF258" s="18">
        <f>IF(AN258="","",--(AN258='Codebook'!$F$33))</f>
        <v>0</v>
      </c>
      <c r="CG258" s="18">
        <f>IF(AO258="","",--(AO258='Codebook'!$F$34))</f>
        <v>1</v>
      </c>
      <c r="CH258" s="18">
        <f>IF(AP258="","",--(AP258='Codebook'!$F$35))</f>
        <v>1</v>
      </c>
      <c r="CI258" s="18">
        <f>IF(AQ258="","",--(AQ258='Codebook'!$F$36))</f>
        <v>1</v>
      </c>
      <c r="CJ258" s="18">
        <f>IF(AR258="","",--(AR258='Codebook'!$F$37))</f>
        <v>0</v>
      </c>
      <c r="CK258" s="18">
        <f>IF(AS258="","",--(AS258='Codebook'!$F$38))</f>
        <v>1</v>
      </c>
      <c r="CL258" s="18">
        <f>IF(AT258="","",--(AT258='Codebook'!$F$39))</f>
        <v>1</v>
      </c>
      <c r="CM258" s="18">
        <f>IF(AU258="","",--(AU258='Codebook'!$F$40))</f>
        <v>0</v>
      </c>
      <c r="CN258" s="18">
        <f>IF(AV258="","",--(AV258='Codebook'!$F$41))</f>
        <v>0</v>
      </c>
      <c r="CO258" s="18">
        <f>IF(AW258="","",--(AW258='Codebook'!$F$42))</f>
        <v>0</v>
      </c>
      <c r="CP258" s="18">
        <f>IF(AX258="","",--(AX258='Codebook'!$F$43))</f>
        <v>0</v>
      </c>
      <c r="CQ258" s="18">
        <f>IF(AY258="","",--(AY258='Codebook'!$F$44))</f>
        <v>0</v>
      </c>
      <c r="CR258" s="18">
        <f>IF(AZ258="","",--(AZ258='Codebook'!$F$45))</f>
        <v>0</v>
      </c>
    </row>
    <row r="259" spans="2:96" ht="24" customHeight="1">
      <c r="B259" s="18">
        <v>254</v>
      </c>
      <c r="C259" s="23">
        <v>46289.50473423611</v>
      </c>
      <c r="D259" s="21" t="s">
        <v>275</v>
      </c>
      <c r="E259" s="21" t="s">
        <v>194</v>
      </c>
      <c r="F259" s="21" t="s">
        <v>212</v>
      </c>
      <c r="G259" s="17" t="s">
        <v>215</v>
      </c>
      <c r="H259" s="21" t="s">
        <v>207</v>
      </c>
      <c r="I259" s="18">
        <f>SUM(BL259:BU259)</f>
        <v>5</v>
      </c>
      <c r="J259" s="18">
        <f>IF(COUNT(BV259:CD259)=9,SUM(BV259:CD259),"")</f>
        <v>6</v>
      </c>
      <c r="K259" s="18">
        <f>SUM(BL259:CD259)</f>
        <v>11</v>
      </c>
      <c r="L259" s="18">
        <f>--(K259&gt;='Codebook'!$C$8)</f>
        <v>0</v>
      </c>
      <c r="M259" s="18">
        <f>--(COUNT(BL259:CD259)=19)</f>
        <v>1</v>
      </c>
      <c r="N259" s="18">
        <f>SUM(CE259:CL259)</f>
        <v>5</v>
      </c>
      <c r="O259" s="18">
        <f>SUM(CM259:CR259)</f>
        <v>0</v>
      </c>
      <c r="P259" s="18">
        <f>N259+O259</f>
        <v>5</v>
      </c>
      <c r="Q259" s="21" t="s">
        <v>197</v>
      </c>
      <c r="R259" s="17" t="s">
        <v>152</v>
      </c>
      <c r="S259" s="18">
        <f>--OR(Overview!$B$6="All",E259=Overview!$B$6)*--OR(Overview!$F$6="All",F259=Overview!$F$6)*--OR(Overview!$J$6="All",G259=Overview!$J$6)*--OR(Overview!$N$6="All",H259=Overview!$N$6)</f>
        <v>1</v>
      </c>
      <c r="T259" s="21" t="s">
        <v>22</v>
      </c>
      <c r="U259" s="21" t="s">
        <v>22</v>
      </c>
      <c r="V259" s="21" t="s">
        <v>26</v>
      </c>
      <c r="W259" s="21" t="s">
        <v>22</v>
      </c>
      <c r="X259" s="21" t="s">
        <v>26</v>
      </c>
      <c r="Y259" s="21" t="s">
        <v>22</v>
      </c>
      <c r="Z259" s="21" t="s">
        <v>198</v>
      </c>
      <c r="AA259" s="21" t="s">
        <v>22</v>
      </c>
      <c r="AB259" s="21" t="s">
        <v>22</v>
      </c>
      <c r="AC259" s="21" t="s">
        <v>22</v>
      </c>
      <c r="AD259" s="21" t="s">
        <v>22</v>
      </c>
      <c r="AE259" s="21" t="s">
        <v>22</v>
      </c>
      <c r="AF259" s="21" t="s">
        <v>22</v>
      </c>
      <c r="AG259" s="21" t="s">
        <v>22</v>
      </c>
      <c r="AH259" s="21" t="s">
        <v>22</v>
      </c>
      <c r="AI259" s="21" t="s">
        <v>26</v>
      </c>
      <c r="AJ259" s="21" t="s">
        <v>22</v>
      </c>
      <c r="AK259" s="21" t="s">
        <v>22</v>
      </c>
      <c r="AL259" s="21" t="s">
        <v>22</v>
      </c>
      <c r="AM259" s="21" t="s">
        <v>83</v>
      </c>
      <c r="AN259" s="21" t="s">
        <v>109</v>
      </c>
      <c r="AO259" s="21" t="s">
        <v>83</v>
      </c>
      <c r="AP259" s="21" t="s">
        <v>109</v>
      </c>
      <c r="AQ259" s="21" t="s">
        <v>83</v>
      </c>
      <c r="AR259" s="21" t="s">
        <v>83</v>
      </c>
      <c r="AS259" s="21" t="s">
        <v>83</v>
      </c>
      <c r="AT259" s="21" t="s">
        <v>198</v>
      </c>
      <c r="AU259" s="21" t="s">
        <v>83</v>
      </c>
      <c r="AV259" s="21" t="s">
        <v>83</v>
      </c>
      <c r="AW259" s="21" t="s">
        <v>83</v>
      </c>
      <c r="AX259" s="21" t="s">
        <v>198</v>
      </c>
      <c r="AY259" s="21" t="s">
        <v>83</v>
      </c>
      <c r="AZ259" s="21" t="s">
        <v>83</v>
      </c>
      <c r="BA259" s="17" t="s">
        <v>223</v>
      </c>
      <c r="BB259" s="17" t="s">
        <v>223</v>
      </c>
      <c r="BC259" s="18">
        <f>--ISNUMBER(SEARCH("Radio or television",BA259))</f>
        <v>1</v>
      </c>
      <c r="BD259" s="18">
        <f>--ISNUMBER(SEARCH("Newspapers or print media",BA259))</f>
        <v>0</v>
      </c>
      <c r="BE259" s="18">
        <f>--ISNUMBER(SEARCH("Social media (e.g. Facebook, WhatsApp, YouTube, X/Twitter)",BA259))</f>
        <v>0</v>
      </c>
      <c r="BF259" s="18">
        <f>--ISNUMBER(SEARCH("Family members",BA259))</f>
        <v>0</v>
      </c>
      <c r="BG259" s="18">
        <f>--ISNUMBER(SEARCH("Friends or fellow students",BA259))</f>
        <v>0</v>
      </c>
      <c r="BH259" s="18">
        <f>--ISNUMBER(SEARCH("School coursework or lectures",BA259))</f>
        <v>0</v>
      </c>
      <c r="BI259" s="18">
        <f>--ISNUMBER(SEARCH("NHIMA outreach activities or NHIMA offices",BA259))</f>
        <v>0</v>
      </c>
      <c r="BJ259" s="18">
        <f>--ISNUMBER(SEARCH("Health facility staff",BA259))</f>
        <v>0</v>
      </c>
      <c r="BK259" s="18">
        <f>--ISNUMBER(SEARCH("not received information",BA259))</f>
        <v>0</v>
      </c>
      <c r="BL259" s="18">
        <f>IF(T259="","",--(T259='Codebook'!$F$13))</f>
        <v>1</v>
      </c>
      <c r="BM259" s="18">
        <f>IF(U259="","",--(U259='Codebook'!$F$14))</f>
        <v>0</v>
      </c>
      <c r="BN259" s="18">
        <f>IF(V259="","",--(V259='Codebook'!$F$15))</f>
        <v>1</v>
      </c>
      <c r="BO259" s="18">
        <f>IF(W259="","",--(W259='Codebook'!$F$16))</f>
        <v>1</v>
      </c>
      <c r="BP259" s="18">
        <f>IF(X259="","",--(X259='Codebook'!$F$17))</f>
        <v>0</v>
      </c>
      <c r="BQ259" s="18">
        <f>IF(Y259="","",--(Y259='Codebook'!$F$18))</f>
        <v>0</v>
      </c>
      <c r="BR259" s="18">
        <f>IF(Z259="","",--(Z259='Codebook'!$F$19))</f>
        <v>0</v>
      </c>
      <c r="BS259" s="18">
        <f>IF(AA259="","",--(AA259='Codebook'!$F$20))</f>
        <v>1</v>
      </c>
      <c r="BT259" s="18">
        <f>IF(AB259="","",--(AB259='Codebook'!$F$21))</f>
        <v>0</v>
      </c>
      <c r="BU259" s="18">
        <f>IF(AC259="","",--(AC259='Codebook'!$F$22))</f>
        <v>1</v>
      </c>
      <c r="BV259" s="18">
        <f>IF(AD259="","",--(AD259='Codebook'!$F$23))</f>
        <v>1</v>
      </c>
      <c r="BW259" s="18">
        <f>IF(AE259="","",--(AE259='Codebook'!$F$24))</f>
        <v>1</v>
      </c>
      <c r="BX259" s="18">
        <f>IF(AF259="","",--(AF259='Codebook'!$F$25))</f>
        <v>0</v>
      </c>
      <c r="BY259" s="18">
        <f>IF(AG259="","",--(AG259='Codebook'!$F$26))</f>
        <v>1</v>
      </c>
      <c r="BZ259" s="18">
        <f>IF(AH259="","",--(AH259='Codebook'!$F$27))</f>
        <v>1</v>
      </c>
      <c r="CA259" s="18">
        <f>IF(AI259="","",--(AI259='Codebook'!$F$28))</f>
        <v>1</v>
      </c>
      <c r="CB259" s="18">
        <f>IF(AJ259="","",--(AJ259='Codebook'!$F$29))</f>
        <v>0</v>
      </c>
      <c r="CC259" s="18">
        <f>IF(AK259="","",--(AK259='Codebook'!$F$30))</f>
        <v>1</v>
      </c>
      <c r="CD259" s="18">
        <f>IF(AL259="","",--(AL259='Codebook'!$F$31))</f>
        <v>0</v>
      </c>
      <c r="CE259" s="18">
        <f>IF(AM259="","",--(AM259='Codebook'!$F$32))</f>
        <v>1</v>
      </c>
      <c r="CF259" s="18">
        <f>IF(AN259="","",--(AN259='Codebook'!$F$33))</f>
        <v>0</v>
      </c>
      <c r="CG259" s="18">
        <f>IF(AO259="","",--(AO259='Codebook'!$F$34))</f>
        <v>1</v>
      </c>
      <c r="CH259" s="18">
        <f>IF(AP259="","",--(AP259='Codebook'!$F$35))</f>
        <v>0</v>
      </c>
      <c r="CI259" s="18">
        <f>IF(AQ259="","",--(AQ259='Codebook'!$F$36))</f>
        <v>1</v>
      </c>
      <c r="CJ259" s="18">
        <f>IF(AR259="","",--(AR259='Codebook'!$F$37))</f>
        <v>1</v>
      </c>
      <c r="CK259" s="18">
        <f>IF(AS259="","",--(AS259='Codebook'!$F$38))</f>
        <v>1</v>
      </c>
      <c r="CL259" s="18">
        <f>IF(AT259="","",--(AT259='Codebook'!$F$39))</f>
        <v>0</v>
      </c>
      <c r="CM259" s="18">
        <f>IF(AU259="","",--(AU259='Codebook'!$F$40))</f>
        <v>0</v>
      </c>
      <c r="CN259" s="18">
        <f>IF(AV259="","",--(AV259='Codebook'!$F$41))</f>
        <v>0</v>
      </c>
      <c r="CO259" s="18">
        <f>IF(AW259="","",--(AW259='Codebook'!$F$42))</f>
        <v>0</v>
      </c>
      <c r="CP259" s="18">
        <f>IF(AX259="","",--(AX259='Codebook'!$F$43))</f>
        <v>0</v>
      </c>
      <c r="CQ259" s="18">
        <f>IF(AY259="","",--(AY259='Codebook'!$F$44))</f>
        <v>0</v>
      </c>
      <c r="CR259" s="18">
        <f>IF(AZ259="","",--(AZ259='Codebook'!$F$45))</f>
        <v>0</v>
      </c>
    </row>
    <row r="260" spans="2:96" ht="24" customHeight="1">
      <c r="B260" s="18">
        <v>255</v>
      </c>
      <c r="C260" s="23">
        <v>46289.50536869213</v>
      </c>
      <c r="D260" s="21" t="s">
        <v>268</v>
      </c>
      <c r="E260" s="21" t="s">
        <v>206</v>
      </c>
      <c r="F260" s="21" t="s">
        <v>212</v>
      </c>
      <c r="G260" s="17" t="s">
        <v>224</v>
      </c>
      <c r="H260" s="21" t="s">
        <v>197</v>
      </c>
      <c r="I260" s="18">
        <f>SUM(BL260:BU260)</f>
        <v>5</v>
      </c>
      <c r="J260" s="18">
        <f>IF(COUNT(BV260:CD260)=9,SUM(BV260:CD260),"")</f>
        <v>5</v>
      </c>
      <c r="K260" s="18">
        <f>SUM(BL260:CD260)</f>
        <v>10</v>
      </c>
      <c r="L260" s="18">
        <f>--(K260&gt;='Codebook'!$C$8)</f>
        <v>0</v>
      </c>
      <c r="M260" s="18">
        <f>--(COUNT(BL260:CD260)=19)</f>
        <v>1</v>
      </c>
      <c r="N260" s="18">
        <f>SUM(CE260:CL260)</f>
        <v>7</v>
      </c>
      <c r="O260" s="18">
        <f>SUM(CM260:CR260)</f>
        <v>6</v>
      </c>
      <c r="P260" s="18">
        <f>N260+O260</f>
        <v>13</v>
      </c>
      <c r="Q260" s="21" t="s">
        <v>198</v>
      </c>
      <c r="R260" s="17" t="s">
        <v>154</v>
      </c>
      <c r="S260" s="18">
        <f>--OR(Overview!$B$6="All",E260=Overview!$B$6)*--OR(Overview!$F$6="All",F260=Overview!$F$6)*--OR(Overview!$J$6="All",G260=Overview!$J$6)*--OR(Overview!$N$6="All",H260=Overview!$N$6)</f>
        <v>1</v>
      </c>
      <c r="T260" s="21" t="s">
        <v>22</v>
      </c>
      <c r="U260" s="21" t="s">
        <v>22</v>
      </c>
      <c r="V260" s="21" t="s">
        <v>22</v>
      </c>
      <c r="W260" s="21" t="s">
        <v>198</v>
      </c>
      <c r="X260" s="21" t="s">
        <v>22</v>
      </c>
      <c r="Y260" s="21" t="s">
        <v>22</v>
      </c>
      <c r="Z260" s="21" t="s">
        <v>22</v>
      </c>
      <c r="AA260" s="21" t="s">
        <v>22</v>
      </c>
      <c r="AB260" s="21" t="s">
        <v>22</v>
      </c>
      <c r="AC260" s="21" t="s">
        <v>22</v>
      </c>
      <c r="AD260" s="21" t="s">
        <v>22</v>
      </c>
      <c r="AE260" s="21" t="s">
        <v>22</v>
      </c>
      <c r="AF260" s="21" t="s">
        <v>22</v>
      </c>
      <c r="AG260" s="21" t="s">
        <v>22</v>
      </c>
      <c r="AH260" s="21" t="s">
        <v>22</v>
      </c>
      <c r="AI260" s="21" t="s">
        <v>22</v>
      </c>
      <c r="AJ260" s="21" t="s">
        <v>22</v>
      </c>
      <c r="AK260" s="21" t="s">
        <v>22</v>
      </c>
      <c r="AL260" s="21" t="s">
        <v>22</v>
      </c>
      <c r="AM260" s="21" t="s">
        <v>83</v>
      </c>
      <c r="AN260" s="21" t="s">
        <v>83</v>
      </c>
      <c r="AO260" s="21" t="s">
        <v>109</v>
      </c>
      <c r="AP260" s="21" t="s">
        <v>83</v>
      </c>
      <c r="AQ260" s="21" t="s">
        <v>83</v>
      </c>
      <c r="AR260" s="21" t="s">
        <v>83</v>
      </c>
      <c r="AS260" s="21" t="s">
        <v>83</v>
      </c>
      <c r="AT260" s="21" t="s">
        <v>83</v>
      </c>
      <c r="AU260" s="21" t="s">
        <v>109</v>
      </c>
      <c r="AV260" s="21" t="s">
        <v>109</v>
      </c>
      <c r="AW260" s="21" t="s">
        <v>109</v>
      </c>
      <c r="AX260" s="21" t="s">
        <v>109</v>
      </c>
      <c r="AY260" s="21" t="s">
        <v>109</v>
      </c>
      <c r="AZ260" s="21" t="s">
        <v>109</v>
      </c>
      <c r="BA260" s="17" t="s">
        <v>246</v>
      </c>
      <c r="BB260" s="17" t="s">
        <v>250</v>
      </c>
      <c r="BC260" s="18">
        <f>--ISNUMBER(SEARCH("Radio or television",BA260))</f>
        <v>1</v>
      </c>
      <c r="BD260" s="18">
        <f>--ISNUMBER(SEARCH("Newspapers or print media",BA260))</f>
        <v>0</v>
      </c>
      <c r="BE260" s="18">
        <f>--ISNUMBER(SEARCH("Social media (e.g. Facebook, WhatsApp, YouTube, X/Twitter)",BA260))</f>
        <v>1</v>
      </c>
      <c r="BF260" s="18">
        <f>--ISNUMBER(SEARCH("Family members",BA260))</f>
        <v>0</v>
      </c>
      <c r="BG260" s="18">
        <f>--ISNUMBER(SEARCH("Friends or fellow students",BA260))</f>
        <v>0</v>
      </c>
      <c r="BH260" s="18">
        <f>--ISNUMBER(SEARCH("School coursework or lectures",BA260))</f>
        <v>0</v>
      </c>
      <c r="BI260" s="18">
        <f>--ISNUMBER(SEARCH("NHIMA outreach activities or NHIMA offices",BA260))</f>
        <v>0</v>
      </c>
      <c r="BJ260" s="18">
        <f>--ISNUMBER(SEARCH("Health facility staff",BA260))</f>
        <v>0</v>
      </c>
      <c r="BK260" s="18">
        <f>--ISNUMBER(SEARCH("not received information",BA260))</f>
        <v>0</v>
      </c>
      <c r="BL260" s="18">
        <f>IF(T260="","",--(T260='Codebook'!$F$13))</f>
        <v>1</v>
      </c>
      <c r="BM260" s="18">
        <f>IF(U260="","",--(U260='Codebook'!$F$14))</f>
        <v>0</v>
      </c>
      <c r="BN260" s="18">
        <f>IF(V260="","",--(V260='Codebook'!$F$15))</f>
        <v>0</v>
      </c>
      <c r="BO260" s="18">
        <f>IF(W260="","",--(W260='Codebook'!$F$16))</f>
        <v>0</v>
      </c>
      <c r="BP260" s="18">
        <f>IF(X260="","",--(X260='Codebook'!$F$17))</f>
        <v>1</v>
      </c>
      <c r="BQ260" s="18">
        <f>IF(Y260="","",--(Y260='Codebook'!$F$18))</f>
        <v>0</v>
      </c>
      <c r="BR260" s="18">
        <f>IF(Z260="","",--(Z260='Codebook'!$F$19))</f>
        <v>1</v>
      </c>
      <c r="BS260" s="18">
        <f>IF(AA260="","",--(AA260='Codebook'!$F$20))</f>
        <v>1</v>
      </c>
      <c r="BT260" s="18">
        <f>IF(AB260="","",--(AB260='Codebook'!$F$21))</f>
        <v>0</v>
      </c>
      <c r="BU260" s="18">
        <f>IF(AC260="","",--(AC260='Codebook'!$F$22))</f>
        <v>1</v>
      </c>
      <c r="BV260" s="18">
        <f>IF(AD260="","",--(AD260='Codebook'!$F$23))</f>
        <v>1</v>
      </c>
      <c r="BW260" s="18">
        <f>IF(AE260="","",--(AE260='Codebook'!$F$24))</f>
        <v>1</v>
      </c>
      <c r="BX260" s="18">
        <f>IF(AF260="","",--(AF260='Codebook'!$F$25))</f>
        <v>0</v>
      </c>
      <c r="BY260" s="18">
        <f>IF(AG260="","",--(AG260='Codebook'!$F$26))</f>
        <v>1</v>
      </c>
      <c r="BZ260" s="18">
        <f>IF(AH260="","",--(AH260='Codebook'!$F$27))</f>
        <v>1</v>
      </c>
      <c r="CA260" s="18">
        <f>IF(AI260="","",--(AI260='Codebook'!$F$28))</f>
        <v>0</v>
      </c>
      <c r="CB260" s="18">
        <f>IF(AJ260="","",--(AJ260='Codebook'!$F$29))</f>
        <v>0</v>
      </c>
      <c r="CC260" s="18">
        <f>IF(AK260="","",--(AK260='Codebook'!$F$30))</f>
        <v>1</v>
      </c>
      <c r="CD260" s="18">
        <f>IF(AL260="","",--(AL260='Codebook'!$F$31))</f>
        <v>0</v>
      </c>
      <c r="CE260" s="18">
        <f>IF(AM260="","",--(AM260='Codebook'!$F$32))</f>
        <v>1</v>
      </c>
      <c r="CF260" s="18">
        <f>IF(AN260="","",--(AN260='Codebook'!$F$33))</f>
        <v>1</v>
      </c>
      <c r="CG260" s="18">
        <f>IF(AO260="","",--(AO260='Codebook'!$F$34))</f>
        <v>0</v>
      </c>
      <c r="CH260" s="18">
        <f>IF(AP260="","",--(AP260='Codebook'!$F$35))</f>
        <v>1</v>
      </c>
      <c r="CI260" s="18">
        <f>IF(AQ260="","",--(AQ260='Codebook'!$F$36))</f>
        <v>1</v>
      </c>
      <c r="CJ260" s="18">
        <f>IF(AR260="","",--(AR260='Codebook'!$F$37))</f>
        <v>1</v>
      </c>
      <c r="CK260" s="18">
        <f>IF(AS260="","",--(AS260='Codebook'!$F$38))</f>
        <v>1</v>
      </c>
      <c r="CL260" s="18">
        <f>IF(AT260="","",--(AT260='Codebook'!$F$39))</f>
        <v>1</v>
      </c>
      <c r="CM260" s="18">
        <f>IF(AU260="","",--(AU260='Codebook'!$F$40))</f>
        <v>1</v>
      </c>
      <c r="CN260" s="18">
        <f>IF(AV260="","",--(AV260='Codebook'!$F$41))</f>
        <v>1</v>
      </c>
      <c r="CO260" s="18">
        <f>IF(AW260="","",--(AW260='Codebook'!$F$42))</f>
        <v>1</v>
      </c>
      <c r="CP260" s="18">
        <f>IF(AX260="","",--(AX260='Codebook'!$F$43))</f>
        <v>1</v>
      </c>
      <c r="CQ260" s="18">
        <f>IF(AY260="","",--(AY260='Codebook'!$F$44))</f>
        <v>1</v>
      </c>
      <c r="CR260" s="18">
        <f>IF(AZ260="","",--(AZ260='Codebook'!$F$45))</f>
        <v>1</v>
      </c>
    </row>
    <row r="261" spans="2:96" ht="24" customHeight="1">
      <c r="B261" s="18">
        <v>256</v>
      </c>
      <c r="C261" s="23">
        <v>46289.50597711805</v>
      </c>
      <c r="D261" s="21" t="s">
        <v>275</v>
      </c>
      <c r="E261" s="21" t="s">
        <v>206</v>
      </c>
      <c r="F261" s="21" t="s">
        <v>201</v>
      </c>
      <c r="G261" s="17" t="s">
        <v>247</v>
      </c>
      <c r="H261" s="21" t="s">
        <v>198</v>
      </c>
      <c r="I261" s="18">
        <f>SUM(BL261:BU261)</f>
        <v>4</v>
      </c>
      <c r="J261" s="18">
        <f>IF(COUNT(BV261:CD261)=9,SUM(BV261:CD261),"")</f>
        <v>5</v>
      </c>
      <c r="K261" s="18">
        <f>SUM(BL261:CD261)</f>
        <v>9</v>
      </c>
      <c r="L261" s="18">
        <f>--(K261&gt;='Codebook'!$C$8)</f>
        <v>0</v>
      </c>
      <c r="M261" s="18">
        <f>--(COUNT(BL261:CD261)=19)</f>
        <v>1</v>
      </c>
      <c r="N261" s="18">
        <f>SUM(CE261:CL261)</f>
        <v>7</v>
      </c>
      <c r="O261" s="18">
        <f>SUM(CM261:CR261)</f>
        <v>2</v>
      </c>
      <c r="P261" s="18">
        <f>N261+O261</f>
        <v>9</v>
      </c>
      <c r="Q261" s="21" t="s">
        <v>198</v>
      </c>
      <c r="R261" s="17" t="s">
        <v>155</v>
      </c>
      <c r="S261" s="18">
        <f>--OR(Overview!$B$6="All",E261=Overview!$B$6)*--OR(Overview!$F$6="All",F261=Overview!$F$6)*--OR(Overview!$J$6="All",G261=Overview!$J$6)*--OR(Overview!$N$6="All",H261=Overview!$N$6)</f>
        <v>1</v>
      </c>
      <c r="T261" s="21" t="s">
        <v>22</v>
      </c>
      <c r="U261" s="21" t="s">
        <v>22</v>
      </c>
      <c r="V261" s="21" t="s">
        <v>26</v>
      </c>
      <c r="W261" s="21" t="s">
        <v>22</v>
      </c>
      <c r="X261" s="21" t="s">
        <v>198</v>
      </c>
      <c r="Y261" s="21" t="s">
        <v>26</v>
      </c>
      <c r="Z261" s="21" t="s">
        <v>198</v>
      </c>
      <c r="AA261" s="21" t="s">
        <v>198</v>
      </c>
      <c r="AB261" s="21" t="s">
        <v>22</v>
      </c>
      <c r="AC261" s="21" t="s">
        <v>198</v>
      </c>
      <c r="AD261" s="21" t="s">
        <v>22</v>
      </c>
      <c r="AE261" s="21" t="s">
        <v>22</v>
      </c>
      <c r="AF261" s="21" t="s">
        <v>22</v>
      </c>
      <c r="AG261" s="21" t="s">
        <v>22</v>
      </c>
      <c r="AH261" s="21" t="s">
        <v>22</v>
      </c>
      <c r="AI261" s="21" t="s">
        <v>22</v>
      </c>
      <c r="AJ261" s="21" t="s">
        <v>22</v>
      </c>
      <c r="AK261" s="21" t="s">
        <v>22</v>
      </c>
      <c r="AL261" s="21" t="s">
        <v>22</v>
      </c>
      <c r="AM261" s="21" t="s">
        <v>83</v>
      </c>
      <c r="AN261" s="21" t="s">
        <v>83</v>
      </c>
      <c r="AO261" s="21" t="s">
        <v>83</v>
      </c>
      <c r="AP261" s="21" t="s">
        <v>83</v>
      </c>
      <c r="AQ261" s="21" t="s">
        <v>83</v>
      </c>
      <c r="AR261" s="21" t="s">
        <v>83</v>
      </c>
      <c r="AS261" s="21" t="s">
        <v>83</v>
      </c>
      <c r="AT261" s="21" t="s">
        <v>109</v>
      </c>
      <c r="AU261" s="21" t="s">
        <v>83</v>
      </c>
      <c r="AV261" s="21" t="s">
        <v>83</v>
      </c>
      <c r="AW261" s="21" t="s">
        <v>109</v>
      </c>
      <c r="AX261" s="21" t="s">
        <v>83</v>
      </c>
      <c r="AY261" s="21" t="s">
        <v>109</v>
      </c>
      <c r="AZ261" s="21" t="s">
        <v>83</v>
      </c>
      <c r="BA261" s="17" t="s">
        <v>324</v>
      </c>
      <c r="BB261" s="17" t="s">
        <v>219</v>
      </c>
      <c r="BC261" s="18">
        <f>--ISNUMBER(SEARCH("Radio or television",BA261))</f>
        <v>1</v>
      </c>
      <c r="BD261" s="18">
        <f>--ISNUMBER(SEARCH("Newspapers or print media",BA261))</f>
        <v>0</v>
      </c>
      <c r="BE261" s="18">
        <f>--ISNUMBER(SEARCH("Social media (e.g. Facebook, WhatsApp, YouTube, X/Twitter)",BA261))</f>
        <v>0</v>
      </c>
      <c r="BF261" s="18">
        <f>--ISNUMBER(SEARCH("Family members",BA261))</f>
        <v>1</v>
      </c>
      <c r="BG261" s="18">
        <f>--ISNUMBER(SEARCH("Friends or fellow students",BA261))</f>
        <v>0</v>
      </c>
      <c r="BH261" s="18">
        <f>--ISNUMBER(SEARCH("School coursework or lectures",BA261))</f>
        <v>0</v>
      </c>
      <c r="BI261" s="18">
        <f>--ISNUMBER(SEARCH("NHIMA outreach activities or NHIMA offices",BA261))</f>
        <v>0</v>
      </c>
      <c r="BJ261" s="18">
        <f>--ISNUMBER(SEARCH("Health facility staff",BA261))</f>
        <v>0</v>
      </c>
      <c r="BK261" s="18">
        <f>--ISNUMBER(SEARCH("not received information",BA261))</f>
        <v>0</v>
      </c>
      <c r="BL261" s="18">
        <f>IF(T261="","",--(T261='Codebook'!$F$13))</f>
        <v>1</v>
      </c>
      <c r="BM261" s="18">
        <f>IF(U261="","",--(U261='Codebook'!$F$14))</f>
        <v>0</v>
      </c>
      <c r="BN261" s="18">
        <f>IF(V261="","",--(V261='Codebook'!$F$15))</f>
        <v>1</v>
      </c>
      <c r="BO261" s="18">
        <f>IF(W261="","",--(W261='Codebook'!$F$16))</f>
        <v>1</v>
      </c>
      <c r="BP261" s="18">
        <f>IF(X261="","",--(X261='Codebook'!$F$17))</f>
        <v>0</v>
      </c>
      <c r="BQ261" s="18">
        <f>IF(Y261="","",--(Y261='Codebook'!$F$18))</f>
        <v>1</v>
      </c>
      <c r="BR261" s="18">
        <f>IF(Z261="","",--(Z261='Codebook'!$F$19))</f>
        <v>0</v>
      </c>
      <c r="BS261" s="18">
        <f>IF(AA261="","",--(AA261='Codebook'!$F$20))</f>
        <v>0</v>
      </c>
      <c r="BT261" s="18">
        <f>IF(AB261="","",--(AB261='Codebook'!$F$21))</f>
        <v>0</v>
      </c>
      <c r="BU261" s="18">
        <f>IF(AC261="","",--(AC261='Codebook'!$F$22))</f>
        <v>0</v>
      </c>
      <c r="BV261" s="18">
        <f>IF(AD261="","",--(AD261='Codebook'!$F$23))</f>
        <v>1</v>
      </c>
      <c r="BW261" s="18">
        <f>IF(AE261="","",--(AE261='Codebook'!$F$24))</f>
        <v>1</v>
      </c>
      <c r="BX261" s="18">
        <f>IF(AF261="","",--(AF261='Codebook'!$F$25))</f>
        <v>0</v>
      </c>
      <c r="BY261" s="18">
        <f>IF(AG261="","",--(AG261='Codebook'!$F$26))</f>
        <v>1</v>
      </c>
      <c r="BZ261" s="18">
        <f>IF(AH261="","",--(AH261='Codebook'!$F$27))</f>
        <v>1</v>
      </c>
      <c r="CA261" s="18">
        <f>IF(AI261="","",--(AI261='Codebook'!$F$28))</f>
        <v>0</v>
      </c>
      <c r="CB261" s="18">
        <f>IF(AJ261="","",--(AJ261='Codebook'!$F$29))</f>
        <v>0</v>
      </c>
      <c r="CC261" s="18">
        <f>IF(AK261="","",--(AK261='Codebook'!$F$30))</f>
        <v>1</v>
      </c>
      <c r="CD261" s="18">
        <f>IF(AL261="","",--(AL261='Codebook'!$F$31))</f>
        <v>0</v>
      </c>
      <c r="CE261" s="18">
        <f>IF(AM261="","",--(AM261='Codebook'!$F$32))</f>
        <v>1</v>
      </c>
      <c r="CF261" s="18">
        <f>IF(AN261="","",--(AN261='Codebook'!$F$33))</f>
        <v>1</v>
      </c>
      <c r="CG261" s="18">
        <f>IF(AO261="","",--(AO261='Codebook'!$F$34))</f>
        <v>1</v>
      </c>
      <c r="CH261" s="18">
        <f>IF(AP261="","",--(AP261='Codebook'!$F$35))</f>
        <v>1</v>
      </c>
      <c r="CI261" s="18">
        <f>IF(AQ261="","",--(AQ261='Codebook'!$F$36))</f>
        <v>1</v>
      </c>
      <c r="CJ261" s="18">
        <f>IF(AR261="","",--(AR261='Codebook'!$F$37))</f>
        <v>1</v>
      </c>
      <c r="CK261" s="18">
        <f>IF(AS261="","",--(AS261='Codebook'!$F$38))</f>
        <v>1</v>
      </c>
      <c r="CL261" s="18">
        <f>IF(AT261="","",--(AT261='Codebook'!$F$39))</f>
        <v>0</v>
      </c>
      <c r="CM261" s="18">
        <f>IF(AU261="","",--(AU261='Codebook'!$F$40))</f>
        <v>0</v>
      </c>
      <c r="CN261" s="18">
        <f>IF(AV261="","",--(AV261='Codebook'!$F$41))</f>
        <v>0</v>
      </c>
      <c r="CO261" s="18">
        <f>IF(AW261="","",--(AW261='Codebook'!$F$42))</f>
        <v>1</v>
      </c>
      <c r="CP261" s="18">
        <f>IF(AX261="","",--(AX261='Codebook'!$F$43))</f>
        <v>0</v>
      </c>
      <c r="CQ261" s="18">
        <f>IF(AY261="","",--(AY261='Codebook'!$F$44))</f>
        <v>1</v>
      </c>
      <c r="CR261" s="18">
        <f>IF(AZ261="","",--(AZ261='Codebook'!$F$45))</f>
        <v>0</v>
      </c>
    </row>
    <row r="262" spans="2:96" ht="24" customHeight="1">
      <c r="B262" s="18">
        <v>257</v>
      </c>
      <c r="C262" s="23">
        <v>46289.50663152778</v>
      </c>
      <c r="D262" s="21" t="s">
        <v>275</v>
      </c>
      <c r="E262" s="21" t="s">
        <v>206</v>
      </c>
      <c r="F262" s="21" t="s">
        <v>195</v>
      </c>
      <c r="G262" s="17" t="s">
        <v>215</v>
      </c>
      <c r="H262" s="21" t="s">
        <v>197</v>
      </c>
      <c r="I262" s="18">
        <f>SUM(BL262:BU262)</f>
        <v>4</v>
      </c>
      <c r="J262" s="18">
        <f>IF(COUNT(BV262:CD262)=9,SUM(BV262:CD262),"")</f>
        <v>5</v>
      </c>
      <c r="K262" s="18">
        <f>SUM(BL262:CD262)</f>
        <v>9</v>
      </c>
      <c r="L262" s="18">
        <f>--(K262&gt;='Codebook'!$C$8)</f>
        <v>0</v>
      </c>
      <c r="M262" s="18">
        <f>--(COUNT(BL262:CD262)=19)</f>
        <v>1</v>
      </c>
      <c r="N262" s="18">
        <f>SUM(CE262:CL262)</f>
        <v>6</v>
      </c>
      <c r="O262" s="18">
        <f>SUM(CM262:CR262)</f>
        <v>0</v>
      </c>
      <c r="P262" s="18">
        <f>N262+O262</f>
        <v>6</v>
      </c>
      <c r="Q262" s="21" t="s">
        <v>207</v>
      </c>
      <c r="R262" s="17" t="s">
        <v>156</v>
      </c>
      <c r="S262" s="18">
        <f>--OR(Overview!$B$6="All",E262=Overview!$B$6)*--OR(Overview!$F$6="All",F262=Overview!$F$6)*--OR(Overview!$J$6="All",G262=Overview!$J$6)*--OR(Overview!$N$6="All",H262=Overview!$N$6)</f>
        <v>1</v>
      </c>
      <c r="T262" s="21" t="s">
        <v>22</v>
      </c>
      <c r="U262" s="21" t="s">
        <v>22</v>
      </c>
      <c r="V262" s="21" t="s">
        <v>22</v>
      </c>
      <c r="W262" s="21" t="s">
        <v>22</v>
      </c>
      <c r="X262" s="21" t="s">
        <v>22</v>
      </c>
      <c r="Y262" s="21" t="s">
        <v>22</v>
      </c>
      <c r="Z262" s="21" t="s">
        <v>198</v>
      </c>
      <c r="AA262" s="21" t="s">
        <v>26</v>
      </c>
      <c r="AB262" s="21" t="s">
        <v>22</v>
      </c>
      <c r="AC262" s="21" t="s">
        <v>22</v>
      </c>
      <c r="AD262" s="21" t="s">
        <v>22</v>
      </c>
      <c r="AE262" s="21" t="s">
        <v>198</v>
      </c>
      <c r="AF262" s="21" t="s">
        <v>22</v>
      </c>
      <c r="AG262" s="21" t="s">
        <v>22</v>
      </c>
      <c r="AH262" s="21" t="s">
        <v>22</v>
      </c>
      <c r="AI262" s="21" t="s">
        <v>22</v>
      </c>
      <c r="AJ262" s="21" t="s">
        <v>22</v>
      </c>
      <c r="AK262" s="21" t="s">
        <v>22</v>
      </c>
      <c r="AL262" s="21" t="s">
        <v>26</v>
      </c>
      <c r="AM262" s="21" t="s">
        <v>83</v>
      </c>
      <c r="AN262" s="21" t="s">
        <v>83</v>
      </c>
      <c r="AO262" s="21" t="s">
        <v>83</v>
      </c>
      <c r="AP262" s="21" t="s">
        <v>83</v>
      </c>
      <c r="AQ262" s="21" t="s">
        <v>83</v>
      </c>
      <c r="AR262" s="21" t="s">
        <v>198</v>
      </c>
      <c r="AS262" s="21" t="s">
        <v>83</v>
      </c>
      <c r="AT262" s="21" t="s">
        <v>198</v>
      </c>
      <c r="AU262" s="21" t="s">
        <v>198</v>
      </c>
      <c r="AV262" s="21" t="s">
        <v>198</v>
      </c>
      <c r="AW262" s="21" t="s">
        <v>198</v>
      </c>
      <c r="AX262" s="21" t="s">
        <v>198</v>
      </c>
      <c r="AY262" s="21" t="s">
        <v>198</v>
      </c>
      <c r="AZ262" s="21" t="s">
        <v>198</v>
      </c>
      <c r="BA262" s="17" t="s">
        <v>290</v>
      </c>
      <c r="BB262" s="17" t="s">
        <v>313</v>
      </c>
      <c r="BC262" s="18">
        <f>--ISNUMBER(SEARCH("Radio or television",BA262))</f>
        <v>0</v>
      </c>
      <c r="BD262" s="18">
        <f>--ISNUMBER(SEARCH("Newspapers or print media",BA262))</f>
        <v>0</v>
      </c>
      <c r="BE262" s="18">
        <f>--ISNUMBER(SEARCH("Social media (e.g. Facebook, WhatsApp, YouTube, X/Twitter)",BA262))</f>
        <v>0</v>
      </c>
      <c r="BF262" s="18">
        <f>--ISNUMBER(SEARCH("Family members",BA262))</f>
        <v>0</v>
      </c>
      <c r="BG262" s="18">
        <f>--ISNUMBER(SEARCH("Friends or fellow students",BA262))</f>
        <v>1</v>
      </c>
      <c r="BH262" s="18">
        <f>--ISNUMBER(SEARCH("School coursework or lectures",BA262))</f>
        <v>1</v>
      </c>
      <c r="BI262" s="18">
        <f>--ISNUMBER(SEARCH("NHIMA outreach activities or NHIMA offices",BA262))</f>
        <v>0</v>
      </c>
      <c r="BJ262" s="18">
        <f>--ISNUMBER(SEARCH("Health facility staff",BA262))</f>
        <v>0</v>
      </c>
      <c r="BK262" s="18">
        <f>--ISNUMBER(SEARCH("not received information",BA262))</f>
        <v>0</v>
      </c>
      <c r="BL262" s="18">
        <f>IF(T262="","",--(T262='Codebook'!$F$13))</f>
        <v>1</v>
      </c>
      <c r="BM262" s="18">
        <f>IF(U262="","",--(U262='Codebook'!$F$14))</f>
        <v>0</v>
      </c>
      <c r="BN262" s="18">
        <f>IF(V262="","",--(V262='Codebook'!$F$15))</f>
        <v>0</v>
      </c>
      <c r="BO262" s="18">
        <f>IF(W262="","",--(W262='Codebook'!$F$16))</f>
        <v>1</v>
      </c>
      <c r="BP262" s="18">
        <f>IF(X262="","",--(X262='Codebook'!$F$17))</f>
        <v>1</v>
      </c>
      <c r="BQ262" s="18">
        <f>IF(Y262="","",--(Y262='Codebook'!$F$18))</f>
        <v>0</v>
      </c>
      <c r="BR262" s="18">
        <f>IF(Z262="","",--(Z262='Codebook'!$F$19))</f>
        <v>0</v>
      </c>
      <c r="BS262" s="18">
        <f>IF(AA262="","",--(AA262='Codebook'!$F$20))</f>
        <v>0</v>
      </c>
      <c r="BT262" s="18">
        <f>IF(AB262="","",--(AB262='Codebook'!$F$21))</f>
        <v>0</v>
      </c>
      <c r="BU262" s="18">
        <f>IF(AC262="","",--(AC262='Codebook'!$F$22))</f>
        <v>1</v>
      </c>
      <c r="BV262" s="18">
        <f>IF(AD262="","",--(AD262='Codebook'!$F$23))</f>
        <v>1</v>
      </c>
      <c r="BW262" s="18">
        <f>IF(AE262="","",--(AE262='Codebook'!$F$24))</f>
        <v>0</v>
      </c>
      <c r="BX262" s="18">
        <f>IF(AF262="","",--(AF262='Codebook'!$F$25))</f>
        <v>0</v>
      </c>
      <c r="BY262" s="18">
        <f>IF(AG262="","",--(AG262='Codebook'!$F$26))</f>
        <v>1</v>
      </c>
      <c r="BZ262" s="18">
        <f>IF(AH262="","",--(AH262='Codebook'!$F$27))</f>
        <v>1</v>
      </c>
      <c r="CA262" s="18">
        <f>IF(AI262="","",--(AI262='Codebook'!$F$28))</f>
        <v>0</v>
      </c>
      <c r="CB262" s="18">
        <f>IF(AJ262="","",--(AJ262='Codebook'!$F$29))</f>
        <v>0</v>
      </c>
      <c r="CC262" s="18">
        <f>IF(AK262="","",--(AK262='Codebook'!$F$30))</f>
        <v>1</v>
      </c>
      <c r="CD262" s="18">
        <f>IF(AL262="","",--(AL262='Codebook'!$F$31))</f>
        <v>1</v>
      </c>
      <c r="CE262" s="18">
        <f>IF(AM262="","",--(AM262='Codebook'!$F$32))</f>
        <v>1</v>
      </c>
      <c r="CF262" s="18">
        <f>IF(AN262="","",--(AN262='Codebook'!$F$33))</f>
        <v>1</v>
      </c>
      <c r="CG262" s="18">
        <f>IF(AO262="","",--(AO262='Codebook'!$F$34))</f>
        <v>1</v>
      </c>
      <c r="CH262" s="18">
        <f>IF(AP262="","",--(AP262='Codebook'!$F$35))</f>
        <v>1</v>
      </c>
      <c r="CI262" s="18">
        <f>IF(AQ262="","",--(AQ262='Codebook'!$F$36))</f>
        <v>1</v>
      </c>
      <c r="CJ262" s="18">
        <f>IF(AR262="","",--(AR262='Codebook'!$F$37))</f>
        <v>0</v>
      </c>
      <c r="CK262" s="18">
        <f>IF(AS262="","",--(AS262='Codebook'!$F$38))</f>
        <v>1</v>
      </c>
      <c r="CL262" s="18">
        <f>IF(AT262="","",--(AT262='Codebook'!$F$39))</f>
        <v>0</v>
      </c>
      <c r="CM262" s="18">
        <f>IF(AU262="","",--(AU262='Codebook'!$F$40))</f>
        <v>0</v>
      </c>
      <c r="CN262" s="18">
        <f>IF(AV262="","",--(AV262='Codebook'!$F$41))</f>
        <v>0</v>
      </c>
      <c r="CO262" s="18">
        <f>IF(AW262="","",--(AW262='Codebook'!$F$42))</f>
        <v>0</v>
      </c>
      <c r="CP262" s="18">
        <f>IF(AX262="","",--(AX262='Codebook'!$F$43))</f>
        <v>0</v>
      </c>
      <c r="CQ262" s="18">
        <f>IF(AY262="","",--(AY262='Codebook'!$F$44))</f>
        <v>0</v>
      </c>
      <c r="CR262" s="18">
        <f>IF(AZ262="","",--(AZ262='Codebook'!$F$45))</f>
        <v>0</v>
      </c>
    </row>
    <row r="263" spans="2:96" ht="24" customHeight="1">
      <c r="B263" s="18">
        <v>258</v>
      </c>
      <c r="C263" s="23">
        <v>46289.50740907407</v>
      </c>
      <c r="D263" s="21" t="s">
        <v>275</v>
      </c>
      <c r="E263" s="21" t="s">
        <v>206</v>
      </c>
      <c r="F263" s="21" t="s">
        <v>226</v>
      </c>
      <c r="G263" s="17" t="s">
        <v>247</v>
      </c>
      <c r="H263" s="21" t="s">
        <v>207</v>
      </c>
      <c r="I263" s="18">
        <f>SUM(BL263:BU263)</f>
        <v>2</v>
      </c>
      <c r="J263" s="18">
        <f>IF(COUNT(BV263:CD263)=9,SUM(BV263:CD263),"")</f>
        <v>3</v>
      </c>
      <c r="K263" s="18">
        <f>SUM(BL263:CD263)</f>
        <v>5</v>
      </c>
      <c r="L263" s="18">
        <f>--(K263&gt;='Codebook'!$C$8)</f>
        <v>0</v>
      </c>
      <c r="M263" s="18">
        <f>--(COUNT(BL263:CD263)=19)</f>
        <v>1</v>
      </c>
      <c r="N263" s="18">
        <f>SUM(CE263:CL263)</f>
        <v>5</v>
      </c>
      <c r="O263" s="18">
        <f>SUM(CM263:CR263)</f>
        <v>3</v>
      </c>
      <c r="P263" s="18">
        <f>N263+O263</f>
        <v>8</v>
      </c>
      <c r="Q263" s="21" t="s">
        <v>198</v>
      </c>
      <c r="R263" s="17" t="s">
        <v>216</v>
      </c>
      <c r="S263" s="18">
        <f>--OR(Overview!$B$6="All",E263=Overview!$B$6)*--OR(Overview!$F$6="All",F263=Overview!$F$6)*--OR(Overview!$J$6="All",G263=Overview!$J$6)*--OR(Overview!$N$6="All",H263=Overview!$N$6)</f>
        <v>1</v>
      </c>
      <c r="T263" s="21" t="s">
        <v>198</v>
      </c>
      <c r="U263" s="21" t="s">
        <v>198</v>
      </c>
      <c r="V263" s="21" t="s">
        <v>22</v>
      </c>
      <c r="W263" s="21" t="s">
        <v>198</v>
      </c>
      <c r="X263" s="21" t="s">
        <v>22</v>
      </c>
      <c r="Y263" s="21" t="s">
        <v>198</v>
      </c>
      <c r="Z263" s="21" t="s">
        <v>22</v>
      </c>
      <c r="AA263" s="21" t="s">
        <v>198</v>
      </c>
      <c r="AB263" s="21" t="s">
        <v>22</v>
      </c>
      <c r="AC263" s="21" t="s">
        <v>198</v>
      </c>
      <c r="AD263" s="21" t="s">
        <v>22</v>
      </c>
      <c r="AE263" s="21" t="s">
        <v>198</v>
      </c>
      <c r="AF263" s="21" t="s">
        <v>22</v>
      </c>
      <c r="AG263" s="21" t="s">
        <v>198</v>
      </c>
      <c r="AH263" s="21" t="s">
        <v>22</v>
      </c>
      <c r="AI263" s="21" t="s">
        <v>22</v>
      </c>
      <c r="AJ263" s="21" t="s">
        <v>198</v>
      </c>
      <c r="AK263" s="21" t="s">
        <v>22</v>
      </c>
      <c r="AL263" s="21" t="s">
        <v>198</v>
      </c>
      <c r="AM263" s="21" t="s">
        <v>83</v>
      </c>
      <c r="AN263" s="21" t="s">
        <v>83</v>
      </c>
      <c r="AO263" s="21" t="s">
        <v>198</v>
      </c>
      <c r="AP263" s="21" t="s">
        <v>198</v>
      </c>
      <c r="AQ263" s="21" t="s">
        <v>83</v>
      </c>
      <c r="AR263" s="21" t="s">
        <v>83</v>
      </c>
      <c r="AS263" s="21" t="s">
        <v>198</v>
      </c>
      <c r="AT263" s="21" t="s">
        <v>83</v>
      </c>
      <c r="AU263" s="21" t="s">
        <v>198</v>
      </c>
      <c r="AV263" s="21" t="s">
        <v>83</v>
      </c>
      <c r="AW263" s="21" t="s">
        <v>109</v>
      </c>
      <c r="AX263" s="21" t="s">
        <v>198</v>
      </c>
      <c r="AY263" s="21" t="s">
        <v>109</v>
      </c>
      <c r="AZ263" s="21" t="s">
        <v>109</v>
      </c>
      <c r="BA263" s="17" t="s">
        <v>333</v>
      </c>
      <c r="BB263" s="17" t="s">
        <v>315</v>
      </c>
      <c r="BC263" s="18">
        <f>--ISNUMBER(SEARCH("Radio or television",BA263))</f>
        <v>1</v>
      </c>
      <c r="BD263" s="18">
        <f>--ISNUMBER(SEARCH("Newspapers or print media",BA263))</f>
        <v>0</v>
      </c>
      <c r="BE263" s="18">
        <f>--ISNUMBER(SEARCH("Social media (e.g. Facebook, WhatsApp, YouTube, X/Twitter)",BA263))</f>
        <v>1</v>
      </c>
      <c r="BF263" s="18">
        <f>--ISNUMBER(SEARCH("Family members",BA263))</f>
        <v>1</v>
      </c>
      <c r="BG263" s="18">
        <f>--ISNUMBER(SEARCH("Friends or fellow students",BA263))</f>
        <v>0</v>
      </c>
      <c r="BH263" s="18">
        <f>--ISNUMBER(SEARCH("School coursework or lectures",BA263))</f>
        <v>1</v>
      </c>
      <c r="BI263" s="18">
        <f>--ISNUMBER(SEARCH("NHIMA outreach activities or NHIMA offices",BA263))</f>
        <v>0</v>
      </c>
      <c r="BJ263" s="18">
        <f>--ISNUMBER(SEARCH("Health facility staff",BA263))</f>
        <v>0</v>
      </c>
      <c r="BK263" s="18">
        <f>--ISNUMBER(SEARCH("not received information",BA263))</f>
        <v>0</v>
      </c>
      <c r="BL263" s="18">
        <f>IF(T263="","",--(T263='Codebook'!$F$13))</f>
        <v>0</v>
      </c>
      <c r="BM263" s="18">
        <f>IF(U263="","",--(U263='Codebook'!$F$14))</f>
        <v>0</v>
      </c>
      <c r="BN263" s="18">
        <f>IF(V263="","",--(V263='Codebook'!$F$15))</f>
        <v>0</v>
      </c>
      <c r="BO263" s="18">
        <f>IF(W263="","",--(W263='Codebook'!$F$16))</f>
        <v>0</v>
      </c>
      <c r="BP263" s="18">
        <f>IF(X263="","",--(X263='Codebook'!$F$17))</f>
        <v>1</v>
      </c>
      <c r="BQ263" s="18">
        <f>IF(Y263="","",--(Y263='Codebook'!$F$18))</f>
        <v>0</v>
      </c>
      <c r="BR263" s="18">
        <f>IF(Z263="","",--(Z263='Codebook'!$F$19))</f>
        <v>1</v>
      </c>
      <c r="BS263" s="18">
        <f>IF(AA263="","",--(AA263='Codebook'!$F$20))</f>
        <v>0</v>
      </c>
      <c r="BT263" s="18">
        <f>IF(AB263="","",--(AB263='Codebook'!$F$21))</f>
        <v>0</v>
      </c>
      <c r="BU263" s="18">
        <f>IF(AC263="","",--(AC263='Codebook'!$F$22))</f>
        <v>0</v>
      </c>
      <c r="BV263" s="18">
        <f>IF(AD263="","",--(AD263='Codebook'!$F$23))</f>
        <v>1</v>
      </c>
      <c r="BW263" s="18">
        <f>IF(AE263="","",--(AE263='Codebook'!$F$24))</f>
        <v>0</v>
      </c>
      <c r="BX263" s="18">
        <f>IF(AF263="","",--(AF263='Codebook'!$F$25))</f>
        <v>0</v>
      </c>
      <c r="BY263" s="18">
        <f>IF(AG263="","",--(AG263='Codebook'!$F$26))</f>
        <v>0</v>
      </c>
      <c r="BZ263" s="18">
        <f>IF(AH263="","",--(AH263='Codebook'!$F$27))</f>
        <v>1</v>
      </c>
      <c r="CA263" s="18">
        <f>IF(AI263="","",--(AI263='Codebook'!$F$28))</f>
        <v>0</v>
      </c>
      <c r="CB263" s="18">
        <f>IF(AJ263="","",--(AJ263='Codebook'!$F$29))</f>
        <v>0</v>
      </c>
      <c r="CC263" s="18">
        <f>IF(AK263="","",--(AK263='Codebook'!$F$30))</f>
        <v>1</v>
      </c>
      <c r="CD263" s="18">
        <f>IF(AL263="","",--(AL263='Codebook'!$F$31))</f>
        <v>0</v>
      </c>
      <c r="CE263" s="18">
        <f>IF(AM263="","",--(AM263='Codebook'!$F$32))</f>
        <v>1</v>
      </c>
      <c r="CF263" s="18">
        <f>IF(AN263="","",--(AN263='Codebook'!$F$33))</f>
        <v>1</v>
      </c>
      <c r="CG263" s="18">
        <f>IF(AO263="","",--(AO263='Codebook'!$F$34))</f>
        <v>0</v>
      </c>
      <c r="CH263" s="18">
        <f>IF(AP263="","",--(AP263='Codebook'!$F$35))</f>
        <v>0</v>
      </c>
      <c r="CI263" s="18">
        <f>IF(AQ263="","",--(AQ263='Codebook'!$F$36))</f>
        <v>1</v>
      </c>
      <c r="CJ263" s="18">
        <f>IF(AR263="","",--(AR263='Codebook'!$F$37))</f>
        <v>1</v>
      </c>
      <c r="CK263" s="18">
        <f>IF(AS263="","",--(AS263='Codebook'!$F$38))</f>
        <v>0</v>
      </c>
      <c r="CL263" s="18">
        <f>IF(AT263="","",--(AT263='Codebook'!$F$39))</f>
        <v>1</v>
      </c>
      <c r="CM263" s="18">
        <f>IF(AU263="","",--(AU263='Codebook'!$F$40))</f>
        <v>0</v>
      </c>
      <c r="CN263" s="18">
        <f>IF(AV263="","",--(AV263='Codebook'!$F$41))</f>
        <v>0</v>
      </c>
      <c r="CO263" s="18">
        <f>IF(AW263="","",--(AW263='Codebook'!$F$42))</f>
        <v>1</v>
      </c>
      <c r="CP263" s="18">
        <f>IF(AX263="","",--(AX263='Codebook'!$F$43))</f>
        <v>0</v>
      </c>
      <c r="CQ263" s="18">
        <f>IF(AY263="","",--(AY263='Codebook'!$F$44))</f>
        <v>1</v>
      </c>
      <c r="CR263" s="18">
        <f>IF(AZ263="","",--(AZ263='Codebook'!$F$45))</f>
        <v>1</v>
      </c>
    </row>
    <row r="264" spans="2:96" ht="24" customHeight="1">
      <c r="B264" s="18">
        <v>259</v>
      </c>
      <c r="C264" s="23">
        <v>46289.53824591435</v>
      </c>
      <c r="D264" s="21" t="s">
        <v>268</v>
      </c>
      <c r="E264" s="21" t="s">
        <v>194</v>
      </c>
      <c r="F264" s="21" t="s">
        <v>201</v>
      </c>
      <c r="G264" s="17" t="s">
        <v>196</v>
      </c>
      <c r="H264" s="21" t="s">
        <v>197</v>
      </c>
      <c r="I264" s="18">
        <f>SUM(BL264:BU264)</f>
        <v>7</v>
      </c>
      <c r="J264" s="18">
        <f>IF(COUNT(BV264:CD264)=9,SUM(BV264:CD264),"")</f>
        <v>5</v>
      </c>
      <c r="K264" s="18">
        <f>SUM(BL264:CD264)</f>
        <v>12</v>
      </c>
      <c r="L264" s="18">
        <f>--(K264&gt;='Codebook'!$C$8)</f>
        <v>1</v>
      </c>
      <c r="M264" s="18">
        <f>--(COUNT(BL264:CD264)=19)</f>
        <v>1</v>
      </c>
      <c r="N264" s="18">
        <f>SUM(CE264:CL264)</f>
        <v>6</v>
      </c>
      <c r="O264" s="18">
        <f>SUM(CM264:CR264)</f>
        <v>1</v>
      </c>
      <c r="P264" s="18">
        <f>N264+O264</f>
        <v>7</v>
      </c>
      <c r="Q264" s="21" t="s">
        <v>197</v>
      </c>
      <c r="R264" s="17" t="s">
        <v>152</v>
      </c>
      <c r="S264" s="18">
        <f>--OR(Overview!$B$6="All",E264=Overview!$B$6)*--OR(Overview!$F$6="All",F264=Overview!$F$6)*--OR(Overview!$J$6="All",G264=Overview!$J$6)*--OR(Overview!$N$6="All",H264=Overview!$N$6)</f>
        <v>1</v>
      </c>
      <c r="T264" s="21" t="s">
        <v>22</v>
      </c>
      <c r="U264" s="21" t="s">
        <v>22</v>
      </c>
      <c r="V264" s="21" t="s">
        <v>22</v>
      </c>
      <c r="W264" s="21" t="s">
        <v>22</v>
      </c>
      <c r="X264" s="21" t="s">
        <v>22</v>
      </c>
      <c r="Y264" s="21" t="s">
        <v>22</v>
      </c>
      <c r="Z264" s="21" t="s">
        <v>22</v>
      </c>
      <c r="AA264" s="21" t="s">
        <v>22</v>
      </c>
      <c r="AB264" s="21" t="s">
        <v>26</v>
      </c>
      <c r="AC264" s="21" t="s">
        <v>22</v>
      </c>
      <c r="AD264" s="21" t="s">
        <v>22</v>
      </c>
      <c r="AE264" s="21" t="s">
        <v>22</v>
      </c>
      <c r="AF264" s="21" t="s">
        <v>22</v>
      </c>
      <c r="AG264" s="21" t="s">
        <v>22</v>
      </c>
      <c r="AH264" s="21" t="s">
        <v>22</v>
      </c>
      <c r="AI264" s="21" t="s">
        <v>22</v>
      </c>
      <c r="AJ264" s="21" t="s">
        <v>22</v>
      </c>
      <c r="AK264" s="21" t="s">
        <v>22</v>
      </c>
      <c r="AL264" s="21" t="s">
        <v>22</v>
      </c>
      <c r="AM264" s="21" t="s">
        <v>83</v>
      </c>
      <c r="AN264" s="21" t="s">
        <v>83</v>
      </c>
      <c r="AO264" s="21" t="s">
        <v>109</v>
      </c>
      <c r="AP264" s="21" t="s">
        <v>83</v>
      </c>
      <c r="AQ264" s="21" t="s">
        <v>83</v>
      </c>
      <c r="AR264" s="21" t="s">
        <v>83</v>
      </c>
      <c r="AS264" s="21" t="s">
        <v>83</v>
      </c>
      <c r="AT264" s="21" t="s">
        <v>109</v>
      </c>
      <c r="AU264" s="21" t="s">
        <v>83</v>
      </c>
      <c r="AV264" s="21" t="s">
        <v>83</v>
      </c>
      <c r="AW264" s="21" t="s">
        <v>109</v>
      </c>
      <c r="AX264" s="21" t="s">
        <v>83</v>
      </c>
      <c r="AY264" s="21" t="s">
        <v>83</v>
      </c>
      <c r="AZ264" s="21" t="s">
        <v>83</v>
      </c>
      <c r="BA264" s="17" t="s">
        <v>271</v>
      </c>
      <c r="BB264" s="17" t="s">
        <v>223</v>
      </c>
      <c r="BC264" s="18">
        <f>--ISNUMBER(SEARCH("Radio or television",BA264))</f>
        <v>1</v>
      </c>
      <c r="BD264" s="18">
        <f>--ISNUMBER(SEARCH("Newspapers or print media",BA264))</f>
        <v>1</v>
      </c>
      <c r="BE264" s="18">
        <f>--ISNUMBER(SEARCH("Social media (e.g. Facebook, WhatsApp, YouTube, X/Twitter)",BA264))</f>
        <v>0</v>
      </c>
      <c r="BF264" s="18">
        <f>--ISNUMBER(SEARCH("Family members",BA264))</f>
        <v>0</v>
      </c>
      <c r="BG264" s="18">
        <f>--ISNUMBER(SEARCH("Friends or fellow students",BA264))</f>
        <v>0</v>
      </c>
      <c r="BH264" s="18">
        <f>--ISNUMBER(SEARCH("School coursework or lectures",BA264))</f>
        <v>0</v>
      </c>
      <c r="BI264" s="18">
        <f>--ISNUMBER(SEARCH("NHIMA outreach activities or NHIMA offices",BA264))</f>
        <v>0</v>
      </c>
      <c r="BJ264" s="18">
        <f>--ISNUMBER(SEARCH("Health facility staff",BA264))</f>
        <v>0</v>
      </c>
      <c r="BK264" s="18">
        <f>--ISNUMBER(SEARCH("not received information",BA264))</f>
        <v>0</v>
      </c>
      <c r="BL264" s="18">
        <f>IF(T264="","",--(T264='Codebook'!$F$13))</f>
        <v>1</v>
      </c>
      <c r="BM264" s="18">
        <f>IF(U264="","",--(U264='Codebook'!$F$14))</f>
        <v>0</v>
      </c>
      <c r="BN264" s="18">
        <f>IF(V264="","",--(V264='Codebook'!$F$15))</f>
        <v>0</v>
      </c>
      <c r="BO264" s="18">
        <f>IF(W264="","",--(W264='Codebook'!$F$16))</f>
        <v>1</v>
      </c>
      <c r="BP264" s="18">
        <f>IF(X264="","",--(X264='Codebook'!$F$17))</f>
        <v>1</v>
      </c>
      <c r="BQ264" s="18">
        <f>IF(Y264="","",--(Y264='Codebook'!$F$18))</f>
        <v>0</v>
      </c>
      <c r="BR264" s="18">
        <f>IF(Z264="","",--(Z264='Codebook'!$F$19))</f>
        <v>1</v>
      </c>
      <c r="BS264" s="18">
        <f>IF(AA264="","",--(AA264='Codebook'!$F$20))</f>
        <v>1</v>
      </c>
      <c r="BT264" s="18">
        <f>IF(AB264="","",--(AB264='Codebook'!$F$21))</f>
        <v>1</v>
      </c>
      <c r="BU264" s="18">
        <f>IF(AC264="","",--(AC264='Codebook'!$F$22))</f>
        <v>1</v>
      </c>
      <c r="BV264" s="18">
        <f>IF(AD264="","",--(AD264='Codebook'!$F$23))</f>
        <v>1</v>
      </c>
      <c r="BW264" s="18">
        <f>IF(AE264="","",--(AE264='Codebook'!$F$24))</f>
        <v>1</v>
      </c>
      <c r="BX264" s="18">
        <f>IF(AF264="","",--(AF264='Codebook'!$F$25))</f>
        <v>0</v>
      </c>
      <c r="BY264" s="18">
        <f>IF(AG264="","",--(AG264='Codebook'!$F$26))</f>
        <v>1</v>
      </c>
      <c r="BZ264" s="18">
        <f>IF(AH264="","",--(AH264='Codebook'!$F$27))</f>
        <v>1</v>
      </c>
      <c r="CA264" s="18">
        <f>IF(AI264="","",--(AI264='Codebook'!$F$28))</f>
        <v>0</v>
      </c>
      <c r="CB264" s="18">
        <f>IF(AJ264="","",--(AJ264='Codebook'!$F$29))</f>
        <v>0</v>
      </c>
      <c r="CC264" s="18">
        <f>IF(AK264="","",--(AK264='Codebook'!$F$30))</f>
        <v>1</v>
      </c>
      <c r="CD264" s="18">
        <f>IF(AL264="","",--(AL264='Codebook'!$F$31))</f>
        <v>0</v>
      </c>
      <c r="CE264" s="18">
        <f>IF(AM264="","",--(AM264='Codebook'!$F$32))</f>
        <v>1</v>
      </c>
      <c r="CF264" s="18">
        <f>IF(AN264="","",--(AN264='Codebook'!$F$33))</f>
        <v>1</v>
      </c>
      <c r="CG264" s="18">
        <f>IF(AO264="","",--(AO264='Codebook'!$F$34))</f>
        <v>0</v>
      </c>
      <c r="CH264" s="18">
        <f>IF(AP264="","",--(AP264='Codebook'!$F$35))</f>
        <v>1</v>
      </c>
      <c r="CI264" s="18">
        <f>IF(AQ264="","",--(AQ264='Codebook'!$F$36))</f>
        <v>1</v>
      </c>
      <c r="CJ264" s="18">
        <f>IF(AR264="","",--(AR264='Codebook'!$F$37))</f>
        <v>1</v>
      </c>
      <c r="CK264" s="18">
        <f>IF(AS264="","",--(AS264='Codebook'!$F$38))</f>
        <v>1</v>
      </c>
      <c r="CL264" s="18">
        <f>IF(AT264="","",--(AT264='Codebook'!$F$39))</f>
        <v>0</v>
      </c>
      <c r="CM264" s="18">
        <f>IF(AU264="","",--(AU264='Codebook'!$F$40))</f>
        <v>0</v>
      </c>
      <c r="CN264" s="18">
        <f>IF(AV264="","",--(AV264='Codebook'!$F$41))</f>
        <v>0</v>
      </c>
      <c r="CO264" s="18">
        <f>IF(AW264="","",--(AW264='Codebook'!$F$42))</f>
        <v>1</v>
      </c>
      <c r="CP264" s="18">
        <f>IF(AX264="","",--(AX264='Codebook'!$F$43))</f>
        <v>0</v>
      </c>
      <c r="CQ264" s="18">
        <f>IF(AY264="","",--(AY264='Codebook'!$F$44))</f>
        <v>0</v>
      </c>
      <c r="CR264" s="18">
        <f>IF(AZ264="","",--(AZ264='Codebook'!$F$45))</f>
        <v>0</v>
      </c>
    </row>
    <row r="265" spans="2:96" ht="24" customHeight="1">
      <c r="B265" s="18">
        <v>260</v>
      </c>
      <c r="C265" s="23">
        <v>46289.53892474537</v>
      </c>
      <c r="D265" s="21" t="s">
        <v>275</v>
      </c>
      <c r="E265" s="21" t="s">
        <v>194</v>
      </c>
      <c r="F265" s="21" t="s">
        <v>212</v>
      </c>
      <c r="G265" s="17" t="s">
        <v>196</v>
      </c>
      <c r="H265" s="21" t="s">
        <v>198</v>
      </c>
      <c r="I265" s="18">
        <f>SUM(BL265:BU265)</f>
        <v>6</v>
      </c>
      <c r="J265" s="18">
        <f>IF(COUNT(BV265:CD265)=9,SUM(BV265:CD265),"")</f>
        <v>5</v>
      </c>
      <c r="K265" s="18">
        <f>SUM(BL265:CD265)</f>
        <v>11</v>
      </c>
      <c r="L265" s="18">
        <f>--(K265&gt;='Codebook'!$C$8)</f>
        <v>0</v>
      </c>
      <c r="M265" s="18">
        <f>--(COUNT(BL265:CD265)=19)</f>
        <v>1</v>
      </c>
      <c r="N265" s="18">
        <f>SUM(CE265:CL265)</f>
        <v>7</v>
      </c>
      <c r="O265" s="18">
        <f>SUM(CM265:CR265)</f>
        <v>0</v>
      </c>
      <c r="P265" s="18">
        <f>N265+O265</f>
        <v>7</v>
      </c>
      <c r="Q265" s="21" t="s">
        <v>207</v>
      </c>
      <c r="R265" s="17" t="s">
        <v>152</v>
      </c>
      <c r="S265" s="18">
        <f>--OR(Overview!$B$6="All",E265=Overview!$B$6)*--OR(Overview!$F$6="All",F265=Overview!$F$6)*--OR(Overview!$J$6="All",G265=Overview!$J$6)*--OR(Overview!$N$6="All",H265=Overview!$N$6)</f>
        <v>1</v>
      </c>
      <c r="T265" s="21" t="s">
        <v>22</v>
      </c>
      <c r="U265" s="21" t="s">
        <v>22</v>
      </c>
      <c r="V265" s="21" t="s">
        <v>22</v>
      </c>
      <c r="W265" s="21" t="s">
        <v>22</v>
      </c>
      <c r="X265" s="21" t="s">
        <v>22</v>
      </c>
      <c r="Y265" s="21" t="s">
        <v>22</v>
      </c>
      <c r="Z265" s="21" t="s">
        <v>22</v>
      </c>
      <c r="AA265" s="21" t="s">
        <v>22</v>
      </c>
      <c r="AB265" s="21" t="s">
        <v>22</v>
      </c>
      <c r="AC265" s="21" t="s">
        <v>22</v>
      </c>
      <c r="AD265" s="21" t="s">
        <v>22</v>
      </c>
      <c r="AE265" s="21" t="s">
        <v>22</v>
      </c>
      <c r="AF265" s="21" t="s">
        <v>22</v>
      </c>
      <c r="AG265" s="21" t="s">
        <v>22</v>
      </c>
      <c r="AH265" s="21" t="s">
        <v>22</v>
      </c>
      <c r="AI265" s="21" t="s">
        <v>22</v>
      </c>
      <c r="AJ265" s="21" t="s">
        <v>22</v>
      </c>
      <c r="AK265" s="21" t="s">
        <v>22</v>
      </c>
      <c r="AL265" s="21" t="s">
        <v>22</v>
      </c>
      <c r="AM265" s="21" t="s">
        <v>83</v>
      </c>
      <c r="AN265" s="21" t="s">
        <v>83</v>
      </c>
      <c r="AO265" s="21" t="s">
        <v>83</v>
      </c>
      <c r="AP265" s="21" t="s">
        <v>83</v>
      </c>
      <c r="AQ265" s="21" t="s">
        <v>83</v>
      </c>
      <c r="AR265" s="21" t="s">
        <v>109</v>
      </c>
      <c r="AS265" s="21" t="s">
        <v>83</v>
      </c>
      <c r="AT265" s="21" t="s">
        <v>83</v>
      </c>
      <c r="AU265" s="21" t="s">
        <v>83</v>
      </c>
      <c r="AV265" s="21" t="s">
        <v>83</v>
      </c>
      <c r="AW265" s="21" t="s">
        <v>83</v>
      </c>
      <c r="AX265" s="21" t="s">
        <v>83</v>
      </c>
      <c r="AY265" s="21" t="s">
        <v>83</v>
      </c>
      <c r="AZ265" s="21" t="s">
        <v>83</v>
      </c>
      <c r="BA265" s="17" t="s">
        <v>271</v>
      </c>
      <c r="BB265" s="17" t="s">
        <v>240</v>
      </c>
      <c r="BC265" s="18">
        <f>--ISNUMBER(SEARCH("Radio or television",BA265))</f>
        <v>1</v>
      </c>
      <c r="BD265" s="18">
        <f>--ISNUMBER(SEARCH("Newspapers or print media",BA265))</f>
        <v>1</v>
      </c>
      <c r="BE265" s="18">
        <f>--ISNUMBER(SEARCH("Social media (e.g. Facebook, WhatsApp, YouTube, X/Twitter)",BA265))</f>
        <v>0</v>
      </c>
      <c r="BF265" s="18">
        <f>--ISNUMBER(SEARCH("Family members",BA265))</f>
        <v>0</v>
      </c>
      <c r="BG265" s="18">
        <f>--ISNUMBER(SEARCH("Friends or fellow students",BA265))</f>
        <v>0</v>
      </c>
      <c r="BH265" s="18">
        <f>--ISNUMBER(SEARCH("School coursework or lectures",BA265))</f>
        <v>0</v>
      </c>
      <c r="BI265" s="18">
        <f>--ISNUMBER(SEARCH("NHIMA outreach activities or NHIMA offices",BA265))</f>
        <v>0</v>
      </c>
      <c r="BJ265" s="18">
        <f>--ISNUMBER(SEARCH("Health facility staff",BA265))</f>
        <v>0</v>
      </c>
      <c r="BK265" s="18">
        <f>--ISNUMBER(SEARCH("not received information",BA265))</f>
        <v>0</v>
      </c>
      <c r="BL265" s="18">
        <f>IF(T265="","",--(T265='Codebook'!$F$13))</f>
        <v>1</v>
      </c>
      <c r="BM265" s="18">
        <f>IF(U265="","",--(U265='Codebook'!$F$14))</f>
        <v>0</v>
      </c>
      <c r="BN265" s="18">
        <f>IF(V265="","",--(V265='Codebook'!$F$15))</f>
        <v>0</v>
      </c>
      <c r="BO265" s="18">
        <f>IF(W265="","",--(W265='Codebook'!$F$16))</f>
        <v>1</v>
      </c>
      <c r="BP265" s="18">
        <f>IF(X265="","",--(X265='Codebook'!$F$17))</f>
        <v>1</v>
      </c>
      <c r="BQ265" s="18">
        <f>IF(Y265="","",--(Y265='Codebook'!$F$18))</f>
        <v>0</v>
      </c>
      <c r="BR265" s="18">
        <f>IF(Z265="","",--(Z265='Codebook'!$F$19))</f>
        <v>1</v>
      </c>
      <c r="BS265" s="18">
        <f>IF(AA265="","",--(AA265='Codebook'!$F$20))</f>
        <v>1</v>
      </c>
      <c r="BT265" s="18">
        <f>IF(AB265="","",--(AB265='Codebook'!$F$21))</f>
        <v>0</v>
      </c>
      <c r="BU265" s="18">
        <f>IF(AC265="","",--(AC265='Codebook'!$F$22))</f>
        <v>1</v>
      </c>
      <c r="BV265" s="18">
        <f>IF(AD265="","",--(AD265='Codebook'!$F$23))</f>
        <v>1</v>
      </c>
      <c r="BW265" s="18">
        <f>IF(AE265="","",--(AE265='Codebook'!$F$24))</f>
        <v>1</v>
      </c>
      <c r="BX265" s="18">
        <f>IF(AF265="","",--(AF265='Codebook'!$F$25))</f>
        <v>0</v>
      </c>
      <c r="BY265" s="18">
        <f>IF(AG265="","",--(AG265='Codebook'!$F$26))</f>
        <v>1</v>
      </c>
      <c r="BZ265" s="18">
        <f>IF(AH265="","",--(AH265='Codebook'!$F$27))</f>
        <v>1</v>
      </c>
      <c r="CA265" s="18">
        <f>IF(AI265="","",--(AI265='Codebook'!$F$28))</f>
        <v>0</v>
      </c>
      <c r="CB265" s="18">
        <f>IF(AJ265="","",--(AJ265='Codebook'!$F$29))</f>
        <v>0</v>
      </c>
      <c r="CC265" s="18">
        <f>IF(AK265="","",--(AK265='Codebook'!$F$30))</f>
        <v>1</v>
      </c>
      <c r="CD265" s="18">
        <f>IF(AL265="","",--(AL265='Codebook'!$F$31))</f>
        <v>0</v>
      </c>
      <c r="CE265" s="18">
        <f>IF(AM265="","",--(AM265='Codebook'!$F$32))</f>
        <v>1</v>
      </c>
      <c r="CF265" s="18">
        <f>IF(AN265="","",--(AN265='Codebook'!$F$33))</f>
        <v>1</v>
      </c>
      <c r="CG265" s="18">
        <f>IF(AO265="","",--(AO265='Codebook'!$F$34))</f>
        <v>1</v>
      </c>
      <c r="CH265" s="18">
        <f>IF(AP265="","",--(AP265='Codebook'!$F$35))</f>
        <v>1</v>
      </c>
      <c r="CI265" s="18">
        <f>IF(AQ265="","",--(AQ265='Codebook'!$F$36))</f>
        <v>1</v>
      </c>
      <c r="CJ265" s="18">
        <f>IF(AR265="","",--(AR265='Codebook'!$F$37))</f>
        <v>0</v>
      </c>
      <c r="CK265" s="18">
        <f>IF(AS265="","",--(AS265='Codebook'!$F$38))</f>
        <v>1</v>
      </c>
      <c r="CL265" s="18">
        <f>IF(AT265="","",--(AT265='Codebook'!$F$39))</f>
        <v>1</v>
      </c>
      <c r="CM265" s="18">
        <f>IF(AU265="","",--(AU265='Codebook'!$F$40))</f>
        <v>0</v>
      </c>
      <c r="CN265" s="18">
        <f>IF(AV265="","",--(AV265='Codebook'!$F$41))</f>
        <v>0</v>
      </c>
      <c r="CO265" s="18">
        <f>IF(AW265="","",--(AW265='Codebook'!$F$42))</f>
        <v>0</v>
      </c>
      <c r="CP265" s="18">
        <f>IF(AX265="","",--(AX265='Codebook'!$F$43))</f>
        <v>0</v>
      </c>
      <c r="CQ265" s="18">
        <f>IF(AY265="","",--(AY265='Codebook'!$F$44))</f>
        <v>0</v>
      </c>
      <c r="CR265" s="18">
        <f>IF(AZ265="","",--(AZ265='Codebook'!$F$45))</f>
        <v>0</v>
      </c>
    </row>
    <row r="266" spans="2:96" ht="24" customHeight="1">
      <c r="B266" s="18">
        <v>261</v>
      </c>
      <c r="C266" s="23">
        <v>46289.53962517361</v>
      </c>
      <c r="D266" s="21" t="s">
        <v>268</v>
      </c>
      <c r="E266" s="21" t="s">
        <v>206</v>
      </c>
      <c r="F266" s="21" t="s">
        <v>201</v>
      </c>
      <c r="G266" s="17" t="s">
        <v>247</v>
      </c>
      <c r="H266" s="21" t="s">
        <v>207</v>
      </c>
      <c r="I266" s="18">
        <f>SUM(BL266:BU266)</f>
        <v>4</v>
      </c>
      <c r="J266" s="18">
        <f>IF(COUNT(BV266:CD266)=9,SUM(BV266:CD266),"")</f>
        <v>5</v>
      </c>
      <c r="K266" s="18">
        <f>SUM(BL266:CD266)</f>
        <v>9</v>
      </c>
      <c r="L266" s="18">
        <f>--(K266&gt;='Codebook'!$C$8)</f>
        <v>0</v>
      </c>
      <c r="M266" s="18">
        <f>--(COUNT(BL266:CD266)=19)</f>
        <v>1</v>
      </c>
      <c r="N266" s="18">
        <f>SUM(CE266:CL266)</f>
        <v>8</v>
      </c>
      <c r="O266" s="18">
        <f>SUM(CM266:CR266)</f>
        <v>1</v>
      </c>
      <c r="P266" s="18">
        <f>N266+O266</f>
        <v>9</v>
      </c>
      <c r="Q266" s="21" t="s">
        <v>197</v>
      </c>
      <c r="R266" s="17" t="s">
        <v>154</v>
      </c>
      <c r="S266" s="18">
        <f>--OR(Overview!$B$6="All",E266=Overview!$B$6)*--OR(Overview!$F$6="All",F266=Overview!$F$6)*--OR(Overview!$J$6="All",G266=Overview!$J$6)*--OR(Overview!$N$6="All",H266=Overview!$N$6)</f>
        <v>1</v>
      </c>
      <c r="T266" s="21" t="s">
        <v>26</v>
      </c>
      <c r="U266" s="21" t="s">
        <v>22</v>
      </c>
      <c r="V266" s="21" t="s">
        <v>22</v>
      </c>
      <c r="W266" s="21" t="s">
        <v>198</v>
      </c>
      <c r="X266" s="21" t="s">
        <v>22</v>
      </c>
      <c r="Y266" s="21" t="s">
        <v>22</v>
      </c>
      <c r="Z266" s="21" t="s">
        <v>22</v>
      </c>
      <c r="AA266" s="21" t="s">
        <v>22</v>
      </c>
      <c r="AB266" s="21" t="s">
        <v>22</v>
      </c>
      <c r="AC266" s="21" t="s">
        <v>22</v>
      </c>
      <c r="AD266" s="21" t="s">
        <v>22</v>
      </c>
      <c r="AE266" s="21" t="s">
        <v>22</v>
      </c>
      <c r="AF266" s="21" t="s">
        <v>22</v>
      </c>
      <c r="AG266" s="21" t="s">
        <v>22</v>
      </c>
      <c r="AH266" s="21" t="s">
        <v>22</v>
      </c>
      <c r="AI266" s="21" t="s">
        <v>22</v>
      </c>
      <c r="AJ266" s="21" t="s">
        <v>22</v>
      </c>
      <c r="AK266" s="21" t="s">
        <v>22</v>
      </c>
      <c r="AL266" s="21" t="s">
        <v>22</v>
      </c>
      <c r="AM266" s="21" t="s">
        <v>83</v>
      </c>
      <c r="AN266" s="21" t="s">
        <v>83</v>
      </c>
      <c r="AO266" s="21" t="s">
        <v>83</v>
      </c>
      <c r="AP266" s="21" t="s">
        <v>83</v>
      </c>
      <c r="AQ266" s="21" t="s">
        <v>83</v>
      </c>
      <c r="AR266" s="21" t="s">
        <v>83</v>
      </c>
      <c r="AS266" s="21" t="s">
        <v>83</v>
      </c>
      <c r="AT266" s="21" t="s">
        <v>83</v>
      </c>
      <c r="AU266" s="21" t="s">
        <v>83</v>
      </c>
      <c r="AV266" s="21" t="s">
        <v>83</v>
      </c>
      <c r="AW266" s="21" t="s">
        <v>198</v>
      </c>
      <c r="AX266" s="21" t="s">
        <v>83</v>
      </c>
      <c r="AY266" s="21" t="s">
        <v>109</v>
      </c>
      <c r="AZ266" s="21" t="s">
        <v>83</v>
      </c>
      <c r="BA266" s="17" t="s">
        <v>246</v>
      </c>
      <c r="BB266" s="17" t="s">
        <v>250</v>
      </c>
      <c r="BC266" s="18">
        <f>--ISNUMBER(SEARCH("Radio or television",BA266))</f>
        <v>1</v>
      </c>
      <c r="BD266" s="18">
        <f>--ISNUMBER(SEARCH("Newspapers or print media",BA266))</f>
        <v>0</v>
      </c>
      <c r="BE266" s="18">
        <f>--ISNUMBER(SEARCH("Social media (e.g. Facebook, WhatsApp, YouTube, X/Twitter)",BA266))</f>
        <v>1</v>
      </c>
      <c r="BF266" s="18">
        <f>--ISNUMBER(SEARCH("Family members",BA266))</f>
        <v>0</v>
      </c>
      <c r="BG266" s="18">
        <f>--ISNUMBER(SEARCH("Friends or fellow students",BA266))</f>
        <v>0</v>
      </c>
      <c r="BH266" s="18">
        <f>--ISNUMBER(SEARCH("School coursework or lectures",BA266))</f>
        <v>0</v>
      </c>
      <c r="BI266" s="18">
        <f>--ISNUMBER(SEARCH("NHIMA outreach activities or NHIMA offices",BA266))</f>
        <v>0</v>
      </c>
      <c r="BJ266" s="18">
        <f>--ISNUMBER(SEARCH("Health facility staff",BA266))</f>
        <v>0</v>
      </c>
      <c r="BK266" s="18">
        <f>--ISNUMBER(SEARCH("not received information",BA266))</f>
        <v>0</v>
      </c>
      <c r="BL266" s="18">
        <f>IF(T266="","",--(T266='Codebook'!$F$13))</f>
        <v>0</v>
      </c>
      <c r="BM266" s="18">
        <f>IF(U266="","",--(U266='Codebook'!$F$14))</f>
        <v>0</v>
      </c>
      <c r="BN266" s="18">
        <f>IF(V266="","",--(V266='Codebook'!$F$15))</f>
        <v>0</v>
      </c>
      <c r="BO266" s="18">
        <f>IF(W266="","",--(W266='Codebook'!$F$16))</f>
        <v>0</v>
      </c>
      <c r="BP266" s="18">
        <f>IF(X266="","",--(X266='Codebook'!$F$17))</f>
        <v>1</v>
      </c>
      <c r="BQ266" s="18">
        <f>IF(Y266="","",--(Y266='Codebook'!$F$18))</f>
        <v>0</v>
      </c>
      <c r="BR266" s="18">
        <f>IF(Z266="","",--(Z266='Codebook'!$F$19))</f>
        <v>1</v>
      </c>
      <c r="BS266" s="18">
        <f>IF(AA266="","",--(AA266='Codebook'!$F$20))</f>
        <v>1</v>
      </c>
      <c r="BT266" s="18">
        <f>IF(AB266="","",--(AB266='Codebook'!$F$21))</f>
        <v>0</v>
      </c>
      <c r="BU266" s="18">
        <f>IF(AC266="","",--(AC266='Codebook'!$F$22))</f>
        <v>1</v>
      </c>
      <c r="BV266" s="18">
        <f>IF(AD266="","",--(AD266='Codebook'!$F$23))</f>
        <v>1</v>
      </c>
      <c r="BW266" s="18">
        <f>IF(AE266="","",--(AE266='Codebook'!$F$24))</f>
        <v>1</v>
      </c>
      <c r="BX266" s="18">
        <f>IF(AF266="","",--(AF266='Codebook'!$F$25))</f>
        <v>0</v>
      </c>
      <c r="BY266" s="18">
        <f>IF(AG266="","",--(AG266='Codebook'!$F$26))</f>
        <v>1</v>
      </c>
      <c r="BZ266" s="18">
        <f>IF(AH266="","",--(AH266='Codebook'!$F$27))</f>
        <v>1</v>
      </c>
      <c r="CA266" s="18">
        <f>IF(AI266="","",--(AI266='Codebook'!$F$28))</f>
        <v>0</v>
      </c>
      <c r="CB266" s="18">
        <f>IF(AJ266="","",--(AJ266='Codebook'!$F$29))</f>
        <v>0</v>
      </c>
      <c r="CC266" s="18">
        <f>IF(AK266="","",--(AK266='Codebook'!$F$30))</f>
        <v>1</v>
      </c>
      <c r="CD266" s="18">
        <f>IF(AL266="","",--(AL266='Codebook'!$F$31))</f>
        <v>0</v>
      </c>
      <c r="CE266" s="18">
        <f>IF(AM266="","",--(AM266='Codebook'!$F$32))</f>
        <v>1</v>
      </c>
      <c r="CF266" s="18">
        <f>IF(AN266="","",--(AN266='Codebook'!$F$33))</f>
        <v>1</v>
      </c>
      <c r="CG266" s="18">
        <f>IF(AO266="","",--(AO266='Codebook'!$F$34))</f>
        <v>1</v>
      </c>
      <c r="CH266" s="18">
        <f>IF(AP266="","",--(AP266='Codebook'!$F$35))</f>
        <v>1</v>
      </c>
      <c r="CI266" s="18">
        <f>IF(AQ266="","",--(AQ266='Codebook'!$F$36))</f>
        <v>1</v>
      </c>
      <c r="CJ266" s="18">
        <f>IF(AR266="","",--(AR266='Codebook'!$F$37))</f>
        <v>1</v>
      </c>
      <c r="CK266" s="18">
        <f>IF(AS266="","",--(AS266='Codebook'!$F$38))</f>
        <v>1</v>
      </c>
      <c r="CL266" s="18">
        <f>IF(AT266="","",--(AT266='Codebook'!$F$39))</f>
        <v>1</v>
      </c>
      <c r="CM266" s="18">
        <f>IF(AU266="","",--(AU266='Codebook'!$F$40))</f>
        <v>0</v>
      </c>
      <c r="CN266" s="18">
        <f>IF(AV266="","",--(AV266='Codebook'!$F$41))</f>
        <v>0</v>
      </c>
      <c r="CO266" s="18">
        <f>IF(AW266="","",--(AW266='Codebook'!$F$42))</f>
        <v>0</v>
      </c>
      <c r="CP266" s="18">
        <f>IF(AX266="","",--(AX266='Codebook'!$F$43))</f>
        <v>0</v>
      </c>
      <c r="CQ266" s="18">
        <f>IF(AY266="","",--(AY266='Codebook'!$F$44))</f>
        <v>1</v>
      </c>
      <c r="CR266" s="18">
        <f>IF(AZ266="","",--(AZ266='Codebook'!$F$45))</f>
        <v>0</v>
      </c>
    </row>
    <row r="267" spans="2:96" ht="24" customHeight="1">
      <c r="B267" s="18">
        <v>262</v>
      </c>
      <c r="C267" s="23">
        <v>46289.54021565972</v>
      </c>
      <c r="D267" s="21" t="s">
        <v>268</v>
      </c>
      <c r="E267" s="21" t="s">
        <v>206</v>
      </c>
      <c r="F267" s="21" t="s">
        <v>201</v>
      </c>
      <c r="G267" s="17" t="s">
        <v>202</v>
      </c>
      <c r="H267" s="21" t="s">
        <v>198</v>
      </c>
      <c r="I267" s="18">
        <f>SUM(BL267:BU267)</f>
        <v>6</v>
      </c>
      <c r="J267" s="18">
        <f>IF(COUNT(BV267:CD267)=9,SUM(BV267:CD267),"")</f>
        <v>5</v>
      </c>
      <c r="K267" s="18">
        <f>SUM(BL267:CD267)</f>
        <v>11</v>
      </c>
      <c r="L267" s="18">
        <f>--(K267&gt;='Codebook'!$C$8)</f>
        <v>0</v>
      </c>
      <c r="M267" s="18">
        <f>--(COUNT(BL267:CD267)=19)</f>
        <v>1</v>
      </c>
      <c r="N267" s="18">
        <f>SUM(CE267:CL267)</f>
        <v>6</v>
      </c>
      <c r="O267" s="18">
        <f>SUM(CM267:CR267)</f>
        <v>1</v>
      </c>
      <c r="P267" s="18">
        <f>N267+O267</f>
        <v>7</v>
      </c>
      <c r="Q267" s="21" t="s">
        <v>197</v>
      </c>
      <c r="R267" s="17" t="s">
        <v>156</v>
      </c>
      <c r="S267" s="18">
        <f>--OR(Overview!$B$6="All",E267=Overview!$B$6)*--OR(Overview!$F$6="All",F267=Overview!$F$6)*--OR(Overview!$J$6="All",G267=Overview!$J$6)*--OR(Overview!$N$6="All",H267=Overview!$N$6)</f>
        <v>1</v>
      </c>
      <c r="T267" s="21" t="s">
        <v>22</v>
      </c>
      <c r="U267" s="21" t="s">
        <v>22</v>
      </c>
      <c r="V267" s="21" t="s">
        <v>22</v>
      </c>
      <c r="W267" s="21" t="s">
        <v>22</v>
      </c>
      <c r="X267" s="21" t="s">
        <v>26</v>
      </c>
      <c r="Y267" s="21" t="s">
        <v>26</v>
      </c>
      <c r="Z267" s="21" t="s">
        <v>22</v>
      </c>
      <c r="AA267" s="21" t="s">
        <v>22</v>
      </c>
      <c r="AB267" s="21" t="s">
        <v>22</v>
      </c>
      <c r="AC267" s="21" t="s">
        <v>22</v>
      </c>
      <c r="AD267" s="21" t="s">
        <v>22</v>
      </c>
      <c r="AE267" s="21" t="s">
        <v>22</v>
      </c>
      <c r="AF267" s="21" t="s">
        <v>22</v>
      </c>
      <c r="AG267" s="21" t="s">
        <v>22</v>
      </c>
      <c r="AH267" s="21" t="s">
        <v>22</v>
      </c>
      <c r="AI267" s="21" t="s">
        <v>22</v>
      </c>
      <c r="AJ267" s="21" t="s">
        <v>22</v>
      </c>
      <c r="AK267" s="21" t="s">
        <v>22</v>
      </c>
      <c r="AL267" s="21" t="s">
        <v>22</v>
      </c>
      <c r="AM267" s="21" t="s">
        <v>109</v>
      </c>
      <c r="AN267" s="21" t="s">
        <v>83</v>
      </c>
      <c r="AO267" s="21" t="s">
        <v>83</v>
      </c>
      <c r="AP267" s="21" t="s">
        <v>83</v>
      </c>
      <c r="AQ267" s="21" t="s">
        <v>109</v>
      </c>
      <c r="AR267" s="21" t="s">
        <v>83</v>
      </c>
      <c r="AS267" s="21" t="s">
        <v>83</v>
      </c>
      <c r="AT267" s="21" t="s">
        <v>83</v>
      </c>
      <c r="AU267" s="21" t="s">
        <v>109</v>
      </c>
      <c r="AV267" s="21" t="s">
        <v>83</v>
      </c>
      <c r="AW267" s="21" t="s">
        <v>198</v>
      </c>
      <c r="AX267" s="21" t="s">
        <v>83</v>
      </c>
      <c r="AY267" s="21" t="s">
        <v>83</v>
      </c>
      <c r="AZ267" s="21" t="s">
        <v>83</v>
      </c>
      <c r="BA267" s="17" t="s">
        <v>317</v>
      </c>
      <c r="BB267" s="17" t="s">
        <v>313</v>
      </c>
      <c r="BC267" s="18">
        <f>--ISNUMBER(SEARCH("Radio or television",BA267))</f>
        <v>1</v>
      </c>
      <c r="BD267" s="18">
        <f>--ISNUMBER(SEARCH("Newspapers or print media",BA267))</f>
        <v>0</v>
      </c>
      <c r="BE267" s="18">
        <f>--ISNUMBER(SEARCH("Social media (e.g. Facebook, WhatsApp, YouTube, X/Twitter)",BA267))</f>
        <v>0</v>
      </c>
      <c r="BF267" s="18">
        <f>--ISNUMBER(SEARCH("Family members",BA267))</f>
        <v>0</v>
      </c>
      <c r="BG267" s="18">
        <f>--ISNUMBER(SEARCH("Friends or fellow students",BA267))</f>
        <v>1</v>
      </c>
      <c r="BH267" s="18">
        <f>--ISNUMBER(SEARCH("School coursework or lectures",BA267))</f>
        <v>0</v>
      </c>
      <c r="BI267" s="18">
        <f>--ISNUMBER(SEARCH("NHIMA outreach activities or NHIMA offices",BA267))</f>
        <v>0</v>
      </c>
      <c r="BJ267" s="18">
        <f>--ISNUMBER(SEARCH("Health facility staff",BA267))</f>
        <v>0</v>
      </c>
      <c r="BK267" s="18">
        <f>--ISNUMBER(SEARCH("not received information",BA267))</f>
        <v>0</v>
      </c>
      <c r="BL267" s="18">
        <f>IF(T267="","",--(T267='Codebook'!$F$13))</f>
        <v>1</v>
      </c>
      <c r="BM267" s="18">
        <f>IF(U267="","",--(U267='Codebook'!$F$14))</f>
        <v>0</v>
      </c>
      <c r="BN267" s="18">
        <f>IF(V267="","",--(V267='Codebook'!$F$15))</f>
        <v>0</v>
      </c>
      <c r="BO267" s="18">
        <f>IF(W267="","",--(W267='Codebook'!$F$16))</f>
        <v>1</v>
      </c>
      <c r="BP267" s="18">
        <f>IF(X267="","",--(X267='Codebook'!$F$17))</f>
        <v>0</v>
      </c>
      <c r="BQ267" s="18">
        <f>IF(Y267="","",--(Y267='Codebook'!$F$18))</f>
        <v>1</v>
      </c>
      <c r="BR267" s="18">
        <f>IF(Z267="","",--(Z267='Codebook'!$F$19))</f>
        <v>1</v>
      </c>
      <c r="BS267" s="18">
        <f>IF(AA267="","",--(AA267='Codebook'!$F$20))</f>
        <v>1</v>
      </c>
      <c r="BT267" s="18">
        <f>IF(AB267="","",--(AB267='Codebook'!$F$21))</f>
        <v>0</v>
      </c>
      <c r="BU267" s="18">
        <f>IF(AC267="","",--(AC267='Codebook'!$F$22))</f>
        <v>1</v>
      </c>
      <c r="BV267" s="18">
        <f>IF(AD267="","",--(AD267='Codebook'!$F$23))</f>
        <v>1</v>
      </c>
      <c r="BW267" s="18">
        <f>IF(AE267="","",--(AE267='Codebook'!$F$24))</f>
        <v>1</v>
      </c>
      <c r="BX267" s="18">
        <f>IF(AF267="","",--(AF267='Codebook'!$F$25))</f>
        <v>0</v>
      </c>
      <c r="BY267" s="18">
        <f>IF(AG267="","",--(AG267='Codebook'!$F$26))</f>
        <v>1</v>
      </c>
      <c r="BZ267" s="18">
        <f>IF(AH267="","",--(AH267='Codebook'!$F$27))</f>
        <v>1</v>
      </c>
      <c r="CA267" s="18">
        <f>IF(AI267="","",--(AI267='Codebook'!$F$28))</f>
        <v>0</v>
      </c>
      <c r="CB267" s="18">
        <f>IF(AJ267="","",--(AJ267='Codebook'!$F$29))</f>
        <v>0</v>
      </c>
      <c r="CC267" s="18">
        <f>IF(AK267="","",--(AK267='Codebook'!$F$30))</f>
        <v>1</v>
      </c>
      <c r="CD267" s="18">
        <f>IF(AL267="","",--(AL267='Codebook'!$F$31))</f>
        <v>0</v>
      </c>
      <c r="CE267" s="18">
        <f>IF(AM267="","",--(AM267='Codebook'!$F$32))</f>
        <v>0</v>
      </c>
      <c r="CF267" s="18">
        <f>IF(AN267="","",--(AN267='Codebook'!$F$33))</f>
        <v>1</v>
      </c>
      <c r="CG267" s="18">
        <f>IF(AO267="","",--(AO267='Codebook'!$F$34))</f>
        <v>1</v>
      </c>
      <c r="CH267" s="18">
        <f>IF(AP267="","",--(AP267='Codebook'!$F$35))</f>
        <v>1</v>
      </c>
      <c r="CI267" s="18">
        <f>IF(AQ267="","",--(AQ267='Codebook'!$F$36))</f>
        <v>0</v>
      </c>
      <c r="CJ267" s="18">
        <f>IF(AR267="","",--(AR267='Codebook'!$F$37))</f>
        <v>1</v>
      </c>
      <c r="CK267" s="18">
        <f>IF(AS267="","",--(AS267='Codebook'!$F$38))</f>
        <v>1</v>
      </c>
      <c r="CL267" s="18">
        <f>IF(AT267="","",--(AT267='Codebook'!$F$39))</f>
        <v>1</v>
      </c>
      <c r="CM267" s="18">
        <f>IF(AU267="","",--(AU267='Codebook'!$F$40))</f>
        <v>1</v>
      </c>
      <c r="CN267" s="18">
        <f>IF(AV267="","",--(AV267='Codebook'!$F$41))</f>
        <v>0</v>
      </c>
      <c r="CO267" s="18">
        <f>IF(AW267="","",--(AW267='Codebook'!$F$42))</f>
        <v>0</v>
      </c>
      <c r="CP267" s="18">
        <f>IF(AX267="","",--(AX267='Codebook'!$F$43))</f>
        <v>0</v>
      </c>
      <c r="CQ267" s="18">
        <f>IF(AY267="","",--(AY267='Codebook'!$F$44))</f>
        <v>0</v>
      </c>
      <c r="CR267" s="18">
        <f>IF(AZ267="","",--(AZ267='Codebook'!$F$45))</f>
        <v>0</v>
      </c>
    </row>
    <row r="268" spans="2:96" ht="24" customHeight="1">
      <c r="B268" s="18">
        <v>263</v>
      </c>
      <c r="C268" s="23">
        <v>46289.54083688658</v>
      </c>
      <c r="D268" s="21" t="s">
        <v>275</v>
      </c>
      <c r="E268" s="21" t="s">
        <v>206</v>
      </c>
      <c r="F268" s="21" t="s">
        <v>195</v>
      </c>
      <c r="G268" s="17" t="s">
        <v>196</v>
      </c>
      <c r="H268" s="21" t="s">
        <v>198</v>
      </c>
      <c r="I268" s="18">
        <f>SUM(BL268:BU268)</f>
        <v>6</v>
      </c>
      <c r="J268" s="18">
        <f>IF(COUNT(BV268:CD268)=9,SUM(BV268:CD268),"")</f>
        <v>2</v>
      </c>
      <c r="K268" s="18">
        <f>SUM(BL268:CD268)</f>
        <v>8</v>
      </c>
      <c r="L268" s="18">
        <f>--(K268&gt;='Codebook'!$C$8)</f>
        <v>0</v>
      </c>
      <c r="M268" s="18">
        <f>--(COUNT(BL268:CD268)=19)</f>
        <v>1</v>
      </c>
      <c r="N268" s="18">
        <f>SUM(CE268:CL268)</f>
        <v>7</v>
      </c>
      <c r="O268" s="18">
        <f>SUM(CM268:CR268)</f>
        <v>2</v>
      </c>
      <c r="P268" s="18">
        <f>N268+O268</f>
        <v>9</v>
      </c>
      <c r="Q268" s="21" t="s">
        <v>198</v>
      </c>
      <c r="R268" s="17" t="s">
        <v>216</v>
      </c>
      <c r="S268" s="18">
        <f>--OR(Overview!$B$6="All",E268=Overview!$B$6)*--OR(Overview!$F$6="All",F268=Overview!$F$6)*--OR(Overview!$J$6="All",G268=Overview!$J$6)*--OR(Overview!$N$6="All",H268=Overview!$N$6)</f>
        <v>1</v>
      </c>
      <c r="T268" s="21" t="s">
        <v>22</v>
      </c>
      <c r="U268" s="21" t="s">
        <v>22</v>
      </c>
      <c r="V268" s="21" t="s">
        <v>22</v>
      </c>
      <c r="W268" s="21" t="s">
        <v>22</v>
      </c>
      <c r="X268" s="21" t="s">
        <v>22</v>
      </c>
      <c r="Y268" s="21" t="s">
        <v>26</v>
      </c>
      <c r="Z268" s="21" t="s">
        <v>22</v>
      </c>
      <c r="AA268" s="21" t="s">
        <v>22</v>
      </c>
      <c r="AB268" s="21" t="s">
        <v>22</v>
      </c>
      <c r="AC268" s="21" t="s">
        <v>198</v>
      </c>
      <c r="AD268" s="21" t="s">
        <v>22</v>
      </c>
      <c r="AE268" s="21" t="s">
        <v>198</v>
      </c>
      <c r="AF268" s="21" t="s">
        <v>198</v>
      </c>
      <c r="AG268" s="21" t="s">
        <v>22</v>
      </c>
      <c r="AH268" s="21" t="s">
        <v>26</v>
      </c>
      <c r="AI268" s="21" t="s">
        <v>198</v>
      </c>
      <c r="AJ268" s="21" t="s">
        <v>22</v>
      </c>
      <c r="AK268" s="21" t="s">
        <v>198</v>
      </c>
      <c r="AL268" s="21" t="s">
        <v>22</v>
      </c>
      <c r="AM268" s="21" t="s">
        <v>109</v>
      </c>
      <c r="AN268" s="21" t="s">
        <v>83</v>
      </c>
      <c r="AO268" s="21" t="s">
        <v>83</v>
      </c>
      <c r="AP268" s="21" t="s">
        <v>83</v>
      </c>
      <c r="AQ268" s="21" t="s">
        <v>83</v>
      </c>
      <c r="AR268" s="21" t="s">
        <v>83</v>
      </c>
      <c r="AS268" s="21" t="s">
        <v>83</v>
      </c>
      <c r="AT268" s="21" t="s">
        <v>83</v>
      </c>
      <c r="AU268" s="21" t="s">
        <v>109</v>
      </c>
      <c r="AV268" s="21" t="s">
        <v>83</v>
      </c>
      <c r="AW268" s="21" t="s">
        <v>83</v>
      </c>
      <c r="AX268" s="21" t="s">
        <v>83</v>
      </c>
      <c r="AY268" s="21" t="s">
        <v>109</v>
      </c>
      <c r="AZ268" s="21" t="s">
        <v>83</v>
      </c>
      <c r="BA268" s="17" t="s">
        <v>333</v>
      </c>
      <c r="BB268" s="17" t="s">
        <v>334</v>
      </c>
      <c r="BC268" s="18">
        <f>--ISNUMBER(SEARCH("Radio or television",BA268))</f>
        <v>1</v>
      </c>
      <c r="BD268" s="18">
        <f>--ISNUMBER(SEARCH("Newspapers or print media",BA268))</f>
        <v>0</v>
      </c>
      <c r="BE268" s="18">
        <f>--ISNUMBER(SEARCH("Social media (e.g. Facebook, WhatsApp, YouTube, X/Twitter)",BA268))</f>
        <v>1</v>
      </c>
      <c r="BF268" s="18">
        <f>--ISNUMBER(SEARCH("Family members",BA268))</f>
        <v>1</v>
      </c>
      <c r="BG268" s="18">
        <f>--ISNUMBER(SEARCH("Friends or fellow students",BA268))</f>
        <v>0</v>
      </c>
      <c r="BH268" s="18">
        <f>--ISNUMBER(SEARCH("School coursework or lectures",BA268))</f>
        <v>1</v>
      </c>
      <c r="BI268" s="18">
        <f>--ISNUMBER(SEARCH("NHIMA outreach activities or NHIMA offices",BA268))</f>
        <v>0</v>
      </c>
      <c r="BJ268" s="18">
        <f>--ISNUMBER(SEARCH("Health facility staff",BA268))</f>
        <v>0</v>
      </c>
      <c r="BK268" s="18">
        <f>--ISNUMBER(SEARCH("not received information",BA268))</f>
        <v>0</v>
      </c>
      <c r="BL268" s="18">
        <f>IF(T268="","",--(T268='Codebook'!$F$13))</f>
        <v>1</v>
      </c>
      <c r="BM268" s="18">
        <f>IF(U268="","",--(U268='Codebook'!$F$14))</f>
        <v>0</v>
      </c>
      <c r="BN268" s="18">
        <f>IF(V268="","",--(V268='Codebook'!$F$15))</f>
        <v>0</v>
      </c>
      <c r="BO268" s="18">
        <f>IF(W268="","",--(W268='Codebook'!$F$16))</f>
        <v>1</v>
      </c>
      <c r="BP268" s="18">
        <f>IF(X268="","",--(X268='Codebook'!$F$17))</f>
        <v>1</v>
      </c>
      <c r="BQ268" s="18">
        <f>IF(Y268="","",--(Y268='Codebook'!$F$18))</f>
        <v>1</v>
      </c>
      <c r="BR268" s="18">
        <f>IF(Z268="","",--(Z268='Codebook'!$F$19))</f>
        <v>1</v>
      </c>
      <c r="BS268" s="18">
        <f>IF(AA268="","",--(AA268='Codebook'!$F$20))</f>
        <v>1</v>
      </c>
      <c r="BT268" s="18">
        <f>IF(AB268="","",--(AB268='Codebook'!$F$21))</f>
        <v>0</v>
      </c>
      <c r="BU268" s="18">
        <f>IF(AC268="","",--(AC268='Codebook'!$F$22))</f>
        <v>0</v>
      </c>
      <c r="BV268" s="18">
        <f>IF(AD268="","",--(AD268='Codebook'!$F$23))</f>
        <v>1</v>
      </c>
      <c r="BW268" s="18">
        <f>IF(AE268="","",--(AE268='Codebook'!$F$24))</f>
        <v>0</v>
      </c>
      <c r="BX268" s="18">
        <f>IF(AF268="","",--(AF268='Codebook'!$F$25))</f>
        <v>0</v>
      </c>
      <c r="BY268" s="18">
        <f>IF(AG268="","",--(AG268='Codebook'!$F$26))</f>
        <v>1</v>
      </c>
      <c r="BZ268" s="18">
        <f>IF(AH268="","",--(AH268='Codebook'!$F$27))</f>
        <v>0</v>
      </c>
      <c r="CA268" s="18">
        <f>IF(AI268="","",--(AI268='Codebook'!$F$28))</f>
        <v>0</v>
      </c>
      <c r="CB268" s="18">
        <f>IF(AJ268="","",--(AJ268='Codebook'!$F$29))</f>
        <v>0</v>
      </c>
      <c r="CC268" s="18">
        <f>IF(AK268="","",--(AK268='Codebook'!$F$30))</f>
        <v>0</v>
      </c>
      <c r="CD268" s="18">
        <f>IF(AL268="","",--(AL268='Codebook'!$F$31))</f>
        <v>0</v>
      </c>
      <c r="CE268" s="18">
        <f>IF(AM268="","",--(AM268='Codebook'!$F$32))</f>
        <v>0</v>
      </c>
      <c r="CF268" s="18">
        <f>IF(AN268="","",--(AN268='Codebook'!$F$33))</f>
        <v>1</v>
      </c>
      <c r="CG268" s="18">
        <f>IF(AO268="","",--(AO268='Codebook'!$F$34))</f>
        <v>1</v>
      </c>
      <c r="CH268" s="18">
        <f>IF(AP268="","",--(AP268='Codebook'!$F$35))</f>
        <v>1</v>
      </c>
      <c r="CI268" s="18">
        <f>IF(AQ268="","",--(AQ268='Codebook'!$F$36))</f>
        <v>1</v>
      </c>
      <c r="CJ268" s="18">
        <f>IF(AR268="","",--(AR268='Codebook'!$F$37))</f>
        <v>1</v>
      </c>
      <c r="CK268" s="18">
        <f>IF(AS268="","",--(AS268='Codebook'!$F$38))</f>
        <v>1</v>
      </c>
      <c r="CL268" s="18">
        <f>IF(AT268="","",--(AT268='Codebook'!$F$39))</f>
        <v>1</v>
      </c>
      <c r="CM268" s="18">
        <f>IF(AU268="","",--(AU268='Codebook'!$F$40))</f>
        <v>1</v>
      </c>
      <c r="CN268" s="18">
        <f>IF(AV268="","",--(AV268='Codebook'!$F$41))</f>
        <v>0</v>
      </c>
      <c r="CO268" s="18">
        <f>IF(AW268="","",--(AW268='Codebook'!$F$42))</f>
        <v>0</v>
      </c>
      <c r="CP268" s="18">
        <f>IF(AX268="","",--(AX268='Codebook'!$F$43))</f>
        <v>0</v>
      </c>
      <c r="CQ268" s="18">
        <f>IF(AY268="","",--(AY268='Codebook'!$F$44))</f>
        <v>1</v>
      </c>
      <c r="CR268" s="18">
        <f>IF(AZ268="","",--(AZ268='Codebook'!$F$45))</f>
        <v>0</v>
      </c>
    </row>
    <row r="269" spans="2:96" ht="24" customHeight="1">
      <c r="B269" s="18">
        <v>264</v>
      </c>
      <c r="C269" s="23">
        <v>46289.5414828588</v>
      </c>
      <c r="D269" s="21" t="s">
        <v>275</v>
      </c>
      <c r="E269" s="21" t="s">
        <v>194</v>
      </c>
      <c r="F269" s="21" t="s">
        <v>212</v>
      </c>
      <c r="G269" s="17" t="s">
        <v>247</v>
      </c>
      <c r="H269" s="21" t="s">
        <v>197</v>
      </c>
      <c r="I269" s="18">
        <f>SUM(BL269:BU269)</f>
        <v>3</v>
      </c>
      <c r="J269" s="18">
        <f>IF(COUNT(BV269:CD269)=9,SUM(BV269:CD269),"")</f>
        <v>4</v>
      </c>
      <c r="K269" s="18">
        <f>SUM(BL269:CD269)</f>
        <v>7</v>
      </c>
      <c r="L269" s="18">
        <f>--(K269&gt;='Codebook'!$C$8)</f>
        <v>0</v>
      </c>
      <c r="M269" s="18">
        <f>--(COUNT(BL269:CD269)=19)</f>
        <v>1</v>
      </c>
      <c r="N269" s="18">
        <f>SUM(CE269:CL269)</f>
        <v>5</v>
      </c>
      <c r="O269" s="18">
        <f>SUM(CM269:CR269)</f>
        <v>2</v>
      </c>
      <c r="P269" s="18">
        <f>N269+O269</f>
        <v>7</v>
      </c>
      <c r="Q269" s="21" t="s">
        <v>197</v>
      </c>
      <c r="R269" s="17" t="s">
        <v>155</v>
      </c>
      <c r="S269" s="18">
        <f>--OR(Overview!$B$6="All",E269=Overview!$B$6)*--OR(Overview!$F$6="All",F269=Overview!$F$6)*--OR(Overview!$J$6="All",G269=Overview!$J$6)*--OR(Overview!$N$6="All",H269=Overview!$N$6)</f>
        <v>1</v>
      </c>
      <c r="T269" s="21" t="s">
        <v>22</v>
      </c>
      <c r="U269" s="21" t="s">
        <v>22</v>
      </c>
      <c r="V269" s="21" t="s">
        <v>22</v>
      </c>
      <c r="W269" s="21" t="s">
        <v>22</v>
      </c>
      <c r="X269" s="21" t="s">
        <v>26</v>
      </c>
      <c r="Y269" s="21" t="s">
        <v>22</v>
      </c>
      <c r="Z269" s="21" t="s">
        <v>26</v>
      </c>
      <c r="AA269" s="21" t="s">
        <v>22</v>
      </c>
      <c r="AB269" s="21" t="s">
        <v>22</v>
      </c>
      <c r="AC269" s="21" t="s">
        <v>26</v>
      </c>
      <c r="AD269" s="21" t="s">
        <v>22</v>
      </c>
      <c r="AE269" s="21" t="s">
        <v>22</v>
      </c>
      <c r="AF269" s="21" t="s">
        <v>26</v>
      </c>
      <c r="AG269" s="21" t="s">
        <v>22</v>
      </c>
      <c r="AH269" s="21" t="s">
        <v>198</v>
      </c>
      <c r="AI269" s="21" t="s">
        <v>198</v>
      </c>
      <c r="AJ269" s="21" t="s">
        <v>22</v>
      </c>
      <c r="AK269" s="21" t="s">
        <v>198</v>
      </c>
      <c r="AL269" s="21" t="s">
        <v>22</v>
      </c>
      <c r="AM269" s="21" t="s">
        <v>83</v>
      </c>
      <c r="AN269" s="21" t="s">
        <v>83</v>
      </c>
      <c r="AO269" s="21" t="s">
        <v>198</v>
      </c>
      <c r="AP269" s="21" t="s">
        <v>83</v>
      </c>
      <c r="AQ269" s="21" t="s">
        <v>83</v>
      </c>
      <c r="AR269" s="21" t="s">
        <v>83</v>
      </c>
      <c r="AS269" s="21" t="s">
        <v>109</v>
      </c>
      <c r="AT269" s="21" t="s">
        <v>198</v>
      </c>
      <c r="AU269" s="21" t="s">
        <v>83</v>
      </c>
      <c r="AV269" s="21" t="s">
        <v>83</v>
      </c>
      <c r="AW269" s="21" t="s">
        <v>198</v>
      </c>
      <c r="AX269" s="21" t="s">
        <v>109</v>
      </c>
      <c r="AY269" s="21" t="s">
        <v>198</v>
      </c>
      <c r="AZ269" s="21" t="s">
        <v>109</v>
      </c>
      <c r="BA269" s="17" t="s">
        <v>324</v>
      </c>
      <c r="BB269" s="17" t="s">
        <v>219</v>
      </c>
      <c r="BC269" s="18">
        <f>--ISNUMBER(SEARCH("Radio or television",BA269))</f>
        <v>1</v>
      </c>
      <c r="BD269" s="18">
        <f>--ISNUMBER(SEARCH("Newspapers or print media",BA269))</f>
        <v>0</v>
      </c>
      <c r="BE269" s="18">
        <f>--ISNUMBER(SEARCH("Social media (e.g. Facebook, WhatsApp, YouTube, X/Twitter)",BA269))</f>
        <v>0</v>
      </c>
      <c r="BF269" s="18">
        <f>--ISNUMBER(SEARCH("Family members",BA269))</f>
        <v>1</v>
      </c>
      <c r="BG269" s="18">
        <f>--ISNUMBER(SEARCH("Friends or fellow students",BA269))</f>
        <v>0</v>
      </c>
      <c r="BH269" s="18">
        <f>--ISNUMBER(SEARCH("School coursework or lectures",BA269))</f>
        <v>0</v>
      </c>
      <c r="BI269" s="18">
        <f>--ISNUMBER(SEARCH("NHIMA outreach activities or NHIMA offices",BA269))</f>
        <v>0</v>
      </c>
      <c r="BJ269" s="18">
        <f>--ISNUMBER(SEARCH("Health facility staff",BA269))</f>
        <v>0</v>
      </c>
      <c r="BK269" s="18">
        <f>--ISNUMBER(SEARCH("not received information",BA269))</f>
        <v>0</v>
      </c>
      <c r="BL269" s="18">
        <f>IF(T269="","",--(T269='Codebook'!$F$13))</f>
        <v>1</v>
      </c>
      <c r="BM269" s="18">
        <f>IF(U269="","",--(U269='Codebook'!$F$14))</f>
        <v>0</v>
      </c>
      <c r="BN269" s="18">
        <f>IF(V269="","",--(V269='Codebook'!$F$15))</f>
        <v>0</v>
      </c>
      <c r="BO269" s="18">
        <f>IF(W269="","",--(W269='Codebook'!$F$16))</f>
        <v>1</v>
      </c>
      <c r="BP269" s="18">
        <f>IF(X269="","",--(X269='Codebook'!$F$17))</f>
        <v>0</v>
      </c>
      <c r="BQ269" s="18">
        <f>IF(Y269="","",--(Y269='Codebook'!$F$18))</f>
        <v>0</v>
      </c>
      <c r="BR269" s="18">
        <f>IF(Z269="","",--(Z269='Codebook'!$F$19))</f>
        <v>0</v>
      </c>
      <c r="BS269" s="18">
        <f>IF(AA269="","",--(AA269='Codebook'!$F$20))</f>
        <v>1</v>
      </c>
      <c r="BT269" s="18">
        <f>IF(AB269="","",--(AB269='Codebook'!$F$21))</f>
        <v>0</v>
      </c>
      <c r="BU269" s="18">
        <f>IF(AC269="","",--(AC269='Codebook'!$F$22))</f>
        <v>0</v>
      </c>
      <c r="BV269" s="18">
        <f>IF(AD269="","",--(AD269='Codebook'!$F$23))</f>
        <v>1</v>
      </c>
      <c r="BW269" s="18">
        <f>IF(AE269="","",--(AE269='Codebook'!$F$24))</f>
        <v>1</v>
      </c>
      <c r="BX269" s="18">
        <f>IF(AF269="","",--(AF269='Codebook'!$F$25))</f>
        <v>1</v>
      </c>
      <c r="BY269" s="18">
        <f>IF(AG269="","",--(AG269='Codebook'!$F$26))</f>
        <v>1</v>
      </c>
      <c r="BZ269" s="18">
        <f>IF(AH269="","",--(AH269='Codebook'!$F$27))</f>
        <v>0</v>
      </c>
      <c r="CA269" s="18">
        <f>IF(AI269="","",--(AI269='Codebook'!$F$28))</f>
        <v>0</v>
      </c>
      <c r="CB269" s="18">
        <f>IF(AJ269="","",--(AJ269='Codebook'!$F$29))</f>
        <v>0</v>
      </c>
      <c r="CC269" s="18">
        <f>IF(AK269="","",--(AK269='Codebook'!$F$30))</f>
        <v>0</v>
      </c>
      <c r="CD269" s="18">
        <f>IF(AL269="","",--(AL269='Codebook'!$F$31))</f>
        <v>0</v>
      </c>
      <c r="CE269" s="18">
        <f>IF(AM269="","",--(AM269='Codebook'!$F$32))</f>
        <v>1</v>
      </c>
      <c r="CF269" s="18">
        <f>IF(AN269="","",--(AN269='Codebook'!$F$33))</f>
        <v>1</v>
      </c>
      <c r="CG269" s="18">
        <f>IF(AO269="","",--(AO269='Codebook'!$F$34))</f>
        <v>0</v>
      </c>
      <c r="CH269" s="18">
        <f>IF(AP269="","",--(AP269='Codebook'!$F$35))</f>
        <v>1</v>
      </c>
      <c r="CI269" s="18">
        <f>IF(AQ269="","",--(AQ269='Codebook'!$F$36))</f>
        <v>1</v>
      </c>
      <c r="CJ269" s="18">
        <f>IF(AR269="","",--(AR269='Codebook'!$F$37))</f>
        <v>1</v>
      </c>
      <c r="CK269" s="18">
        <f>IF(AS269="","",--(AS269='Codebook'!$F$38))</f>
        <v>0</v>
      </c>
      <c r="CL269" s="18">
        <f>IF(AT269="","",--(AT269='Codebook'!$F$39))</f>
        <v>0</v>
      </c>
      <c r="CM269" s="18">
        <f>IF(AU269="","",--(AU269='Codebook'!$F$40))</f>
        <v>0</v>
      </c>
      <c r="CN269" s="18">
        <f>IF(AV269="","",--(AV269='Codebook'!$F$41))</f>
        <v>0</v>
      </c>
      <c r="CO269" s="18">
        <f>IF(AW269="","",--(AW269='Codebook'!$F$42))</f>
        <v>0</v>
      </c>
      <c r="CP269" s="18">
        <f>IF(AX269="","",--(AX269='Codebook'!$F$43))</f>
        <v>1</v>
      </c>
      <c r="CQ269" s="18">
        <f>IF(AY269="","",--(AY269='Codebook'!$F$44))</f>
        <v>0</v>
      </c>
      <c r="CR269" s="18">
        <f>IF(AZ269="","",--(AZ269='Codebook'!$F$45))</f>
        <v>1</v>
      </c>
    </row>
    <row r="270" spans="2:96" ht="24" customHeight="1">
      <c r="B270" s="18">
        <v>265</v>
      </c>
      <c r="C270" s="23">
        <v>46289.5421119213</v>
      </c>
      <c r="D270" s="21" t="s">
        <v>268</v>
      </c>
      <c r="E270" s="21" t="s">
        <v>206</v>
      </c>
      <c r="F270" s="21" t="s">
        <v>195</v>
      </c>
      <c r="G270" s="17" t="s">
        <v>224</v>
      </c>
      <c r="H270" s="21" t="s">
        <v>198</v>
      </c>
      <c r="I270" s="18">
        <f>SUM(BL270:BU270)</f>
        <v>5</v>
      </c>
      <c r="J270" s="18">
        <f>IF(COUNT(BV270:CD270)=9,SUM(BV270:CD270),"")</f>
        <v>5</v>
      </c>
      <c r="K270" s="18">
        <f>SUM(BL270:CD270)</f>
        <v>10</v>
      </c>
      <c r="L270" s="18">
        <f>--(K270&gt;='Codebook'!$C$8)</f>
        <v>0</v>
      </c>
      <c r="M270" s="18">
        <f>--(COUNT(BL270:CD270)=19)</f>
        <v>1</v>
      </c>
      <c r="N270" s="18">
        <f>SUM(CE270:CL270)</f>
        <v>6</v>
      </c>
      <c r="O270" s="18">
        <f>SUM(CM270:CR270)</f>
        <v>0</v>
      </c>
      <c r="P270" s="18">
        <f>N270+O270</f>
        <v>6</v>
      </c>
      <c r="Q270" s="21" t="s">
        <v>198</v>
      </c>
      <c r="R270" s="17" t="s">
        <v>156</v>
      </c>
      <c r="S270" s="18">
        <f>--OR(Overview!$B$6="All",E270=Overview!$B$6)*--OR(Overview!$F$6="All",F270=Overview!$F$6)*--OR(Overview!$J$6="All",G270=Overview!$J$6)*--OR(Overview!$N$6="All",H270=Overview!$N$6)</f>
        <v>1</v>
      </c>
      <c r="T270" s="21" t="s">
        <v>22</v>
      </c>
      <c r="U270" s="21" t="s">
        <v>198</v>
      </c>
      <c r="V270" s="21" t="s">
        <v>26</v>
      </c>
      <c r="W270" s="21" t="s">
        <v>22</v>
      </c>
      <c r="X270" s="21" t="s">
        <v>22</v>
      </c>
      <c r="Y270" s="21" t="s">
        <v>22</v>
      </c>
      <c r="Z270" s="21" t="s">
        <v>198</v>
      </c>
      <c r="AA270" s="21" t="s">
        <v>26</v>
      </c>
      <c r="AB270" s="21" t="s">
        <v>22</v>
      </c>
      <c r="AC270" s="21" t="s">
        <v>22</v>
      </c>
      <c r="AD270" s="21" t="s">
        <v>22</v>
      </c>
      <c r="AE270" s="21" t="s">
        <v>26</v>
      </c>
      <c r="AF270" s="21" t="s">
        <v>22</v>
      </c>
      <c r="AG270" s="21" t="s">
        <v>26</v>
      </c>
      <c r="AH270" s="21" t="s">
        <v>22</v>
      </c>
      <c r="AI270" s="21" t="s">
        <v>22</v>
      </c>
      <c r="AJ270" s="21" t="s">
        <v>26</v>
      </c>
      <c r="AK270" s="21" t="s">
        <v>22</v>
      </c>
      <c r="AL270" s="21" t="s">
        <v>26</v>
      </c>
      <c r="AM270" s="21" t="s">
        <v>83</v>
      </c>
      <c r="AN270" s="21" t="s">
        <v>198</v>
      </c>
      <c r="AO270" s="21" t="s">
        <v>83</v>
      </c>
      <c r="AP270" s="21" t="s">
        <v>198</v>
      </c>
      <c r="AQ270" s="21" t="s">
        <v>83</v>
      </c>
      <c r="AR270" s="21" t="s">
        <v>83</v>
      </c>
      <c r="AS270" s="21" t="s">
        <v>83</v>
      </c>
      <c r="AT270" s="21" t="s">
        <v>83</v>
      </c>
      <c r="AU270" s="21" t="s">
        <v>83</v>
      </c>
      <c r="AV270" s="21" t="s">
        <v>83</v>
      </c>
      <c r="AW270" s="21" t="s">
        <v>83</v>
      </c>
      <c r="AX270" s="21" t="s">
        <v>198</v>
      </c>
      <c r="AY270" s="21" t="s">
        <v>198</v>
      </c>
      <c r="AZ270" s="21" t="s">
        <v>198</v>
      </c>
      <c r="BA270" s="17" t="s">
        <v>292</v>
      </c>
      <c r="BB270" s="17" t="s">
        <v>313</v>
      </c>
      <c r="BC270" s="18">
        <f>--ISNUMBER(SEARCH("Radio or television",BA270))</f>
        <v>1</v>
      </c>
      <c r="BD270" s="18">
        <f>--ISNUMBER(SEARCH("Newspapers or print media",BA270))</f>
        <v>0</v>
      </c>
      <c r="BE270" s="18">
        <f>--ISNUMBER(SEARCH("Social media (e.g. Facebook, WhatsApp, YouTube, X/Twitter)",BA270))</f>
        <v>1</v>
      </c>
      <c r="BF270" s="18">
        <f>--ISNUMBER(SEARCH("Family members",BA270))</f>
        <v>0</v>
      </c>
      <c r="BG270" s="18">
        <f>--ISNUMBER(SEARCH("Friends or fellow students",BA270))</f>
        <v>1</v>
      </c>
      <c r="BH270" s="18">
        <f>--ISNUMBER(SEARCH("School coursework or lectures",BA270))</f>
        <v>0</v>
      </c>
      <c r="BI270" s="18">
        <f>--ISNUMBER(SEARCH("NHIMA outreach activities or NHIMA offices",BA270))</f>
        <v>0</v>
      </c>
      <c r="BJ270" s="18">
        <f>--ISNUMBER(SEARCH("Health facility staff",BA270))</f>
        <v>0</v>
      </c>
      <c r="BK270" s="18">
        <f>--ISNUMBER(SEARCH("not received information",BA270))</f>
        <v>0</v>
      </c>
      <c r="BL270" s="18">
        <f>IF(T270="","",--(T270='Codebook'!$F$13))</f>
        <v>1</v>
      </c>
      <c r="BM270" s="18">
        <f>IF(U270="","",--(U270='Codebook'!$F$14))</f>
        <v>0</v>
      </c>
      <c r="BN270" s="18">
        <f>IF(V270="","",--(V270='Codebook'!$F$15))</f>
        <v>1</v>
      </c>
      <c r="BO270" s="18">
        <f>IF(W270="","",--(W270='Codebook'!$F$16))</f>
        <v>1</v>
      </c>
      <c r="BP270" s="18">
        <f>IF(X270="","",--(X270='Codebook'!$F$17))</f>
        <v>1</v>
      </c>
      <c r="BQ270" s="18">
        <f>IF(Y270="","",--(Y270='Codebook'!$F$18))</f>
        <v>0</v>
      </c>
      <c r="BR270" s="18">
        <f>IF(Z270="","",--(Z270='Codebook'!$F$19))</f>
        <v>0</v>
      </c>
      <c r="BS270" s="18">
        <f>IF(AA270="","",--(AA270='Codebook'!$F$20))</f>
        <v>0</v>
      </c>
      <c r="BT270" s="18">
        <f>IF(AB270="","",--(AB270='Codebook'!$F$21))</f>
        <v>0</v>
      </c>
      <c r="BU270" s="18">
        <f>IF(AC270="","",--(AC270='Codebook'!$F$22))</f>
        <v>1</v>
      </c>
      <c r="BV270" s="18">
        <f>IF(AD270="","",--(AD270='Codebook'!$F$23))</f>
        <v>1</v>
      </c>
      <c r="BW270" s="18">
        <f>IF(AE270="","",--(AE270='Codebook'!$F$24))</f>
        <v>0</v>
      </c>
      <c r="BX270" s="18">
        <f>IF(AF270="","",--(AF270='Codebook'!$F$25))</f>
        <v>0</v>
      </c>
      <c r="BY270" s="18">
        <f>IF(AG270="","",--(AG270='Codebook'!$F$26))</f>
        <v>0</v>
      </c>
      <c r="BZ270" s="18">
        <f>IF(AH270="","",--(AH270='Codebook'!$F$27))</f>
        <v>1</v>
      </c>
      <c r="CA270" s="18">
        <f>IF(AI270="","",--(AI270='Codebook'!$F$28))</f>
        <v>0</v>
      </c>
      <c r="CB270" s="18">
        <f>IF(AJ270="","",--(AJ270='Codebook'!$F$29))</f>
        <v>1</v>
      </c>
      <c r="CC270" s="18">
        <f>IF(AK270="","",--(AK270='Codebook'!$F$30))</f>
        <v>1</v>
      </c>
      <c r="CD270" s="18">
        <f>IF(AL270="","",--(AL270='Codebook'!$F$31))</f>
        <v>1</v>
      </c>
      <c r="CE270" s="18">
        <f>IF(AM270="","",--(AM270='Codebook'!$F$32))</f>
        <v>1</v>
      </c>
      <c r="CF270" s="18">
        <f>IF(AN270="","",--(AN270='Codebook'!$F$33))</f>
        <v>0</v>
      </c>
      <c r="CG270" s="18">
        <f>IF(AO270="","",--(AO270='Codebook'!$F$34))</f>
        <v>1</v>
      </c>
      <c r="CH270" s="18">
        <f>IF(AP270="","",--(AP270='Codebook'!$F$35))</f>
        <v>0</v>
      </c>
      <c r="CI270" s="18">
        <f>IF(AQ270="","",--(AQ270='Codebook'!$F$36))</f>
        <v>1</v>
      </c>
      <c r="CJ270" s="18">
        <f>IF(AR270="","",--(AR270='Codebook'!$F$37))</f>
        <v>1</v>
      </c>
      <c r="CK270" s="18">
        <f>IF(AS270="","",--(AS270='Codebook'!$F$38))</f>
        <v>1</v>
      </c>
      <c r="CL270" s="18">
        <f>IF(AT270="","",--(AT270='Codebook'!$F$39))</f>
        <v>1</v>
      </c>
      <c r="CM270" s="18">
        <f>IF(AU270="","",--(AU270='Codebook'!$F$40))</f>
        <v>0</v>
      </c>
      <c r="CN270" s="18">
        <f>IF(AV270="","",--(AV270='Codebook'!$F$41))</f>
        <v>0</v>
      </c>
      <c r="CO270" s="18">
        <f>IF(AW270="","",--(AW270='Codebook'!$F$42))</f>
        <v>0</v>
      </c>
      <c r="CP270" s="18">
        <f>IF(AX270="","",--(AX270='Codebook'!$F$43))</f>
        <v>0</v>
      </c>
      <c r="CQ270" s="18">
        <f>IF(AY270="","",--(AY270='Codebook'!$F$44))</f>
        <v>0</v>
      </c>
      <c r="CR270" s="18">
        <f>IF(AZ270="","",--(AZ270='Codebook'!$F$45))</f>
        <v>0</v>
      </c>
    </row>
    <row r="271" spans="2:96" ht="24" customHeight="1">
      <c r="B271" s="18">
        <v>266</v>
      </c>
      <c r="C271" s="23">
        <v>46289.74507</v>
      </c>
      <c r="D271" s="21" t="s">
        <v>268</v>
      </c>
      <c r="E271" s="21" t="s">
        <v>206</v>
      </c>
      <c r="F271" s="21" t="s">
        <v>212</v>
      </c>
      <c r="G271" s="17" t="s">
        <v>224</v>
      </c>
      <c r="H271" s="21" t="s">
        <v>197</v>
      </c>
      <c r="I271" s="18">
        <f>SUM(BL271:BU271)</f>
        <v>6</v>
      </c>
      <c r="J271" s="18">
        <f>IF(COUNT(BV271:CD271)=9,SUM(BV271:CD271),"")</f>
        <v>3</v>
      </c>
      <c r="K271" s="18">
        <f>SUM(BL271:CD271)</f>
        <v>9</v>
      </c>
      <c r="L271" s="18">
        <f>--(K271&gt;='Codebook'!$C$8)</f>
        <v>0</v>
      </c>
      <c r="M271" s="18">
        <f>--(COUNT(BL271:CD271)=19)</f>
        <v>1</v>
      </c>
      <c r="N271" s="18">
        <f>SUM(CE271:CL271)</f>
        <v>5</v>
      </c>
      <c r="O271" s="18">
        <f>SUM(CM271:CR271)</f>
        <v>1</v>
      </c>
      <c r="P271" s="18">
        <f>N271+O271</f>
        <v>6</v>
      </c>
      <c r="Q271" s="21" t="s">
        <v>198</v>
      </c>
      <c r="R271" s="17" t="s">
        <v>156</v>
      </c>
      <c r="S271" s="18">
        <f>--OR(Overview!$B$6="All",E271=Overview!$B$6)*--OR(Overview!$F$6="All",F271=Overview!$F$6)*--OR(Overview!$J$6="All",G271=Overview!$J$6)*--OR(Overview!$N$6="All",H271=Overview!$N$6)</f>
        <v>1</v>
      </c>
      <c r="T271" s="21" t="s">
        <v>22</v>
      </c>
      <c r="U271" s="21" t="s">
        <v>22</v>
      </c>
      <c r="V271" s="21" t="s">
        <v>22</v>
      </c>
      <c r="W271" s="21" t="s">
        <v>22</v>
      </c>
      <c r="X271" s="21" t="s">
        <v>22</v>
      </c>
      <c r="Y271" s="21" t="s">
        <v>22</v>
      </c>
      <c r="Z271" s="21" t="s">
        <v>22</v>
      </c>
      <c r="AA271" s="21" t="s">
        <v>22</v>
      </c>
      <c r="AB271" s="21" t="s">
        <v>22</v>
      </c>
      <c r="AC271" s="21" t="s">
        <v>22</v>
      </c>
      <c r="AD271" s="21" t="s">
        <v>22</v>
      </c>
      <c r="AE271" s="21" t="s">
        <v>198</v>
      </c>
      <c r="AF271" s="21" t="s">
        <v>26</v>
      </c>
      <c r="AG271" s="21" t="s">
        <v>26</v>
      </c>
      <c r="AH271" s="21" t="s">
        <v>198</v>
      </c>
      <c r="AI271" s="21" t="s">
        <v>198</v>
      </c>
      <c r="AJ271" s="21" t="s">
        <v>198</v>
      </c>
      <c r="AK271" s="21" t="s">
        <v>198</v>
      </c>
      <c r="AL271" s="21" t="s">
        <v>26</v>
      </c>
      <c r="AM271" s="21" t="s">
        <v>83</v>
      </c>
      <c r="AN271" s="21" t="s">
        <v>83</v>
      </c>
      <c r="AO271" s="21" t="s">
        <v>109</v>
      </c>
      <c r="AP271" s="21" t="s">
        <v>109</v>
      </c>
      <c r="AQ271" s="21" t="s">
        <v>83</v>
      </c>
      <c r="AR271" s="21" t="s">
        <v>109</v>
      </c>
      <c r="AS271" s="21" t="s">
        <v>83</v>
      </c>
      <c r="AT271" s="21" t="s">
        <v>83</v>
      </c>
      <c r="AU271" s="21" t="s">
        <v>83</v>
      </c>
      <c r="AV271" s="21" t="s">
        <v>109</v>
      </c>
      <c r="AW271" s="21" t="s">
        <v>83</v>
      </c>
      <c r="AX271" s="21" t="s">
        <v>83</v>
      </c>
      <c r="AY271" s="21" t="s">
        <v>83</v>
      </c>
      <c r="AZ271" s="21" t="s">
        <v>83</v>
      </c>
      <c r="BA271" s="17" t="s">
        <v>264</v>
      </c>
      <c r="BB271" s="17" t="s">
        <v>313</v>
      </c>
      <c r="BC271" s="18">
        <f>--ISNUMBER(SEARCH("Radio or television",BA271))</f>
        <v>1</v>
      </c>
      <c r="BD271" s="18">
        <f>--ISNUMBER(SEARCH("Newspapers or print media",BA271))</f>
        <v>0</v>
      </c>
      <c r="BE271" s="18">
        <f>--ISNUMBER(SEARCH("Social media (e.g. Facebook, WhatsApp, YouTube, X/Twitter)",BA271))</f>
        <v>1</v>
      </c>
      <c r="BF271" s="18">
        <f>--ISNUMBER(SEARCH("Family members",BA271))</f>
        <v>1</v>
      </c>
      <c r="BG271" s="18">
        <f>--ISNUMBER(SEARCH("Friends or fellow students",BA271))</f>
        <v>1</v>
      </c>
      <c r="BH271" s="18">
        <f>--ISNUMBER(SEARCH("School coursework or lectures",BA271))</f>
        <v>0</v>
      </c>
      <c r="BI271" s="18">
        <f>--ISNUMBER(SEARCH("NHIMA outreach activities or NHIMA offices",BA271))</f>
        <v>0</v>
      </c>
      <c r="BJ271" s="18">
        <f>--ISNUMBER(SEARCH("Health facility staff",BA271))</f>
        <v>0</v>
      </c>
      <c r="BK271" s="18">
        <f>--ISNUMBER(SEARCH("not received information",BA271))</f>
        <v>0</v>
      </c>
      <c r="BL271" s="18">
        <f>IF(T271="","",--(T271='Codebook'!$F$13))</f>
        <v>1</v>
      </c>
      <c r="BM271" s="18">
        <f>IF(U271="","",--(U271='Codebook'!$F$14))</f>
        <v>0</v>
      </c>
      <c r="BN271" s="18">
        <f>IF(V271="","",--(V271='Codebook'!$F$15))</f>
        <v>0</v>
      </c>
      <c r="BO271" s="18">
        <f>IF(W271="","",--(W271='Codebook'!$F$16))</f>
        <v>1</v>
      </c>
      <c r="BP271" s="18">
        <f>IF(X271="","",--(X271='Codebook'!$F$17))</f>
        <v>1</v>
      </c>
      <c r="BQ271" s="18">
        <f>IF(Y271="","",--(Y271='Codebook'!$F$18))</f>
        <v>0</v>
      </c>
      <c r="BR271" s="18">
        <f>IF(Z271="","",--(Z271='Codebook'!$F$19))</f>
        <v>1</v>
      </c>
      <c r="BS271" s="18">
        <f>IF(AA271="","",--(AA271='Codebook'!$F$20))</f>
        <v>1</v>
      </c>
      <c r="BT271" s="18">
        <f>IF(AB271="","",--(AB271='Codebook'!$F$21))</f>
        <v>0</v>
      </c>
      <c r="BU271" s="18">
        <f>IF(AC271="","",--(AC271='Codebook'!$F$22))</f>
        <v>1</v>
      </c>
      <c r="BV271" s="18">
        <f>IF(AD271="","",--(AD271='Codebook'!$F$23))</f>
        <v>1</v>
      </c>
      <c r="BW271" s="18">
        <f>IF(AE271="","",--(AE271='Codebook'!$F$24))</f>
        <v>0</v>
      </c>
      <c r="BX271" s="18">
        <f>IF(AF271="","",--(AF271='Codebook'!$F$25))</f>
        <v>1</v>
      </c>
      <c r="BY271" s="18">
        <f>IF(AG271="","",--(AG271='Codebook'!$F$26))</f>
        <v>0</v>
      </c>
      <c r="BZ271" s="18">
        <f>IF(AH271="","",--(AH271='Codebook'!$F$27))</f>
        <v>0</v>
      </c>
      <c r="CA271" s="18">
        <f>IF(AI271="","",--(AI271='Codebook'!$F$28))</f>
        <v>0</v>
      </c>
      <c r="CB271" s="18">
        <f>IF(AJ271="","",--(AJ271='Codebook'!$F$29))</f>
        <v>0</v>
      </c>
      <c r="CC271" s="18">
        <f>IF(AK271="","",--(AK271='Codebook'!$F$30))</f>
        <v>0</v>
      </c>
      <c r="CD271" s="18">
        <f>IF(AL271="","",--(AL271='Codebook'!$F$31))</f>
        <v>1</v>
      </c>
      <c r="CE271" s="18">
        <f>IF(AM271="","",--(AM271='Codebook'!$F$32))</f>
        <v>1</v>
      </c>
      <c r="CF271" s="18">
        <f>IF(AN271="","",--(AN271='Codebook'!$F$33))</f>
        <v>1</v>
      </c>
      <c r="CG271" s="18">
        <f>IF(AO271="","",--(AO271='Codebook'!$F$34))</f>
        <v>0</v>
      </c>
      <c r="CH271" s="18">
        <f>IF(AP271="","",--(AP271='Codebook'!$F$35))</f>
        <v>0</v>
      </c>
      <c r="CI271" s="18">
        <f>IF(AQ271="","",--(AQ271='Codebook'!$F$36))</f>
        <v>1</v>
      </c>
      <c r="CJ271" s="18">
        <f>IF(AR271="","",--(AR271='Codebook'!$F$37))</f>
        <v>0</v>
      </c>
      <c r="CK271" s="18">
        <f>IF(AS271="","",--(AS271='Codebook'!$F$38))</f>
        <v>1</v>
      </c>
      <c r="CL271" s="18">
        <f>IF(AT271="","",--(AT271='Codebook'!$F$39))</f>
        <v>1</v>
      </c>
      <c r="CM271" s="18">
        <f>IF(AU271="","",--(AU271='Codebook'!$F$40))</f>
        <v>0</v>
      </c>
      <c r="CN271" s="18">
        <f>IF(AV271="","",--(AV271='Codebook'!$F$41))</f>
        <v>1</v>
      </c>
      <c r="CO271" s="18">
        <f>IF(AW271="","",--(AW271='Codebook'!$F$42))</f>
        <v>0</v>
      </c>
      <c r="CP271" s="18">
        <f>IF(AX271="","",--(AX271='Codebook'!$F$43))</f>
        <v>0</v>
      </c>
      <c r="CQ271" s="18">
        <f>IF(AY271="","",--(AY271='Codebook'!$F$44))</f>
        <v>0</v>
      </c>
      <c r="CR271" s="18">
        <f>IF(AZ271="","",--(AZ271='Codebook'!$F$45))</f>
        <v>0</v>
      </c>
    </row>
    <row r="272" spans="2:96" ht="24" customHeight="1">
      <c r="B272" s="18">
        <v>267</v>
      </c>
      <c r="C272" s="23">
        <v>46289.74571869213</v>
      </c>
      <c r="D272" s="21" t="s">
        <v>268</v>
      </c>
      <c r="E272" s="21" t="s">
        <v>206</v>
      </c>
      <c r="F272" s="21" t="s">
        <v>195</v>
      </c>
      <c r="G272" s="17" t="s">
        <v>202</v>
      </c>
      <c r="H272" s="21" t="s">
        <v>198</v>
      </c>
      <c r="I272" s="18">
        <f>SUM(BL272:BU272)</f>
        <v>7</v>
      </c>
      <c r="J272" s="18">
        <f>IF(COUNT(BV272:CD272)=9,SUM(BV272:CD272),"")</f>
        <v>5</v>
      </c>
      <c r="K272" s="18">
        <f>SUM(BL272:CD272)</f>
        <v>12</v>
      </c>
      <c r="L272" s="18">
        <f>--(K272&gt;='Codebook'!$C$8)</f>
        <v>1</v>
      </c>
      <c r="M272" s="18">
        <f>--(COUNT(BL272:CD272)=19)</f>
        <v>1</v>
      </c>
      <c r="N272" s="18">
        <f>SUM(CE272:CL272)</f>
        <v>8</v>
      </c>
      <c r="O272" s="18">
        <f>SUM(CM272:CR272)</f>
        <v>3</v>
      </c>
      <c r="P272" s="18">
        <f>N272+O272</f>
        <v>11</v>
      </c>
      <c r="Q272" s="21" t="s">
        <v>197</v>
      </c>
      <c r="R272" s="17" t="s">
        <v>154</v>
      </c>
      <c r="S272" s="18">
        <f>--OR(Overview!$B$6="All",E272=Overview!$B$6)*--OR(Overview!$F$6="All",F272=Overview!$F$6)*--OR(Overview!$J$6="All",G272=Overview!$J$6)*--OR(Overview!$N$6="All",H272=Overview!$N$6)</f>
        <v>1</v>
      </c>
      <c r="T272" s="21" t="s">
        <v>22</v>
      </c>
      <c r="U272" s="21" t="s">
        <v>22</v>
      </c>
      <c r="V272" s="21" t="s">
        <v>26</v>
      </c>
      <c r="W272" s="21" t="s">
        <v>22</v>
      </c>
      <c r="X272" s="21" t="s">
        <v>22</v>
      </c>
      <c r="Y272" s="21" t="s">
        <v>22</v>
      </c>
      <c r="Z272" s="21" t="s">
        <v>22</v>
      </c>
      <c r="AA272" s="21" t="s">
        <v>22</v>
      </c>
      <c r="AB272" s="21" t="s">
        <v>22</v>
      </c>
      <c r="AC272" s="21" t="s">
        <v>22</v>
      </c>
      <c r="AD272" s="21" t="s">
        <v>22</v>
      </c>
      <c r="AE272" s="21" t="s">
        <v>22</v>
      </c>
      <c r="AF272" s="21" t="s">
        <v>22</v>
      </c>
      <c r="AG272" s="21" t="s">
        <v>22</v>
      </c>
      <c r="AH272" s="21" t="s">
        <v>22</v>
      </c>
      <c r="AI272" s="21" t="s">
        <v>22</v>
      </c>
      <c r="AJ272" s="21" t="s">
        <v>22</v>
      </c>
      <c r="AK272" s="21" t="s">
        <v>22</v>
      </c>
      <c r="AL272" s="21" t="s">
        <v>22</v>
      </c>
      <c r="AM272" s="21" t="s">
        <v>83</v>
      </c>
      <c r="AN272" s="21" t="s">
        <v>83</v>
      </c>
      <c r="AO272" s="21" t="s">
        <v>83</v>
      </c>
      <c r="AP272" s="21" t="s">
        <v>83</v>
      </c>
      <c r="AQ272" s="21" t="s">
        <v>83</v>
      </c>
      <c r="AR272" s="21" t="s">
        <v>83</v>
      </c>
      <c r="AS272" s="21" t="s">
        <v>83</v>
      </c>
      <c r="AT272" s="21" t="s">
        <v>83</v>
      </c>
      <c r="AU272" s="21" t="s">
        <v>83</v>
      </c>
      <c r="AV272" s="21" t="s">
        <v>109</v>
      </c>
      <c r="AW272" s="21" t="s">
        <v>83</v>
      </c>
      <c r="AX272" s="21" t="s">
        <v>109</v>
      </c>
      <c r="AY272" s="21" t="s">
        <v>83</v>
      </c>
      <c r="AZ272" s="21" t="s">
        <v>109</v>
      </c>
      <c r="BA272" s="17" t="s">
        <v>292</v>
      </c>
      <c r="BB272" s="17" t="s">
        <v>250</v>
      </c>
      <c r="BC272" s="18">
        <f>--ISNUMBER(SEARCH("Radio or television",BA272))</f>
        <v>1</v>
      </c>
      <c r="BD272" s="18">
        <f>--ISNUMBER(SEARCH("Newspapers or print media",BA272))</f>
        <v>0</v>
      </c>
      <c r="BE272" s="18">
        <f>--ISNUMBER(SEARCH("Social media (e.g. Facebook, WhatsApp, YouTube, X/Twitter)",BA272))</f>
        <v>1</v>
      </c>
      <c r="BF272" s="18">
        <f>--ISNUMBER(SEARCH("Family members",BA272))</f>
        <v>0</v>
      </c>
      <c r="BG272" s="18">
        <f>--ISNUMBER(SEARCH("Friends or fellow students",BA272))</f>
        <v>1</v>
      </c>
      <c r="BH272" s="18">
        <f>--ISNUMBER(SEARCH("School coursework or lectures",BA272))</f>
        <v>0</v>
      </c>
      <c r="BI272" s="18">
        <f>--ISNUMBER(SEARCH("NHIMA outreach activities or NHIMA offices",BA272))</f>
        <v>0</v>
      </c>
      <c r="BJ272" s="18">
        <f>--ISNUMBER(SEARCH("Health facility staff",BA272))</f>
        <v>0</v>
      </c>
      <c r="BK272" s="18">
        <f>--ISNUMBER(SEARCH("not received information",BA272))</f>
        <v>0</v>
      </c>
      <c r="BL272" s="18">
        <f>IF(T272="","",--(T272='Codebook'!$F$13))</f>
        <v>1</v>
      </c>
      <c r="BM272" s="18">
        <f>IF(U272="","",--(U272='Codebook'!$F$14))</f>
        <v>0</v>
      </c>
      <c r="BN272" s="18">
        <f>IF(V272="","",--(V272='Codebook'!$F$15))</f>
        <v>1</v>
      </c>
      <c r="BO272" s="18">
        <f>IF(W272="","",--(W272='Codebook'!$F$16))</f>
        <v>1</v>
      </c>
      <c r="BP272" s="18">
        <f>IF(X272="","",--(X272='Codebook'!$F$17))</f>
        <v>1</v>
      </c>
      <c r="BQ272" s="18">
        <f>IF(Y272="","",--(Y272='Codebook'!$F$18))</f>
        <v>0</v>
      </c>
      <c r="BR272" s="18">
        <f>IF(Z272="","",--(Z272='Codebook'!$F$19))</f>
        <v>1</v>
      </c>
      <c r="BS272" s="18">
        <f>IF(AA272="","",--(AA272='Codebook'!$F$20))</f>
        <v>1</v>
      </c>
      <c r="BT272" s="18">
        <f>IF(AB272="","",--(AB272='Codebook'!$F$21))</f>
        <v>0</v>
      </c>
      <c r="BU272" s="18">
        <f>IF(AC272="","",--(AC272='Codebook'!$F$22))</f>
        <v>1</v>
      </c>
      <c r="BV272" s="18">
        <f>IF(AD272="","",--(AD272='Codebook'!$F$23))</f>
        <v>1</v>
      </c>
      <c r="BW272" s="18">
        <f>IF(AE272="","",--(AE272='Codebook'!$F$24))</f>
        <v>1</v>
      </c>
      <c r="BX272" s="18">
        <f>IF(AF272="","",--(AF272='Codebook'!$F$25))</f>
        <v>0</v>
      </c>
      <c r="BY272" s="18">
        <f>IF(AG272="","",--(AG272='Codebook'!$F$26))</f>
        <v>1</v>
      </c>
      <c r="BZ272" s="18">
        <f>IF(AH272="","",--(AH272='Codebook'!$F$27))</f>
        <v>1</v>
      </c>
      <c r="CA272" s="18">
        <f>IF(AI272="","",--(AI272='Codebook'!$F$28))</f>
        <v>0</v>
      </c>
      <c r="CB272" s="18">
        <f>IF(AJ272="","",--(AJ272='Codebook'!$F$29))</f>
        <v>0</v>
      </c>
      <c r="CC272" s="18">
        <f>IF(AK272="","",--(AK272='Codebook'!$F$30))</f>
        <v>1</v>
      </c>
      <c r="CD272" s="18">
        <f>IF(AL272="","",--(AL272='Codebook'!$F$31))</f>
        <v>0</v>
      </c>
      <c r="CE272" s="18">
        <f>IF(AM272="","",--(AM272='Codebook'!$F$32))</f>
        <v>1</v>
      </c>
      <c r="CF272" s="18">
        <f>IF(AN272="","",--(AN272='Codebook'!$F$33))</f>
        <v>1</v>
      </c>
      <c r="CG272" s="18">
        <f>IF(AO272="","",--(AO272='Codebook'!$F$34))</f>
        <v>1</v>
      </c>
      <c r="CH272" s="18">
        <f>IF(AP272="","",--(AP272='Codebook'!$F$35))</f>
        <v>1</v>
      </c>
      <c r="CI272" s="18">
        <f>IF(AQ272="","",--(AQ272='Codebook'!$F$36))</f>
        <v>1</v>
      </c>
      <c r="CJ272" s="18">
        <f>IF(AR272="","",--(AR272='Codebook'!$F$37))</f>
        <v>1</v>
      </c>
      <c r="CK272" s="18">
        <f>IF(AS272="","",--(AS272='Codebook'!$F$38))</f>
        <v>1</v>
      </c>
      <c r="CL272" s="18">
        <f>IF(AT272="","",--(AT272='Codebook'!$F$39))</f>
        <v>1</v>
      </c>
      <c r="CM272" s="18">
        <f>IF(AU272="","",--(AU272='Codebook'!$F$40))</f>
        <v>0</v>
      </c>
      <c r="CN272" s="18">
        <f>IF(AV272="","",--(AV272='Codebook'!$F$41))</f>
        <v>1</v>
      </c>
      <c r="CO272" s="18">
        <f>IF(AW272="","",--(AW272='Codebook'!$F$42))</f>
        <v>0</v>
      </c>
      <c r="CP272" s="18">
        <f>IF(AX272="","",--(AX272='Codebook'!$F$43))</f>
        <v>1</v>
      </c>
      <c r="CQ272" s="18">
        <f>IF(AY272="","",--(AY272='Codebook'!$F$44))</f>
        <v>0</v>
      </c>
      <c r="CR272" s="18">
        <f>IF(AZ272="","",--(AZ272='Codebook'!$F$45))</f>
        <v>1</v>
      </c>
    </row>
    <row r="273" spans="2:96" ht="24" customHeight="1">
      <c r="B273" s="18">
        <v>268</v>
      </c>
      <c r="C273" s="23">
        <v>46289.74639196759</v>
      </c>
      <c r="D273" s="21" t="s">
        <v>275</v>
      </c>
      <c r="E273" s="21" t="s">
        <v>194</v>
      </c>
      <c r="F273" s="21" t="s">
        <v>212</v>
      </c>
      <c r="G273" s="17" t="s">
        <v>247</v>
      </c>
      <c r="H273" s="21" t="s">
        <v>197</v>
      </c>
      <c r="I273" s="18">
        <f>SUM(BL273:BU273)</f>
        <v>4</v>
      </c>
      <c r="J273" s="18">
        <f>IF(COUNT(BV273:CD273)=9,SUM(BV273:CD273),"")</f>
        <v>5</v>
      </c>
      <c r="K273" s="18">
        <f>SUM(BL273:CD273)</f>
        <v>9</v>
      </c>
      <c r="L273" s="18">
        <f>--(K273&gt;='Codebook'!$C$8)</f>
        <v>0</v>
      </c>
      <c r="M273" s="18">
        <f>--(COUNT(BL273:CD273)=19)</f>
        <v>1</v>
      </c>
      <c r="N273" s="18">
        <f>SUM(CE273:CL273)</f>
        <v>7</v>
      </c>
      <c r="O273" s="18">
        <f>SUM(CM273:CR273)</f>
        <v>1</v>
      </c>
      <c r="P273" s="18">
        <f>N273+O273</f>
        <v>8</v>
      </c>
      <c r="Q273" s="21" t="s">
        <v>197</v>
      </c>
      <c r="R273" s="17" t="s">
        <v>216</v>
      </c>
      <c r="S273" s="18">
        <f>--OR(Overview!$B$6="All",E273=Overview!$B$6)*--OR(Overview!$F$6="All",F273=Overview!$F$6)*--OR(Overview!$J$6="All",G273=Overview!$J$6)*--OR(Overview!$N$6="All",H273=Overview!$N$6)</f>
        <v>1</v>
      </c>
      <c r="T273" s="21" t="s">
        <v>26</v>
      </c>
      <c r="U273" s="21" t="s">
        <v>22</v>
      </c>
      <c r="V273" s="21" t="s">
        <v>22</v>
      </c>
      <c r="W273" s="21" t="s">
        <v>26</v>
      </c>
      <c r="X273" s="21" t="s">
        <v>22</v>
      </c>
      <c r="Y273" s="21" t="s">
        <v>22</v>
      </c>
      <c r="Z273" s="21" t="s">
        <v>22</v>
      </c>
      <c r="AA273" s="21" t="s">
        <v>22</v>
      </c>
      <c r="AB273" s="21" t="s">
        <v>22</v>
      </c>
      <c r="AC273" s="21" t="s">
        <v>22</v>
      </c>
      <c r="AD273" s="21" t="s">
        <v>22</v>
      </c>
      <c r="AE273" s="21" t="s">
        <v>22</v>
      </c>
      <c r="AF273" s="21" t="s">
        <v>198</v>
      </c>
      <c r="AG273" s="21" t="s">
        <v>22</v>
      </c>
      <c r="AH273" s="21" t="s">
        <v>22</v>
      </c>
      <c r="AI273" s="21" t="s">
        <v>198</v>
      </c>
      <c r="AJ273" s="21" t="s">
        <v>22</v>
      </c>
      <c r="AK273" s="21" t="s">
        <v>22</v>
      </c>
      <c r="AL273" s="21" t="s">
        <v>22</v>
      </c>
      <c r="AM273" s="21" t="s">
        <v>198</v>
      </c>
      <c r="AN273" s="21" t="s">
        <v>83</v>
      </c>
      <c r="AO273" s="21" t="s">
        <v>83</v>
      </c>
      <c r="AP273" s="21" t="s">
        <v>83</v>
      </c>
      <c r="AQ273" s="21" t="s">
        <v>83</v>
      </c>
      <c r="AR273" s="21" t="s">
        <v>83</v>
      </c>
      <c r="AS273" s="21" t="s">
        <v>83</v>
      </c>
      <c r="AT273" s="21" t="s">
        <v>83</v>
      </c>
      <c r="AU273" s="21" t="s">
        <v>109</v>
      </c>
      <c r="AV273" s="21" t="s">
        <v>83</v>
      </c>
      <c r="AW273" s="21" t="s">
        <v>83</v>
      </c>
      <c r="AX273" s="21" t="s">
        <v>83</v>
      </c>
      <c r="AY273" s="21" t="s">
        <v>83</v>
      </c>
      <c r="AZ273" s="21" t="s">
        <v>83</v>
      </c>
      <c r="BA273" s="17" t="s">
        <v>252</v>
      </c>
      <c r="BB273" s="17" t="s">
        <v>252</v>
      </c>
      <c r="BC273" s="18">
        <f>--ISNUMBER(SEARCH("Radio or television",BA273))</f>
        <v>1</v>
      </c>
      <c r="BD273" s="18">
        <f>--ISNUMBER(SEARCH("Newspapers or print media",BA273))</f>
        <v>0</v>
      </c>
      <c r="BE273" s="18">
        <f>--ISNUMBER(SEARCH("Social media (e.g. Facebook, WhatsApp, YouTube, X/Twitter)",BA273))</f>
        <v>1</v>
      </c>
      <c r="BF273" s="18">
        <f>--ISNUMBER(SEARCH("Family members",BA273))</f>
        <v>1</v>
      </c>
      <c r="BG273" s="18">
        <f>--ISNUMBER(SEARCH("Friends or fellow students",BA273))</f>
        <v>0</v>
      </c>
      <c r="BH273" s="18">
        <f>--ISNUMBER(SEARCH("School coursework or lectures",BA273))</f>
        <v>0</v>
      </c>
      <c r="BI273" s="18">
        <f>--ISNUMBER(SEARCH("NHIMA outreach activities or NHIMA offices",BA273))</f>
        <v>0</v>
      </c>
      <c r="BJ273" s="18">
        <f>--ISNUMBER(SEARCH("Health facility staff",BA273))</f>
        <v>0</v>
      </c>
      <c r="BK273" s="18">
        <f>--ISNUMBER(SEARCH("not received information",BA273))</f>
        <v>0</v>
      </c>
      <c r="BL273" s="18">
        <f>IF(T273="","",--(T273='Codebook'!$F$13))</f>
        <v>0</v>
      </c>
      <c r="BM273" s="18">
        <f>IF(U273="","",--(U273='Codebook'!$F$14))</f>
        <v>0</v>
      </c>
      <c r="BN273" s="18">
        <f>IF(V273="","",--(V273='Codebook'!$F$15))</f>
        <v>0</v>
      </c>
      <c r="BO273" s="18">
        <f>IF(W273="","",--(W273='Codebook'!$F$16))</f>
        <v>0</v>
      </c>
      <c r="BP273" s="18">
        <f>IF(X273="","",--(X273='Codebook'!$F$17))</f>
        <v>1</v>
      </c>
      <c r="BQ273" s="18">
        <f>IF(Y273="","",--(Y273='Codebook'!$F$18))</f>
        <v>0</v>
      </c>
      <c r="BR273" s="18">
        <f>IF(Z273="","",--(Z273='Codebook'!$F$19))</f>
        <v>1</v>
      </c>
      <c r="BS273" s="18">
        <f>IF(AA273="","",--(AA273='Codebook'!$F$20))</f>
        <v>1</v>
      </c>
      <c r="BT273" s="18">
        <f>IF(AB273="","",--(AB273='Codebook'!$F$21))</f>
        <v>0</v>
      </c>
      <c r="BU273" s="18">
        <f>IF(AC273="","",--(AC273='Codebook'!$F$22))</f>
        <v>1</v>
      </c>
      <c r="BV273" s="18">
        <f>IF(AD273="","",--(AD273='Codebook'!$F$23))</f>
        <v>1</v>
      </c>
      <c r="BW273" s="18">
        <f>IF(AE273="","",--(AE273='Codebook'!$F$24))</f>
        <v>1</v>
      </c>
      <c r="BX273" s="18">
        <f>IF(AF273="","",--(AF273='Codebook'!$F$25))</f>
        <v>0</v>
      </c>
      <c r="BY273" s="18">
        <f>IF(AG273="","",--(AG273='Codebook'!$F$26))</f>
        <v>1</v>
      </c>
      <c r="BZ273" s="18">
        <f>IF(AH273="","",--(AH273='Codebook'!$F$27))</f>
        <v>1</v>
      </c>
      <c r="CA273" s="18">
        <f>IF(AI273="","",--(AI273='Codebook'!$F$28))</f>
        <v>0</v>
      </c>
      <c r="CB273" s="18">
        <f>IF(AJ273="","",--(AJ273='Codebook'!$F$29))</f>
        <v>0</v>
      </c>
      <c r="CC273" s="18">
        <f>IF(AK273="","",--(AK273='Codebook'!$F$30))</f>
        <v>1</v>
      </c>
      <c r="CD273" s="18">
        <f>IF(AL273="","",--(AL273='Codebook'!$F$31))</f>
        <v>0</v>
      </c>
      <c r="CE273" s="18">
        <f>IF(AM273="","",--(AM273='Codebook'!$F$32))</f>
        <v>0</v>
      </c>
      <c r="CF273" s="18">
        <f>IF(AN273="","",--(AN273='Codebook'!$F$33))</f>
        <v>1</v>
      </c>
      <c r="CG273" s="18">
        <f>IF(AO273="","",--(AO273='Codebook'!$F$34))</f>
        <v>1</v>
      </c>
      <c r="CH273" s="18">
        <f>IF(AP273="","",--(AP273='Codebook'!$F$35))</f>
        <v>1</v>
      </c>
      <c r="CI273" s="18">
        <f>IF(AQ273="","",--(AQ273='Codebook'!$F$36))</f>
        <v>1</v>
      </c>
      <c r="CJ273" s="18">
        <f>IF(AR273="","",--(AR273='Codebook'!$F$37))</f>
        <v>1</v>
      </c>
      <c r="CK273" s="18">
        <f>IF(AS273="","",--(AS273='Codebook'!$F$38))</f>
        <v>1</v>
      </c>
      <c r="CL273" s="18">
        <f>IF(AT273="","",--(AT273='Codebook'!$F$39))</f>
        <v>1</v>
      </c>
      <c r="CM273" s="18">
        <f>IF(AU273="","",--(AU273='Codebook'!$F$40))</f>
        <v>1</v>
      </c>
      <c r="CN273" s="18">
        <f>IF(AV273="","",--(AV273='Codebook'!$F$41))</f>
        <v>0</v>
      </c>
      <c r="CO273" s="18">
        <f>IF(AW273="","",--(AW273='Codebook'!$F$42))</f>
        <v>0</v>
      </c>
      <c r="CP273" s="18">
        <f>IF(AX273="","",--(AX273='Codebook'!$F$43))</f>
        <v>0</v>
      </c>
      <c r="CQ273" s="18">
        <f>IF(AY273="","",--(AY273='Codebook'!$F$44))</f>
        <v>0</v>
      </c>
      <c r="CR273" s="18">
        <f>IF(AZ273="","",--(AZ273='Codebook'!$F$45))</f>
        <v>0</v>
      </c>
    </row>
    <row r="274" spans="2:96" ht="24" customHeight="1">
      <c r="B274" s="18">
        <v>269</v>
      </c>
      <c r="C274" s="23">
        <v>46289.7469784375</v>
      </c>
      <c r="D274" s="21" t="s">
        <v>275</v>
      </c>
      <c r="E274" s="21" t="s">
        <v>194</v>
      </c>
      <c r="F274" s="21" t="s">
        <v>195</v>
      </c>
      <c r="G274" s="17" t="s">
        <v>215</v>
      </c>
      <c r="H274" s="21" t="s">
        <v>197</v>
      </c>
      <c r="I274" s="18">
        <f>SUM(BL274:BU274)</f>
        <v>5</v>
      </c>
      <c r="J274" s="18">
        <f>IF(COUNT(BV274:CD274)=9,SUM(BV274:CD274),"")</f>
        <v>5</v>
      </c>
      <c r="K274" s="18">
        <f>SUM(BL274:CD274)</f>
        <v>10</v>
      </c>
      <c r="L274" s="18">
        <f>--(K274&gt;='Codebook'!$C$8)</f>
        <v>0</v>
      </c>
      <c r="M274" s="18">
        <f>--(COUNT(BL274:CD274)=19)</f>
        <v>1</v>
      </c>
      <c r="N274" s="18">
        <f>SUM(CE274:CL274)</f>
        <v>7</v>
      </c>
      <c r="O274" s="18">
        <f>SUM(CM274:CR274)</f>
        <v>2</v>
      </c>
      <c r="P274" s="18">
        <f>N274+O274</f>
        <v>9</v>
      </c>
      <c r="Q274" s="21" t="s">
        <v>197</v>
      </c>
      <c r="R274" s="17" t="s">
        <v>152</v>
      </c>
      <c r="S274" s="18">
        <f>--OR(Overview!$B$6="All",E274=Overview!$B$6)*--OR(Overview!$F$6="All",F274=Overview!$F$6)*--OR(Overview!$J$6="All",G274=Overview!$J$6)*--OR(Overview!$N$6="All",H274=Overview!$N$6)</f>
        <v>1</v>
      </c>
      <c r="T274" s="21" t="s">
        <v>22</v>
      </c>
      <c r="U274" s="21" t="s">
        <v>22</v>
      </c>
      <c r="V274" s="21" t="s">
        <v>22</v>
      </c>
      <c r="W274" s="21" t="s">
        <v>22</v>
      </c>
      <c r="X274" s="21" t="s">
        <v>26</v>
      </c>
      <c r="Y274" s="21" t="s">
        <v>22</v>
      </c>
      <c r="Z274" s="21" t="s">
        <v>22</v>
      </c>
      <c r="AA274" s="21" t="s">
        <v>22</v>
      </c>
      <c r="AB274" s="21" t="s">
        <v>22</v>
      </c>
      <c r="AC274" s="21" t="s">
        <v>22</v>
      </c>
      <c r="AD274" s="21" t="s">
        <v>22</v>
      </c>
      <c r="AE274" s="21" t="s">
        <v>22</v>
      </c>
      <c r="AF274" s="21" t="s">
        <v>22</v>
      </c>
      <c r="AG274" s="21" t="s">
        <v>22</v>
      </c>
      <c r="AH274" s="21" t="s">
        <v>22</v>
      </c>
      <c r="AI274" s="21" t="s">
        <v>22</v>
      </c>
      <c r="AJ274" s="21" t="s">
        <v>22</v>
      </c>
      <c r="AK274" s="21" t="s">
        <v>22</v>
      </c>
      <c r="AL274" s="21" t="s">
        <v>22</v>
      </c>
      <c r="AM274" s="21" t="s">
        <v>109</v>
      </c>
      <c r="AN274" s="21" t="s">
        <v>83</v>
      </c>
      <c r="AO274" s="21" t="s">
        <v>83</v>
      </c>
      <c r="AP274" s="21" t="s">
        <v>83</v>
      </c>
      <c r="AQ274" s="21" t="s">
        <v>83</v>
      </c>
      <c r="AR274" s="21" t="s">
        <v>83</v>
      </c>
      <c r="AS274" s="21" t="s">
        <v>83</v>
      </c>
      <c r="AT274" s="21" t="s">
        <v>83</v>
      </c>
      <c r="AU274" s="21" t="s">
        <v>109</v>
      </c>
      <c r="AV274" s="21" t="s">
        <v>83</v>
      </c>
      <c r="AW274" s="21" t="s">
        <v>109</v>
      </c>
      <c r="AX274" s="21" t="s">
        <v>83</v>
      </c>
      <c r="AY274" s="21" t="s">
        <v>83</v>
      </c>
      <c r="AZ274" s="21" t="s">
        <v>83</v>
      </c>
      <c r="BA274" s="17" t="s">
        <v>246</v>
      </c>
      <c r="BB274" s="17" t="s">
        <v>223</v>
      </c>
      <c r="BC274" s="18">
        <f>--ISNUMBER(SEARCH("Radio or television",BA274))</f>
        <v>1</v>
      </c>
      <c r="BD274" s="18">
        <f>--ISNUMBER(SEARCH("Newspapers or print media",BA274))</f>
        <v>0</v>
      </c>
      <c r="BE274" s="18">
        <f>--ISNUMBER(SEARCH("Social media (e.g. Facebook, WhatsApp, YouTube, X/Twitter)",BA274))</f>
        <v>1</v>
      </c>
      <c r="BF274" s="18">
        <f>--ISNUMBER(SEARCH("Family members",BA274))</f>
        <v>0</v>
      </c>
      <c r="BG274" s="18">
        <f>--ISNUMBER(SEARCH("Friends or fellow students",BA274))</f>
        <v>0</v>
      </c>
      <c r="BH274" s="18">
        <f>--ISNUMBER(SEARCH("School coursework or lectures",BA274))</f>
        <v>0</v>
      </c>
      <c r="BI274" s="18">
        <f>--ISNUMBER(SEARCH("NHIMA outreach activities or NHIMA offices",BA274))</f>
        <v>0</v>
      </c>
      <c r="BJ274" s="18">
        <f>--ISNUMBER(SEARCH("Health facility staff",BA274))</f>
        <v>0</v>
      </c>
      <c r="BK274" s="18">
        <f>--ISNUMBER(SEARCH("not received information",BA274))</f>
        <v>0</v>
      </c>
      <c r="BL274" s="18">
        <f>IF(T274="","",--(T274='Codebook'!$F$13))</f>
        <v>1</v>
      </c>
      <c r="BM274" s="18">
        <f>IF(U274="","",--(U274='Codebook'!$F$14))</f>
        <v>0</v>
      </c>
      <c r="BN274" s="18">
        <f>IF(V274="","",--(V274='Codebook'!$F$15))</f>
        <v>0</v>
      </c>
      <c r="BO274" s="18">
        <f>IF(W274="","",--(W274='Codebook'!$F$16))</f>
        <v>1</v>
      </c>
      <c r="BP274" s="18">
        <f>IF(X274="","",--(X274='Codebook'!$F$17))</f>
        <v>0</v>
      </c>
      <c r="BQ274" s="18">
        <f>IF(Y274="","",--(Y274='Codebook'!$F$18))</f>
        <v>0</v>
      </c>
      <c r="BR274" s="18">
        <f>IF(Z274="","",--(Z274='Codebook'!$F$19))</f>
        <v>1</v>
      </c>
      <c r="BS274" s="18">
        <f>IF(AA274="","",--(AA274='Codebook'!$F$20))</f>
        <v>1</v>
      </c>
      <c r="BT274" s="18">
        <f>IF(AB274="","",--(AB274='Codebook'!$F$21))</f>
        <v>0</v>
      </c>
      <c r="BU274" s="18">
        <f>IF(AC274="","",--(AC274='Codebook'!$F$22))</f>
        <v>1</v>
      </c>
      <c r="BV274" s="18">
        <f>IF(AD274="","",--(AD274='Codebook'!$F$23))</f>
        <v>1</v>
      </c>
      <c r="BW274" s="18">
        <f>IF(AE274="","",--(AE274='Codebook'!$F$24))</f>
        <v>1</v>
      </c>
      <c r="BX274" s="18">
        <f>IF(AF274="","",--(AF274='Codebook'!$F$25))</f>
        <v>0</v>
      </c>
      <c r="BY274" s="18">
        <f>IF(AG274="","",--(AG274='Codebook'!$F$26))</f>
        <v>1</v>
      </c>
      <c r="BZ274" s="18">
        <f>IF(AH274="","",--(AH274='Codebook'!$F$27))</f>
        <v>1</v>
      </c>
      <c r="CA274" s="18">
        <f>IF(AI274="","",--(AI274='Codebook'!$F$28))</f>
        <v>0</v>
      </c>
      <c r="CB274" s="18">
        <f>IF(AJ274="","",--(AJ274='Codebook'!$F$29))</f>
        <v>0</v>
      </c>
      <c r="CC274" s="18">
        <f>IF(AK274="","",--(AK274='Codebook'!$F$30))</f>
        <v>1</v>
      </c>
      <c r="CD274" s="18">
        <f>IF(AL274="","",--(AL274='Codebook'!$F$31))</f>
        <v>0</v>
      </c>
      <c r="CE274" s="18">
        <f>IF(AM274="","",--(AM274='Codebook'!$F$32))</f>
        <v>0</v>
      </c>
      <c r="CF274" s="18">
        <f>IF(AN274="","",--(AN274='Codebook'!$F$33))</f>
        <v>1</v>
      </c>
      <c r="CG274" s="18">
        <f>IF(AO274="","",--(AO274='Codebook'!$F$34))</f>
        <v>1</v>
      </c>
      <c r="CH274" s="18">
        <f>IF(AP274="","",--(AP274='Codebook'!$F$35))</f>
        <v>1</v>
      </c>
      <c r="CI274" s="18">
        <f>IF(AQ274="","",--(AQ274='Codebook'!$F$36))</f>
        <v>1</v>
      </c>
      <c r="CJ274" s="18">
        <f>IF(AR274="","",--(AR274='Codebook'!$F$37))</f>
        <v>1</v>
      </c>
      <c r="CK274" s="18">
        <f>IF(AS274="","",--(AS274='Codebook'!$F$38))</f>
        <v>1</v>
      </c>
      <c r="CL274" s="18">
        <f>IF(AT274="","",--(AT274='Codebook'!$F$39))</f>
        <v>1</v>
      </c>
      <c r="CM274" s="18">
        <f>IF(AU274="","",--(AU274='Codebook'!$F$40))</f>
        <v>1</v>
      </c>
      <c r="CN274" s="18">
        <f>IF(AV274="","",--(AV274='Codebook'!$F$41))</f>
        <v>0</v>
      </c>
      <c r="CO274" s="18">
        <f>IF(AW274="","",--(AW274='Codebook'!$F$42))</f>
        <v>1</v>
      </c>
      <c r="CP274" s="18">
        <f>IF(AX274="","",--(AX274='Codebook'!$F$43))</f>
        <v>0</v>
      </c>
      <c r="CQ274" s="18">
        <f>IF(AY274="","",--(AY274='Codebook'!$F$44))</f>
        <v>0</v>
      </c>
      <c r="CR274" s="18">
        <f>IF(AZ274="","",--(AZ274='Codebook'!$F$45))</f>
        <v>0</v>
      </c>
    </row>
    <row r="275" spans="2:96" ht="24" customHeight="1">
      <c r="B275" s="18">
        <v>270</v>
      </c>
      <c r="C275" s="23">
        <v>46289.74757266204</v>
      </c>
      <c r="D275" s="21" t="s">
        <v>275</v>
      </c>
      <c r="E275" s="21" t="s">
        <v>194</v>
      </c>
      <c r="F275" s="21" t="s">
        <v>201</v>
      </c>
      <c r="G275" s="17" t="s">
        <v>196</v>
      </c>
      <c r="H275" s="21" t="s">
        <v>207</v>
      </c>
      <c r="I275" s="18">
        <f>SUM(BL275:BU275)</f>
        <v>6</v>
      </c>
      <c r="J275" s="18">
        <f>IF(COUNT(BV275:CD275)=9,SUM(BV275:CD275),"")</f>
        <v>4</v>
      </c>
      <c r="K275" s="18">
        <f>SUM(BL275:CD275)</f>
        <v>10</v>
      </c>
      <c r="L275" s="18">
        <f>--(K275&gt;='Codebook'!$C$8)</f>
        <v>0</v>
      </c>
      <c r="M275" s="18">
        <f>--(COUNT(BL275:CD275)=19)</f>
        <v>1</v>
      </c>
      <c r="N275" s="18">
        <f>SUM(CE275:CL275)</f>
        <v>5</v>
      </c>
      <c r="O275" s="18">
        <f>SUM(CM275:CR275)</f>
        <v>0</v>
      </c>
      <c r="P275" s="18">
        <f>N275+O275</f>
        <v>5</v>
      </c>
      <c r="Q275" s="21" t="s">
        <v>198</v>
      </c>
      <c r="R275" s="17" t="s">
        <v>152</v>
      </c>
      <c r="S275" s="18">
        <f>--OR(Overview!$B$6="All",E275=Overview!$B$6)*--OR(Overview!$F$6="All",F275=Overview!$F$6)*--OR(Overview!$J$6="All",G275=Overview!$J$6)*--OR(Overview!$N$6="All",H275=Overview!$N$6)</f>
        <v>1</v>
      </c>
      <c r="T275" s="21" t="s">
        <v>22</v>
      </c>
      <c r="U275" s="21" t="s">
        <v>22</v>
      </c>
      <c r="V275" s="21" t="s">
        <v>22</v>
      </c>
      <c r="W275" s="21" t="s">
        <v>22</v>
      </c>
      <c r="X275" s="21" t="s">
        <v>22</v>
      </c>
      <c r="Y275" s="21" t="s">
        <v>22</v>
      </c>
      <c r="Z275" s="21" t="s">
        <v>22</v>
      </c>
      <c r="AA275" s="21" t="s">
        <v>22</v>
      </c>
      <c r="AB275" s="21" t="s">
        <v>22</v>
      </c>
      <c r="AC275" s="21" t="s">
        <v>22</v>
      </c>
      <c r="AD275" s="21" t="s">
        <v>22</v>
      </c>
      <c r="AE275" s="21" t="s">
        <v>22</v>
      </c>
      <c r="AF275" s="21" t="s">
        <v>22</v>
      </c>
      <c r="AG275" s="21" t="s">
        <v>26</v>
      </c>
      <c r="AH275" s="21" t="s">
        <v>22</v>
      </c>
      <c r="AI275" s="21" t="s">
        <v>26</v>
      </c>
      <c r="AJ275" s="21" t="s">
        <v>198</v>
      </c>
      <c r="AK275" s="21" t="s">
        <v>198</v>
      </c>
      <c r="AL275" s="21" t="s">
        <v>198</v>
      </c>
      <c r="AM275" s="21" t="s">
        <v>198</v>
      </c>
      <c r="AN275" s="21" t="s">
        <v>83</v>
      </c>
      <c r="AO275" s="21" t="s">
        <v>83</v>
      </c>
      <c r="AP275" s="21" t="s">
        <v>83</v>
      </c>
      <c r="AQ275" s="21" t="s">
        <v>109</v>
      </c>
      <c r="AR275" s="21" t="s">
        <v>83</v>
      </c>
      <c r="AS275" s="21" t="s">
        <v>83</v>
      </c>
      <c r="AT275" s="21" t="s">
        <v>198</v>
      </c>
      <c r="AU275" s="21" t="s">
        <v>83</v>
      </c>
      <c r="AV275" s="21" t="s">
        <v>198</v>
      </c>
      <c r="AW275" s="21" t="s">
        <v>198</v>
      </c>
      <c r="AX275" s="21" t="s">
        <v>83</v>
      </c>
      <c r="AY275" s="21" t="s">
        <v>198</v>
      </c>
      <c r="AZ275" s="21" t="s">
        <v>198</v>
      </c>
      <c r="BA275" s="17" t="s">
        <v>292</v>
      </c>
      <c r="BB275" s="17" t="s">
        <v>223</v>
      </c>
      <c r="BC275" s="18">
        <f>--ISNUMBER(SEARCH("Radio or television",BA275))</f>
        <v>1</v>
      </c>
      <c r="BD275" s="18">
        <f>--ISNUMBER(SEARCH("Newspapers or print media",BA275))</f>
        <v>0</v>
      </c>
      <c r="BE275" s="18">
        <f>--ISNUMBER(SEARCH("Social media (e.g. Facebook, WhatsApp, YouTube, X/Twitter)",BA275))</f>
        <v>1</v>
      </c>
      <c r="BF275" s="18">
        <f>--ISNUMBER(SEARCH("Family members",BA275))</f>
        <v>0</v>
      </c>
      <c r="BG275" s="18">
        <f>--ISNUMBER(SEARCH("Friends or fellow students",BA275))</f>
        <v>1</v>
      </c>
      <c r="BH275" s="18">
        <f>--ISNUMBER(SEARCH("School coursework or lectures",BA275))</f>
        <v>0</v>
      </c>
      <c r="BI275" s="18">
        <f>--ISNUMBER(SEARCH("NHIMA outreach activities or NHIMA offices",BA275))</f>
        <v>0</v>
      </c>
      <c r="BJ275" s="18">
        <f>--ISNUMBER(SEARCH("Health facility staff",BA275))</f>
        <v>0</v>
      </c>
      <c r="BK275" s="18">
        <f>--ISNUMBER(SEARCH("not received information",BA275))</f>
        <v>0</v>
      </c>
      <c r="BL275" s="18">
        <f>IF(T275="","",--(T275='Codebook'!$F$13))</f>
        <v>1</v>
      </c>
      <c r="BM275" s="18">
        <f>IF(U275="","",--(U275='Codebook'!$F$14))</f>
        <v>0</v>
      </c>
      <c r="BN275" s="18">
        <f>IF(V275="","",--(V275='Codebook'!$F$15))</f>
        <v>0</v>
      </c>
      <c r="BO275" s="18">
        <f>IF(W275="","",--(W275='Codebook'!$F$16))</f>
        <v>1</v>
      </c>
      <c r="BP275" s="18">
        <f>IF(X275="","",--(X275='Codebook'!$F$17))</f>
        <v>1</v>
      </c>
      <c r="BQ275" s="18">
        <f>IF(Y275="","",--(Y275='Codebook'!$F$18))</f>
        <v>0</v>
      </c>
      <c r="BR275" s="18">
        <f>IF(Z275="","",--(Z275='Codebook'!$F$19))</f>
        <v>1</v>
      </c>
      <c r="BS275" s="18">
        <f>IF(AA275="","",--(AA275='Codebook'!$F$20))</f>
        <v>1</v>
      </c>
      <c r="BT275" s="18">
        <f>IF(AB275="","",--(AB275='Codebook'!$F$21))</f>
        <v>0</v>
      </c>
      <c r="BU275" s="18">
        <f>IF(AC275="","",--(AC275='Codebook'!$F$22))</f>
        <v>1</v>
      </c>
      <c r="BV275" s="18">
        <f>IF(AD275="","",--(AD275='Codebook'!$F$23))</f>
        <v>1</v>
      </c>
      <c r="BW275" s="18">
        <f>IF(AE275="","",--(AE275='Codebook'!$F$24))</f>
        <v>1</v>
      </c>
      <c r="BX275" s="18">
        <f>IF(AF275="","",--(AF275='Codebook'!$F$25))</f>
        <v>0</v>
      </c>
      <c r="BY275" s="18">
        <f>IF(AG275="","",--(AG275='Codebook'!$F$26))</f>
        <v>0</v>
      </c>
      <c r="BZ275" s="18">
        <f>IF(AH275="","",--(AH275='Codebook'!$F$27))</f>
        <v>1</v>
      </c>
      <c r="CA275" s="18">
        <f>IF(AI275="","",--(AI275='Codebook'!$F$28))</f>
        <v>1</v>
      </c>
      <c r="CB275" s="18">
        <f>IF(AJ275="","",--(AJ275='Codebook'!$F$29))</f>
        <v>0</v>
      </c>
      <c r="CC275" s="18">
        <f>IF(AK275="","",--(AK275='Codebook'!$F$30))</f>
        <v>0</v>
      </c>
      <c r="CD275" s="18">
        <f>IF(AL275="","",--(AL275='Codebook'!$F$31))</f>
        <v>0</v>
      </c>
      <c r="CE275" s="18">
        <f>IF(AM275="","",--(AM275='Codebook'!$F$32))</f>
        <v>0</v>
      </c>
      <c r="CF275" s="18">
        <f>IF(AN275="","",--(AN275='Codebook'!$F$33))</f>
        <v>1</v>
      </c>
      <c r="CG275" s="18">
        <f>IF(AO275="","",--(AO275='Codebook'!$F$34))</f>
        <v>1</v>
      </c>
      <c r="CH275" s="18">
        <f>IF(AP275="","",--(AP275='Codebook'!$F$35))</f>
        <v>1</v>
      </c>
      <c r="CI275" s="18">
        <f>IF(AQ275="","",--(AQ275='Codebook'!$F$36))</f>
        <v>0</v>
      </c>
      <c r="CJ275" s="18">
        <f>IF(AR275="","",--(AR275='Codebook'!$F$37))</f>
        <v>1</v>
      </c>
      <c r="CK275" s="18">
        <f>IF(AS275="","",--(AS275='Codebook'!$F$38))</f>
        <v>1</v>
      </c>
      <c r="CL275" s="18">
        <f>IF(AT275="","",--(AT275='Codebook'!$F$39))</f>
        <v>0</v>
      </c>
      <c r="CM275" s="18">
        <f>IF(AU275="","",--(AU275='Codebook'!$F$40))</f>
        <v>0</v>
      </c>
      <c r="CN275" s="18">
        <f>IF(AV275="","",--(AV275='Codebook'!$F$41))</f>
        <v>0</v>
      </c>
      <c r="CO275" s="18">
        <f>IF(AW275="","",--(AW275='Codebook'!$F$42))</f>
        <v>0</v>
      </c>
      <c r="CP275" s="18">
        <f>IF(AX275="","",--(AX275='Codebook'!$F$43))</f>
        <v>0</v>
      </c>
      <c r="CQ275" s="18">
        <f>IF(AY275="","",--(AY275='Codebook'!$F$44))</f>
        <v>0</v>
      </c>
      <c r="CR275" s="18">
        <f>IF(AZ275="","",--(AZ275='Codebook'!$F$45))</f>
        <v>0</v>
      </c>
    </row>
    <row r="276" spans="2:96" ht="24" customHeight="1">
      <c r="B276" s="18">
        <v>271</v>
      </c>
      <c r="C276" s="23">
        <v>46289.74817498842</v>
      </c>
      <c r="D276" s="21" t="s">
        <v>268</v>
      </c>
      <c r="E276" s="21" t="s">
        <v>194</v>
      </c>
      <c r="F276" s="21" t="s">
        <v>201</v>
      </c>
      <c r="G276" s="17" t="s">
        <v>247</v>
      </c>
      <c r="H276" s="21" t="s">
        <v>198</v>
      </c>
      <c r="I276" s="18">
        <f>SUM(BL276:BU276)</f>
        <v>6</v>
      </c>
      <c r="J276" s="18">
        <f>IF(COUNT(BV276:CD276)=9,SUM(BV276:CD276),"")</f>
        <v>5</v>
      </c>
      <c r="K276" s="18">
        <f>SUM(BL276:CD276)</f>
        <v>11</v>
      </c>
      <c r="L276" s="18">
        <f>--(K276&gt;='Codebook'!$C$8)</f>
        <v>0</v>
      </c>
      <c r="M276" s="18">
        <f>--(COUNT(BL276:CD276)=19)</f>
        <v>1</v>
      </c>
      <c r="N276" s="18">
        <f>SUM(CE276:CL276)</f>
        <v>4</v>
      </c>
      <c r="O276" s="18">
        <f>SUM(CM276:CR276)</f>
        <v>0</v>
      </c>
      <c r="P276" s="18">
        <f>N276+O276</f>
        <v>4</v>
      </c>
      <c r="Q276" s="21" t="s">
        <v>198</v>
      </c>
      <c r="R276" s="17" t="s">
        <v>156</v>
      </c>
      <c r="S276" s="18">
        <f>--OR(Overview!$B$6="All",E276=Overview!$B$6)*--OR(Overview!$F$6="All",F276=Overview!$F$6)*--OR(Overview!$J$6="All",G276=Overview!$J$6)*--OR(Overview!$N$6="All",H276=Overview!$N$6)</f>
        <v>1</v>
      </c>
      <c r="T276" s="21" t="s">
        <v>22</v>
      </c>
      <c r="U276" s="21" t="s">
        <v>22</v>
      </c>
      <c r="V276" s="21" t="s">
        <v>22</v>
      </c>
      <c r="W276" s="21" t="s">
        <v>22</v>
      </c>
      <c r="X276" s="21" t="s">
        <v>22</v>
      </c>
      <c r="Y276" s="21" t="s">
        <v>22</v>
      </c>
      <c r="Z276" s="21" t="s">
        <v>22</v>
      </c>
      <c r="AA276" s="21" t="s">
        <v>22</v>
      </c>
      <c r="AB276" s="21" t="s">
        <v>22</v>
      </c>
      <c r="AC276" s="21" t="s">
        <v>22</v>
      </c>
      <c r="AD276" s="21" t="s">
        <v>22</v>
      </c>
      <c r="AE276" s="21" t="s">
        <v>22</v>
      </c>
      <c r="AF276" s="21" t="s">
        <v>22</v>
      </c>
      <c r="AG276" s="21" t="s">
        <v>22</v>
      </c>
      <c r="AH276" s="21" t="s">
        <v>22</v>
      </c>
      <c r="AI276" s="21" t="s">
        <v>22</v>
      </c>
      <c r="AJ276" s="21" t="s">
        <v>22</v>
      </c>
      <c r="AK276" s="21" t="s">
        <v>22</v>
      </c>
      <c r="AL276" s="21" t="s">
        <v>22</v>
      </c>
      <c r="AM276" s="21" t="s">
        <v>83</v>
      </c>
      <c r="AN276" s="21" t="s">
        <v>198</v>
      </c>
      <c r="AO276" s="21" t="s">
        <v>83</v>
      </c>
      <c r="AP276" s="21" t="s">
        <v>83</v>
      </c>
      <c r="AQ276" s="21" t="s">
        <v>109</v>
      </c>
      <c r="AR276" s="21" t="s">
        <v>109</v>
      </c>
      <c r="AS276" s="21" t="s">
        <v>83</v>
      </c>
      <c r="AT276" s="21" t="s">
        <v>198</v>
      </c>
      <c r="AU276" s="21" t="s">
        <v>198</v>
      </c>
      <c r="AV276" s="21" t="s">
        <v>198</v>
      </c>
      <c r="AW276" s="21" t="s">
        <v>83</v>
      </c>
      <c r="AX276" s="21" t="s">
        <v>198</v>
      </c>
      <c r="AY276" s="21" t="s">
        <v>198</v>
      </c>
      <c r="AZ276" s="21" t="s">
        <v>198</v>
      </c>
      <c r="BA276" s="17" t="s">
        <v>317</v>
      </c>
      <c r="BB276" s="17" t="s">
        <v>313</v>
      </c>
      <c r="BC276" s="18">
        <f>--ISNUMBER(SEARCH("Radio or television",BA276))</f>
        <v>1</v>
      </c>
      <c r="BD276" s="18">
        <f>--ISNUMBER(SEARCH("Newspapers or print media",BA276))</f>
        <v>0</v>
      </c>
      <c r="BE276" s="18">
        <f>--ISNUMBER(SEARCH("Social media (e.g. Facebook, WhatsApp, YouTube, X/Twitter)",BA276))</f>
        <v>0</v>
      </c>
      <c r="BF276" s="18">
        <f>--ISNUMBER(SEARCH("Family members",BA276))</f>
        <v>0</v>
      </c>
      <c r="BG276" s="18">
        <f>--ISNUMBER(SEARCH("Friends or fellow students",BA276))</f>
        <v>1</v>
      </c>
      <c r="BH276" s="18">
        <f>--ISNUMBER(SEARCH("School coursework or lectures",BA276))</f>
        <v>0</v>
      </c>
      <c r="BI276" s="18">
        <f>--ISNUMBER(SEARCH("NHIMA outreach activities or NHIMA offices",BA276))</f>
        <v>0</v>
      </c>
      <c r="BJ276" s="18">
        <f>--ISNUMBER(SEARCH("Health facility staff",BA276))</f>
        <v>0</v>
      </c>
      <c r="BK276" s="18">
        <f>--ISNUMBER(SEARCH("not received information",BA276))</f>
        <v>0</v>
      </c>
      <c r="BL276" s="18">
        <f>IF(T276="","",--(T276='Codebook'!$F$13))</f>
        <v>1</v>
      </c>
      <c r="BM276" s="18">
        <f>IF(U276="","",--(U276='Codebook'!$F$14))</f>
        <v>0</v>
      </c>
      <c r="BN276" s="18">
        <f>IF(V276="","",--(V276='Codebook'!$F$15))</f>
        <v>0</v>
      </c>
      <c r="BO276" s="18">
        <f>IF(W276="","",--(W276='Codebook'!$F$16))</f>
        <v>1</v>
      </c>
      <c r="BP276" s="18">
        <f>IF(X276="","",--(X276='Codebook'!$F$17))</f>
        <v>1</v>
      </c>
      <c r="BQ276" s="18">
        <f>IF(Y276="","",--(Y276='Codebook'!$F$18))</f>
        <v>0</v>
      </c>
      <c r="BR276" s="18">
        <f>IF(Z276="","",--(Z276='Codebook'!$F$19))</f>
        <v>1</v>
      </c>
      <c r="BS276" s="18">
        <f>IF(AA276="","",--(AA276='Codebook'!$F$20))</f>
        <v>1</v>
      </c>
      <c r="BT276" s="18">
        <f>IF(AB276="","",--(AB276='Codebook'!$F$21))</f>
        <v>0</v>
      </c>
      <c r="BU276" s="18">
        <f>IF(AC276="","",--(AC276='Codebook'!$F$22))</f>
        <v>1</v>
      </c>
      <c r="BV276" s="18">
        <f>IF(AD276="","",--(AD276='Codebook'!$F$23))</f>
        <v>1</v>
      </c>
      <c r="BW276" s="18">
        <f>IF(AE276="","",--(AE276='Codebook'!$F$24))</f>
        <v>1</v>
      </c>
      <c r="BX276" s="18">
        <f>IF(AF276="","",--(AF276='Codebook'!$F$25))</f>
        <v>0</v>
      </c>
      <c r="BY276" s="18">
        <f>IF(AG276="","",--(AG276='Codebook'!$F$26))</f>
        <v>1</v>
      </c>
      <c r="BZ276" s="18">
        <f>IF(AH276="","",--(AH276='Codebook'!$F$27))</f>
        <v>1</v>
      </c>
      <c r="CA276" s="18">
        <f>IF(AI276="","",--(AI276='Codebook'!$F$28))</f>
        <v>0</v>
      </c>
      <c r="CB276" s="18">
        <f>IF(AJ276="","",--(AJ276='Codebook'!$F$29))</f>
        <v>0</v>
      </c>
      <c r="CC276" s="18">
        <f>IF(AK276="","",--(AK276='Codebook'!$F$30))</f>
        <v>1</v>
      </c>
      <c r="CD276" s="18">
        <f>IF(AL276="","",--(AL276='Codebook'!$F$31))</f>
        <v>0</v>
      </c>
      <c r="CE276" s="18">
        <f>IF(AM276="","",--(AM276='Codebook'!$F$32))</f>
        <v>1</v>
      </c>
      <c r="CF276" s="18">
        <f>IF(AN276="","",--(AN276='Codebook'!$F$33))</f>
        <v>0</v>
      </c>
      <c r="CG276" s="18">
        <f>IF(AO276="","",--(AO276='Codebook'!$F$34))</f>
        <v>1</v>
      </c>
      <c r="CH276" s="18">
        <f>IF(AP276="","",--(AP276='Codebook'!$F$35))</f>
        <v>1</v>
      </c>
      <c r="CI276" s="18">
        <f>IF(AQ276="","",--(AQ276='Codebook'!$F$36))</f>
        <v>0</v>
      </c>
      <c r="CJ276" s="18">
        <f>IF(AR276="","",--(AR276='Codebook'!$F$37))</f>
        <v>0</v>
      </c>
      <c r="CK276" s="18">
        <f>IF(AS276="","",--(AS276='Codebook'!$F$38))</f>
        <v>1</v>
      </c>
      <c r="CL276" s="18">
        <f>IF(AT276="","",--(AT276='Codebook'!$F$39))</f>
        <v>0</v>
      </c>
      <c r="CM276" s="18">
        <f>IF(AU276="","",--(AU276='Codebook'!$F$40))</f>
        <v>0</v>
      </c>
      <c r="CN276" s="18">
        <f>IF(AV276="","",--(AV276='Codebook'!$F$41))</f>
        <v>0</v>
      </c>
      <c r="CO276" s="18">
        <f>IF(AW276="","",--(AW276='Codebook'!$F$42))</f>
        <v>0</v>
      </c>
      <c r="CP276" s="18">
        <f>IF(AX276="","",--(AX276='Codebook'!$F$43))</f>
        <v>0</v>
      </c>
      <c r="CQ276" s="18">
        <f>IF(AY276="","",--(AY276='Codebook'!$F$44))</f>
        <v>0</v>
      </c>
      <c r="CR276" s="18">
        <f>IF(AZ276="","",--(AZ276='Codebook'!$F$45))</f>
        <v>0</v>
      </c>
    </row>
    <row r="277" spans="2:96" ht="24" customHeight="1">
      <c r="B277" s="18">
        <v>272</v>
      </c>
      <c r="C277" s="23">
        <v>46289.74876570602</v>
      </c>
      <c r="D277" s="21" t="s">
        <v>275</v>
      </c>
      <c r="E277" s="21" t="s">
        <v>194</v>
      </c>
      <c r="F277" s="21" t="s">
        <v>226</v>
      </c>
      <c r="G277" s="17" t="s">
        <v>247</v>
      </c>
      <c r="H277" s="21" t="s">
        <v>197</v>
      </c>
      <c r="I277" s="18">
        <f>SUM(BL277:BU277)</f>
        <v>6</v>
      </c>
      <c r="J277" s="18">
        <f>IF(COUNT(BV277:CD277)=9,SUM(BV277:CD277),"")</f>
        <v>5</v>
      </c>
      <c r="K277" s="18">
        <f>SUM(BL277:CD277)</f>
        <v>11</v>
      </c>
      <c r="L277" s="18">
        <f>--(K277&gt;='Codebook'!$C$8)</f>
        <v>0</v>
      </c>
      <c r="M277" s="18">
        <f>--(COUNT(BL277:CD277)=19)</f>
        <v>1</v>
      </c>
      <c r="N277" s="18">
        <f>SUM(CE277:CL277)</f>
        <v>5</v>
      </c>
      <c r="O277" s="18">
        <f>SUM(CM277:CR277)</f>
        <v>0</v>
      </c>
      <c r="P277" s="18">
        <f>N277+O277</f>
        <v>5</v>
      </c>
      <c r="Q277" s="21" t="s">
        <v>198</v>
      </c>
      <c r="R277" s="17" t="s">
        <v>155</v>
      </c>
      <c r="S277" s="18">
        <f>--OR(Overview!$B$6="All",E277=Overview!$B$6)*--OR(Overview!$F$6="All",F277=Overview!$F$6)*--OR(Overview!$J$6="All",G277=Overview!$J$6)*--OR(Overview!$N$6="All",H277=Overview!$N$6)</f>
        <v>1</v>
      </c>
      <c r="T277" s="21" t="s">
        <v>22</v>
      </c>
      <c r="U277" s="21" t="s">
        <v>22</v>
      </c>
      <c r="V277" s="21" t="s">
        <v>22</v>
      </c>
      <c r="W277" s="21" t="s">
        <v>22</v>
      </c>
      <c r="X277" s="21" t="s">
        <v>22</v>
      </c>
      <c r="Y277" s="21" t="s">
        <v>22</v>
      </c>
      <c r="Z277" s="21" t="s">
        <v>22</v>
      </c>
      <c r="AA277" s="21" t="s">
        <v>22</v>
      </c>
      <c r="AB277" s="21" t="s">
        <v>22</v>
      </c>
      <c r="AC277" s="21" t="s">
        <v>22</v>
      </c>
      <c r="AD277" s="21" t="s">
        <v>22</v>
      </c>
      <c r="AE277" s="21" t="s">
        <v>22</v>
      </c>
      <c r="AF277" s="21" t="s">
        <v>22</v>
      </c>
      <c r="AG277" s="21" t="s">
        <v>22</v>
      </c>
      <c r="AH277" s="21" t="s">
        <v>22</v>
      </c>
      <c r="AI277" s="21" t="s">
        <v>26</v>
      </c>
      <c r="AJ277" s="21" t="s">
        <v>22</v>
      </c>
      <c r="AK277" s="21" t="s">
        <v>198</v>
      </c>
      <c r="AL277" s="21" t="s">
        <v>22</v>
      </c>
      <c r="AM277" s="21" t="s">
        <v>83</v>
      </c>
      <c r="AN277" s="21" t="s">
        <v>83</v>
      </c>
      <c r="AO277" s="21" t="s">
        <v>83</v>
      </c>
      <c r="AP277" s="21" t="s">
        <v>109</v>
      </c>
      <c r="AQ277" s="21" t="s">
        <v>83</v>
      </c>
      <c r="AR277" s="21" t="s">
        <v>83</v>
      </c>
      <c r="AS277" s="21" t="s">
        <v>198</v>
      </c>
      <c r="AT277" s="21" t="s">
        <v>198</v>
      </c>
      <c r="AU277" s="21" t="s">
        <v>83</v>
      </c>
      <c r="AV277" s="21" t="s">
        <v>198</v>
      </c>
      <c r="AW277" s="21" t="s">
        <v>198</v>
      </c>
      <c r="AX277" s="21" t="s">
        <v>83</v>
      </c>
      <c r="AY277" s="21" t="s">
        <v>83</v>
      </c>
      <c r="AZ277" s="21" t="s">
        <v>198</v>
      </c>
      <c r="BA277" s="17" t="s">
        <v>333</v>
      </c>
      <c r="BB277" s="17" t="s">
        <v>219</v>
      </c>
      <c r="BC277" s="18">
        <f>--ISNUMBER(SEARCH("Radio or television",BA277))</f>
        <v>1</v>
      </c>
      <c r="BD277" s="18">
        <f>--ISNUMBER(SEARCH("Newspapers or print media",BA277))</f>
        <v>0</v>
      </c>
      <c r="BE277" s="18">
        <f>--ISNUMBER(SEARCH("Social media (e.g. Facebook, WhatsApp, YouTube, X/Twitter)",BA277))</f>
        <v>1</v>
      </c>
      <c r="BF277" s="18">
        <f>--ISNUMBER(SEARCH("Family members",BA277))</f>
        <v>1</v>
      </c>
      <c r="BG277" s="18">
        <f>--ISNUMBER(SEARCH("Friends or fellow students",BA277))</f>
        <v>0</v>
      </c>
      <c r="BH277" s="18">
        <f>--ISNUMBER(SEARCH("School coursework or lectures",BA277))</f>
        <v>1</v>
      </c>
      <c r="BI277" s="18">
        <f>--ISNUMBER(SEARCH("NHIMA outreach activities or NHIMA offices",BA277))</f>
        <v>0</v>
      </c>
      <c r="BJ277" s="18">
        <f>--ISNUMBER(SEARCH("Health facility staff",BA277))</f>
        <v>0</v>
      </c>
      <c r="BK277" s="18">
        <f>--ISNUMBER(SEARCH("not received information",BA277))</f>
        <v>0</v>
      </c>
      <c r="BL277" s="18">
        <f>IF(T277="","",--(T277='Codebook'!$F$13))</f>
        <v>1</v>
      </c>
      <c r="BM277" s="18">
        <f>IF(U277="","",--(U277='Codebook'!$F$14))</f>
        <v>0</v>
      </c>
      <c r="BN277" s="18">
        <f>IF(V277="","",--(V277='Codebook'!$F$15))</f>
        <v>0</v>
      </c>
      <c r="BO277" s="18">
        <f>IF(W277="","",--(W277='Codebook'!$F$16))</f>
        <v>1</v>
      </c>
      <c r="BP277" s="18">
        <f>IF(X277="","",--(X277='Codebook'!$F$17))</f>
        <v>1</v>
      </c>
      <c r="BQ277" s="18">
        <f>IF(Y277="","",--(Y277='Codebook'!$F$18))</f>
        <v>0</v>
      </c>
      <c r="BR277" s="18">
        <f>IF(Z277="","",--(Z277='Codebook'!$F$19))</f>
        <v>1</v>
      </c>
      <c r="BS277" s="18">
        <f>IF(AA277="","",--(AA277='Codebook'!$F$20))</f>
        <v>1</v>
      </c>
      <c r="BT277" s="18">
        <f>IF(AB277="","",--(AB277='Codebook'!$F$21))</f>
        <v>0</v>
      </c>
      <c r="BU277" s="18">
        <f>IF(AC277="","",--(AC277='Codebook'!$F$22))</f>
        <v>1</v>
      </c>
      <c r="BV277" s="18">
        <f>IF(AD277="","",--(AD277='Codebook'!$F$23))</f>
        <v>1</v>
      </c>
      <c r="BW277" s="18">
        <f>IF(AE277="","",--(AE277='Codebook'!$F$24))</f>
        <v>1</v>
      </c>
      <c r="BX277" s="18">
        <f>IF(AF277="","",--(AF277='Codebook'!$F$25))</f>
        <v>0</v>
      </c>
      <c r="BY277" s="18">
        <f>IF(AG277="","",--(AG277='Codebook'!$F$26))</f>
        <v>1</v>
      </c>
      <c r="BZ277" s="18">
        <f>IF(AH277="","",--(AH277='Codebook'!$F$27))</f>
        <v>1</v>
      </c>
      <c r="CA277" s="18">
        <f>IF(AI277="","",--(AI277='Codebook'!$F$28))</f>
        <v>1</v>
      </c>
      <c r="CB277" s="18">
        <f>IF(AJ277="","",--(AJ277='Codebook'!$F$29))</f>
        <v>0</v>
      </c>
      <c r="CC277" s="18">
        <f>IF(AK277="","",--(AK277='Codebook'!$F$30))</f>
        <v>0</v>
      </c>
      <c r="CD277" s="18">
        <f>IF(AL277="","",--(AL277='Codebook'!$F$31))</f>
        <v>0</v>
      </c>
      <c r="CE277" s="18">
        <f>IF(AM277="","",--(AM277='Codebook'!$F$32))</f>
        <v>1</v>
      </c>
      <c r="CF277" s="18">
        <f>IF(AN277="","",--(AN277='Codebook'!$F$33))</f>
        <v>1</v>
      </c>
      <c r="CG277" s="18">
        <f>IF(AO277="","",--(AO277='Codebook'!$F$34))</f>
        <v>1</v>
      </c>
      <c r="CH277" s="18">
        <f>IF(AP277="","",--(AP277='Codebook'!$F$35))</f>
        <v>0</v>
      </c>
      <c r="CI277" s="18">
        <f>IF(AQ277="","",--(AQ277='Codebook'!$F$36))</f>
        <v>1</v>
      </c>
      <c r="CJ277" s="18">
        <f>IF(AR277="","",--(AR277='Codebook'!$F$37))</f>
        <v>1</v>
      </c>
      <c r="CK277" s="18">
        <f>IF(AS277="","",--(AS277='Codebook'!$F$38))</f>
        <v>0</v>
      </c>
      <c r="CL277" s="18">
        <f>IF(AT277="","",--(AT277='Codebook'!$F$39))</f>
        <v>0</v>
      </c>
      <c r="CM277" s="18">
        <f>IF(AU277="","",--(AU277='Codebook'!$F$40))</f>
        <v>0</v>
      </c>
      <c r="CN277" s="18">
        <f>IF(AV277="","",--(AV277='Codebook'!$F$41))</f>
        <v>0</v>
      </c>
      <c r="CO277" s="18">
        <f>IF(AW277="","",--(AW277='Codebook'!$F$42))</f>
        <v>0</v>
      </c>
      <c r="CP277" s="18">
        <f>IF(AX277="","",--(AX277='Codebook'!$F$43))</f>
        <v>0</v>
      </c>
      <c r="CQ277" s="18">
        <f>IF(AY277="","",--(AY277='Codebook'!$F$44))</f>
        <v>0</v>
      </c>
      <c r="CR277" s="18">
        <f>IF(AZ277="","",--(AZ277='Codebook'!$F$45))</f>
        <v>0</v>
      </c>
    </row>
    <row r="278" spans="2:96" ht="24" customHeight="1">
      <c r="B278" s="18">
        <v>273</v>
      </c>
      <c r="C278" s="23">
        <v>46289.74948090278</v>
      </c>
      <c r="D278" s="21" t="s">
        <v>275</v>
      </c>
      <c r="E278" s="21" t="s">
        <v>206</v>
      </c>
      <c r="F278" s="21" t="s">
        <v>201</v>
      </c>
      <c r="G278" s="17" t="s">
        <v>215</v>
      </c>
      <c r="H278" s="21" t="s">
        <v>197</v>
      </c>
      <c r="I278" s="18">
        <f>SUM(BL278:BU278)</f>
        <v>6</v>
      </c>
      <c r="J278" s="18">
        <f>IF(COUNT(BV278:CD278)=9,SUM(BV278:CD278),"")</f>
        <v>4</v>
      </c>
      <c r="K278" s="18">
        <f>SUM(BL278:CD278)</f>
        <v>10</v>
      </c>
      <c r="L278" s="18">
        <f>--(K278&gt;='Codebook'!$C$8)</f>
        <v>0</v>
      </c>
      <c r="M278" s="18">
        <f>--(COUNT(BL278:CD278)=19)</f>
        <v>1</v>
      </c>
      <c r="N278" s="18">
        <f>SUM(CE278:CL278)</f>
        <v>4</v>
      </c>
      <c r="O278" s="18">
        <f>SUM(CM278:CR278)</f>
        <v>0</v>
      </c>
      <c r="P278" s="18">
        <f>N278+O278</f>
        <v>4</v>
      </c>
      <c r="Q278" s="21" t="s">
        <v>197</v>
      </c>
      <c r="R278" s="17" t="s">
        <v>156</v>
      </c>
      <c r="S278" s="18">
        <f>--OR(Overview!$B$6="All",E278=Overview!$B$6)*--OR(Overview!$F$6="All",F278=Overview!$F$6)*--OR(Overview!$J$6="All",G278=Overview!$J$6)*--OR(Overview!$N$6="All",H278=Overview!$N$6)</f>
        <v>1</v>
      </c>
      <c r="T278" s="21" t="s">
        <v>22</v>
      </c>
      <c r="U278" s="21" t="s">
        <v>22</v>
      </c>
      <c r="V278" s="21" t="s">
        <v>22</v>
      </c>
      <c r="W278" s="21" t="s">
        <v>22</v>
      </c>
      <c r="X278" s="21" t="s">
        <v>22</v>
      </c>
      <c r="Y278" s="21" t="s">
        <v>22</v>
      </c>
      <c r="Z278" s="21" t="s">
        <v>22</v>
      </c>
      <c r="AA278" s="21" t="s">
        <v>22</v>
      </c>
      <c r="AB278" s="21" t="s">
        <v>198</v>
      </c>
      <c r="AC278" s="21" t="s">
        <v>22</v>
      </c>
      <c r="AD278" s="21" t="s">
        <v>22</v>
      </c>
      <c r="AE278" s="21" t="s">
        <v>26</v>
      </c>
      <c r="AF278" s="21" t="s">
        <v>198</v>
      </c>
      <c r="AG278" s="21" t="s">
        <v>22</v>
      </c>
      <c r="AH278" s="21" t="s">
        <v>22</v>
      </c>
      <c r="AI278" s="21" t="s">
        <v>22</v>
      </c>
      <c r="AJ278" s="21" t="s">
        <v>22</v>
      </c>
      <c r="AK278" s="21" t="s">
        <v>22</v>
      </c>
      <c r="AL278" s="21" t="s">
        <v>22</v>
      </c>
      <c r="AM278" s="21" t="s">
        <v>198</v>
      </c>
      <c r="AN278" s="21" t="s">
        <v>83</v>
      </c>
      <c r="AO278" s="21" t="s">
        <v>83</v>
      </c>
      <c r="AP278" s="21" t="s">
        <v>198</v>
      </c>
      <c r="AQ278" s="21" t="s">
        <v>198</v>
      </c>
      <c r="AR278" s="21" t="s">
        <v>83</v>
      </c>
      <c r="AS278" s="21" t="s">
        <v>198</v>
      </c>
      <c r="AT278" s="21" t="s">
        <v>83</v>
      </c>
      <c r="AU278" s="21" t="s">
        <v>198</v>
      </c>
      <c r="AV278" s="21" t="s">
        <v>198</v>
      </c>
      <c r="AW278" s="21" t="s">
        <v>198</v>
      </c>
      <c r="AX278" s="21" t="s">
        <v>198</v>
      </c>
      <c r="AY278" s="21" t="s">
        <v>198</v>
      </c>
      <c r="AZ278" s="21" t="s">
        <v>198</v>
      </c>
      <c r="BA278" s="17" t="s">
        <v>292</v>
      </c>
      <c r="BB278" s="17" t="s">
        <v>313</v>
      </c>
      <c r="BC278" s="18">
        <f>--ISNUMBER(SEARCH("Radio or television",BA278))</f>
        <v>1</v>
      </c>
      <c r="BD278" s="18">
        <f>--ISNUMBER(SEARCH("Newspapers or print media",BA278))</f>
        <v>0</v>
      </c>
      <c r="BE278" s="18">
        <f>--ISNUMBER(SEARCH("Social media (e.g. Facebook, WhatsApp, YouTube, X/Twitter)",BA278))</f>
        <v>1</v>
      </c>
      <c r="BF278" s="18">
        <f>--ISNUMBER(SEARCH("Family members",BA278))</f>
        <v>0</v>
      </c>
      <c r="BG278" s="18">
        <f>--ISNUMBER(SEARCH("Friends or fellow students",BA278))</f>
        <v>1</v>
      </c>
      <c r="BH278" s="18">
        <f>--ISNUMBER(SEARCH("School coursework or lectures",BA278))</f>
        <v>0</v>
      </c>
      <c r="BI278" s="18">
        <f>--ISNUMBER(SEARCH("NHIMA outreach activities or NHIMA offices",BA278))</f>
        <v>0</v>
      </c>
      <c r="BJ278" s="18">
        <f>--ISNUMBER(SEARCH("Health facility staff",BA278))</f>
        <v>0</v>
      </c>
      <c r="BK278" s="18">
        <f>--ISNUMBER(SEARCH("not received information",BA278))</f>
        <v>0</v>
      </c>
      <c r="BL278" s="18">
        <f>IF(T278="","",--(T278='Codebook'!$F$13))</f>
        <v>1</v>
      </c>
      <c r="BM278" s="18">
        <f>IF(U278="","",--(U278='Codebook'!$F$14))</f>
        <v>0</v>
      </c>
      <c r="BN278" s="18">
        <f>IF(V278="","",--(V278='Codebook'!$F$15))</f>
        <v>0</v>
      </c>
      <c r="BO278" s="18">
        <f>IF(W278="","",--(W278='Codebook'!$F$16))</f>
        <v>1</v>
      </c>
      <c r="BP278" s="18">
        <f>IF(X278="","",--(X278='Codebook'!$F$17))</f>
        <v>1</v>
      </c>
      <c r="BQ278" s="18">
        <f>IF(Y278="","",--(Y278='Codebook'!$F$18))</f>
        <v>0</v>
      </c>
      <c r="BR278" s="18">
        <f>IF(Z278="","",--(Z278='Codebook'!$F$19))</f>
        <v>1</v>
      </c>
      <c r="BS278" s="18">
        <f>IF(AA278="","",--(AA278='Codebook'!$F$20))</f>
        <v>1</v>
      </c>
      <c r="BT278" s="18">
        <f>IF(AB278="","",--(AB278='Codebook'!$F$21))</f>
        <v>0</v>
      </c>
      <c r="BU278" s="18">
        <f>IF(AC278="","",--(AC278='Codebook'!$F$22))</f>
        <v>1</v>
      </c>
      <c r="BV278" s="18">
        <f>IF(AD278="","",--(AD278='Codebook'!$F$23))</f>
        <v>1</v>
      </c>
      <c r="BW278" s="18">
        <f>IF(AE278="","",--(AE278='Codebook'!$F$24))</f>
        <v>0</v>
      </c>
      <c r="BX278" s="18">
        <f>IF(AF278="","",--(AF278='Codebook'!$F$25))</f>
        <v>0</v>
      </c>
      <c r="BY278" s="18">
        <f>IF(AG278="","",--(AG278='Codebook'!$F$26))</f>
        <v>1</v>
      </c>
      <c r="BZ278" s="18">
        <f>IF(AH278="","",--(AH278='Codebook'!$F$27))</f>
        <v>1</v>
      </c>
      <c r="CA278" s="18">
        <f>IF(AI278="","",--(AI278='Codebook'!$F$28))</f>
        <v>0</v>
      </c>
      <c r="CB278" s="18">
        <f>IF(AJ278="","",--(AJ278='Codebook'!$F$29))</f>
        <v>0</v>
      </c>
      <c r="CC278" s="18">
        <f>IF(AK278="","",--(AK278='Codebook'!$F$30))</f>
        <v>1</v>
      </c>
      <c r="CD278" s="18">
        <f>IF(AL278="","",--(AL278='Codebook'!$F$31))</f>
        <v>0</v>
      </c>
      <c r="CE278" s="18">
        <f>IF(AM278="","",--(AM278='Codebook'!$F$32))</f>
        <v>0</v>
      </c>
      <c r="CF278" s="18">
        <f>IF(AN278="","",--(AN278='Codebook'!$F$33))</f>
        <v>1</v>
      </c>
      <c r="CG278" s="18">
        <f>IF(AO278="","",--(AO278='Codebook'!$F$34))</f>
        <v>1</v>
      </c>
      <c r="CH278" s="18">
        <f>IF(AP278="","",--(AP278='Codebook'!$F$35))</f>
        <v>0</v>
      </c>
      <c r="CI278" s="18">
        <f>IF(AQ278="","",--(AQ278='Codebook'!$F$36))</f>
        <v>0</v>
      </c>
      <c r="CJ278" s="18">
        <f>IF(AR278="","",--(AR278='Codebook'!$F$37))</f>
        <v>1</v>
      </c>
      <c r="CK278" s="18">
        <f>IF(AS278="","",--(AS278='Codebook'!$F$38))</f>
        <v>0</v>
      </c>
      <c r="CL278" s="18">
        <f>IF(AT278="","",--(AT278='Codebook'!$F$39))</f>
        <v>1</v>
      </c>
      <c r="CM278" s="18">
        <f>IF(AU278="","",--(AU278='Codebook'!$F$40))</f>
        <v>0</v>
      </c>
      <c r="CN278" s="18">
        <f>IF(AV278="","",--(AV278='Codebook'!$F$41))</f>
        <v>0</v>
      </c>
      <c r="CO278" s="18">
        <f>IF(AW278="","",--(AW278='Codebook'!$F$42))</f>
        <v>0</v>
      </c>
      <c r="CP278" s="18">
        <f>IF(AX278="","",--(AX278='Codebook'!$F$43))</f>
        <v>0</v>
      </c>
      <c r="CQ278" s="18">
        <f>IF(AY278="","",--(AY278='Codebook'!$F$44))</f>
        <v>0</v>
      </c>
      <c r="CR278" s="18">
        <f>IF(AZ278="","",--(AZ278='Codebook'!$F$45))</f>
        <v>0</v>
      </c>
    </row>
    <row r="279" spans="2:96" ht="24" customHeight="1">
      <c r="B279" s="18">
        <v>274</v>
      </c>
      <c r="C279" s="23">
        <v>46289.7501359838</v>
      </c>
      <c r="D279" s="21" t="s">
        <v>275</v>
      </c>
      <c r="E279" s="21" t="s">
        <v>194</v>
      </c>
      <c r="F279" s="21" t="s">
        <v>212</v>
      </c>
      <c r="G279" s="17" t="s">
        <v>196</v>
      </c>
      <c r="H279" s="21" t="s">
        <v>197</v>
      </c>
      <c r="I279" s="18">
        <f>SUM(BL279:BU279)</f>
        <v>6</v>
      </c>
      <c r="J279" s="18">
        <f>IF(COUNT(BV279:CD279)=9,SUM(BV279:CD279),"")</f>
        <v>5</v>
      </c>
      <c r="K279" s="18">
        <f>SUM(BL279:CD279)</f>
        <v>11</v>
      </c>
      <c r="L279" s="18">
        <f>--(K279&gt;='Codebook'!$C$8)</f>
        <v>0</v>
      </c>
      <c r="M279" s="18">
        <f>--(COUNT(BL279:CD279)=19)</f>
        <v>1</v>
      </c>
      <c r="N279" s="18">
        <f>SUM(CE279:CL279)</f>
        <v>2</v>
      </c>
      <c r="O279" s="18">
        <f>SUM(CM279:CR279)</f>
        <v>0</v>
      </c>
      <c r="P279" s="18">
        <f>N279+O279</f>
        <v>2</v>
      </c>
      <c r="Q279" s="21" t="s">
        <v>197</v>
      </c>
      <c r="R279" s="17" t="s">
        <v>152</v>
      </c>
      <c r="S279" s="18">
        <f>--OR(Overview!$B$6="All",E279=Overview!$B$6)*--OR(Overview!$F$6="All",F279=Overview!$F$6)*--OR(Overview!$J$6="All",G279=Overview!$J$6)*--OR(Overview!$N$6="All",H279=Overview!$N$6)</f>
        <v>1</v>
      </c>
      <c r="T279" s="21" t="s">
        <v>22</v>
      </c>
      <c r="U279" s="21" t="s">
        <v>22</v>
      </c>
      <c r="V279" s="21" t="s">
        <v>22</v>
      </c>
      <c r="W279" s="21" t="s">
        <v>22</v>
      </c>
      <c r="X279" s="21" t="s">
        <v>22</v>
      </c>
      <c r="Y279" s="21" t="s">
        <v>22</v>
      </c>
      <c r="Z279" s="21" t="s">
        <v>22</v>
      </c>
      <c r="AA279" s="21" t="s">
        <v>22</v>
      </c>
      <c r="AB279" s="21" t="s">
        <v>22</v>
      </c>
      <c r="AC279" s="21" t="s">
        <v>22</v>
      </c>
      <c r="AD279" s="21" t="s">
        <v>22</v>
      </c>
      <c r="AE279" s="21" t="s">
        <v>22</v>
      </c>
      <c r="AF279" s="21" t="s">
        <v>22</v>
      </c>
      <c r="AG279" s="21" t="s">
        <v>22</v>
      </c>
      <c r="AH279" s="21" t="s">
        <v>22</v>
      </c>
      <c r="AI279" s="21" t="s">
        <v>22</v>
      </c>
      <c r="AJ279" s="21" t="s">
        <v>22</v>
      </c>
      <c r="AK279" s="21" t="s">
        <v>22</v>
      </c>
      <c r="AL279" s="21" t="s">
        <v>22</v>
      </c>
      <c r="AM279" s="21" t="s">
        <v>109</v>
      </c>
      <c r="AN279" s="21" t="s">
        <v>109</v>
      </c>
      <c r="AO279" s="21" t="s">
        <v>109</v>
      </c>
      <c r="AP279" s="21" t="s">
        <v>198</v>
      </c>
      <c r="AQ279" s="21" t="s">
        <v>198</v>
      </c>
      <c r="AR279" s="21" t="s">
        <v>83</v>
      </c>
      <c r="AS279" s="21" t="s">
        <v>198</v>
      </c>
      <c r="AT279" s="21" t="s">
        <v>83</v>
      </c>
      <c r="AU279" s="21" t="s">
        <v>198</v>
      </c>
      <c r="AV279" s="21" t="s">
        <v>83</v>
      </c>
      <c r="AW279" s="21" t="s">
        <v>198</v>
      </c>
      <c r="AX279" s="21" t="s">
        <v>83</v>
      </c>
      <c r="AY279" s="21" t="s">
        <v>198</v>
      </c>
      <c r="AZ279" s="21" t="s">
        <v>198</v>
      </c>
      <c r="BA279" s="17" t="s">
        <v>246</v>
      </c>
      <c r="BB279" s="17" t="s">
        <v>223</v>
      </c>
      <c r="BC279" s="18">
        <f>--ISNUMBER(SEARCH("Radio or television",BA279))</f>
        <v>1</v>
      </c>
      <c r="BD279" s="18">
        <f>--ISNUMBER(SEARCH("Newspapers or print media",BA279))</f>
        <v>0</v>
      </c>
      <c r="BE279" s="18">
        <f>--ISNUMBER(SEARCH("Social media (e.g. Facebook, WhatsApp, YouTube, X/Twitter)",BA279))</f>
        <v>1</v>
      </c>
      <c r="BF279" s="18">
        <f>--ISNUMBER(SEARCH("Family members",BA279))</f>
        <v>0</v>
      </c>
      <c r="BG279" s="18">
        <f>--ISNUMBER(SEARCH("Friends or fellow students",BA279))</f>
        <v>0</v>
      </c>
      <c r="BH279" s="18">
        <f>--ISNUMBER(SEARCH("School coursework or lectures",BA279))</f>
        <v>0</v>
      </c>
      <c r="BI279" s="18">
        <f>--ISNUMBER(SEARCH("NHIMA outreach activities or NHIMA offices",BA279))</f>
        <v>0</v>
      </c>
      <c r="BJ279" s="18">
        <f>--ISNUMBER(SEARCH("Health facility staff",BA279))</f>
        <v>0</v>
      </c>
      <c r="BK279" s="18">
        <f>--ISNUMBER(SEARCH("not received information",BA279))</f>
        <v>0</v>
      </c>
      <c r="BL279" s="18">
        <f>IF(T279="","",--(T279='Codebook'!$F$13))</f>
        <v>1</v>
      </c>
      <c r="BM279" s="18">
        <f>IF(U279="","",--(U279='Codebook'!$F$14))</f>
        <v>0</v>
      </c>
      <c r="BN279" s="18">
        <f>IF(V279="","",--(V279='Codebook'!$F$15))</f>
        <v>0</v>
      </c>
      <c r="BO279" s="18">
        <f>IF(W279="","",--(W279='Codebook'!$F$16))</f>
        <v>1</v>
      </c>
      <c r="BP279" s="18">
        <f>IF(X279="","",--(X279='Codebook'!$F$17))</f>
        <v>1</v>
      </c>
      <c r="BQ279" s="18">
        <f>IF(Y279="","",--(Y279='Codebook'!$F$18))</f>
        <v>0</v>
      </c>
      <c r="BR279" s="18">
        <f>IF(Z279="","",--(Z279='Codebook'!$F$19))</f>
        <v>1</v>
      </c>
      <c r="BS279" s="18">
        <f>IF(AA279="","",--(AA279='Codebook'!$F$20))</f>
        <v>1</v>
      </c>
      <c r="BT279" s="18">
        <f>IF(AB279="","",--(AB279='Codebook'!$F$21))</f>
        <v>0</v>
      </c>
      <c r="BU279" s="18">
        <f>IF(AC279="","",--(AC279='Codebook'!$F$22))</f>
        <v>1</v>
      </c>
      <c r="BV279" s="18">
        <f>IF(AD279="","",--(AD279='Codebook'!$F$23))</f>
        <v>1</v>
      </c>
      <c r="BW279" s="18">
        <f>IF(AE279="","",--(AE279='Codebook'!$F$24))</f>
        <v>1</v>
      </c>
      <c r="BX279" s="18">
        <f>IF(AF279="","",--(AF279='Codebook'!$F$25))</f>
        <v>0</v>
      </c>
      <c r="BY279" s="18">
        <f>IF(AG279="","",--(AG279='Codebook'!$F$26))</f>
        <v>1</v>
      </c>
      <c r="BZ279" s="18">
        <f>IF(AH279="","",--(AH279='Codebook'!$F$27))</f>
        <v>1</v>
      </c>
      <c r="CA279" s="18">
        <f>IF(AI279="","",--(AI279='Codebook'!$F$28))</f>
        <v>0</v>
      </c>
      <c r="CB279" s="18">
        <f>IF(AJ279="","",--(AJ279='Codebook'!$F$29))</f>
        <v>0</v>
      </c>
      <c r="CC279" s="18">
        <f>IF(AK279="","",--(AK279='Codebook'!$F$30))</f>
        <v>1</v>
      </c>
      <c r="CD279" s="18">
        <f>IF(AL279="","",--(AL279='Codebook'!$F$31))</f>
        <v>0</v>
      </c>
      <c r="CE279" s="18">
        <f>IF(AM279="","",--(AM279='Codebook'!$F$32))</f>
        <v>0</v>
      </c>
      <c r="CF279" s="18">
        <f>IF(AN279="","",--(AN279='Codebook'!$F$33))</f>
        <v>0</v>
      </c>
      <c r="CG279" s="18">
        <f>IF(AO279="","",--(AO279='Codebook'!$F$34))</f>
        <v>0</v>
      </c>
      <c r="CH279" s="18">
        <f>IF(AP279="","",--(AP279='Codebook'!$F$35))</f>
        <v>0</v>
      </c>
      <c r="CI279" s="18">
        <f>IF(AQ279="","",--(AQ279='Codebook'!$F$36))</f>
        <v>0</v>
      </c>
      <c r="CJ279" s="18">
        <f>IF(AR279="","",--(AR279='Codebook'!$F$37))</f>
        <v>1</v>
      </c>
      <c r="CK279" s="18">
        <f>IF(AS279="","",--(AS279='Codebook'!$F$38))</f>
        <v>0</v>
      </c>
      <c r="CL279" s="18">
        <f>IF(AT279="","",--(AT279='Codebook'!$F$39))</f>
        <v>1</v>
      </c>
      <c r="CM279" s="18">
        <f>IF(AU279="","",--(AU279='Codebook'!$F$40))</f>
        <v>0</v>
      </c>
      <c r="CN279" s="18">
        <f>IF(AV279="","",--(AV279='Codebook'!$F$41))</f>
        <v>0</v>
      </c>
      <c r="CO279" s="18">
        <f>IF(AW279="","",--(AW279='Codebook'!$F$42))</f>
        <v>0</v>
      </c>
      <c r="CP279" s="18">
        <f>IF(AX279="","",--(AX279='Codebook'!$F$43))</f>
        <v>0</v>
      </c>
      <c r="CQ279" s="18">
        <f>IF(AY279="","",--(AY279='Codebook'!$F$44))</f>
        <v>0</v>
      </c>
      <c r="CR279" s="18">
        <f>IF(AZ279="","",--(AZ279='Codebook'!$F$45))</f>
        <v>0</v>
      </c>
    </row>
    <row r="280" spans="2:96" ht="24" customHeight="1">
      <c r="B280" s="18">
        <v>275</v>
      </c>
      <c r="C280" s="23">
        <v>46290.40984153935</v>
      </c>
      <c r="D280" s="21" t="s">
        <v>275</v>
      </c>
      <c r="E280" s="21" t="s">
        <v>194</v>
      </c>
      <c r="F280" s="21" t="s">
        <v>212</v>
      </c>
      <c r="G280" s="17" t="s">
        <v>224</v>
      </c>
      <c r="H280" s="21" t="s">
        <v>197</v>
      </c>
      <c r="I280" s="18">
        <f>SUM(BL280:BU280)</f>
        <v>6</v>
      </c>
      <c r="J280" s="18">
        <f>IF(COUNT(BV280:CD280)=9,SUM(BV280:CD280),"")</f>
        <v>3</v>
      </c>
      <c r="K280" s="18">
        <f>SUM(BL280:CD280)</f>
        <v>9</v>
      </c>
      <c r="L280" s="18">
        <f>--(K280&gt;='Codebook'!$C$8)</f>
        <v>0</v>
      </c>
      <c r="M280" s="18">
        <f>--(COUNT(BL280:CD280)=19)</f>
        <v>1</v>
      </c>
      <c r="N280" s="18">
        <f>SUM(CE280:CL280)</f>
        <v>5</v>
      </c>
      <c r="O280" s="18">
        <f>SUM(CM280:CR280)</f>
        <v>0</v>
      </c>
      <c r="P280" s="18">
        <f>N280+O280</f>
        <v>5</v>
      </c>
      <c r="Q280" s="21" t="s">
        <v>198</v>
      </c>
      <c r="R280" s="17" t="s">
        <v>156</v>
      </c>
      <c r="S280" s="18">
        <f>--OR(Overview!$B$6="All",E280=Overview!$B$6)*--OR(Overview!$F$6="All",F280=Overview!$F$6)*--OR(Overview!$J$6="All",G280=Overview!$J$6)*--OR(Overview!$N$6="All",H280=Overview!$N$6)</f>
        <v>1</v>
      </c>
      <c r="T280" s="21" t="s">
        <v>22</v>
      </c>
      <c r="U280" s="21" t="s">
        <v>198</v>
      </c>
      <c r="V280" s="21" t="s">
        <v>22</v>
      </c>
      <c r="W280" s="21" t="s">
        <v>22</v>
      </c>
      <c r="X280" s="21" t="s">
        <v>22</v>
      </c>
      <c r="Y280" s="21" t="s">
        <v>22</v>
      </c>
      <c r="Z280" s="21" t="s">
        <v>22</v>
      </c>
      <c r="AA280" s="21" t="s">
        <v>22</v>
      </c>
      <c r="AB280" s="21" t="s">
        <v>198</v>
      </c>
      <c r="AC280" s="21" t="s">
        <v>22</v>
      </c>
      <c r="AD280" s="21" t="s">
        <v>22</v>
      </c>
      <c r="AE280" s="21" t="s">
        <v>198</v>
      </c>
      <c r="AF280" s="21" t="s">
        <v>22</v>
      </c>
      <c r="AG280" s="21" t="s">
        <v>198</v>
      </c>
      <c r="AH280" s="21" t="s">
        <v>22</v>
      </c>
      <c r="AI280" s="21" t="s">
        <v>198</v>
      </c>
      <c r="AJ280" s="21" t="s">
        <v>22</v>
      </c>
      <c r="AK280" s="21" t="s">
        <v>22</v>
      </c>
      <c r="AL280" s="21" t="s">
        <v>198</v>
      </c>
      <c r="AM280" s="21" t="s">
        <v>83</v>
      </c>
      <c r="AN280" s="21" t="s">
        <v>83</v>
      </c>
      <c r="AO280" s="21" t="s">
        <v>198</v>
      </c>
      <c r="AP280" s="21" t="s">
        <v>83</v>
      </c>
      <c r="AQ280" s="21" t="s">
        <v>198</v>
      </c>
      <c r="AR280" s="21" t="s">
        <v>83</v>
      </c>
      <c r="AS280" s="21" t="s">
        <v>198</v>
      </c>
      <c r="AT280" s="21" t="s">
        <v>83</v>
      </c>
      <c r="AU280" s="21" t="s">
        <v>198</v>
      </c>
      <c r="AV280" s="21" t="s">
        <v>83</v>
      </c>
      <c r="AW280" s="21" t="s">
        <v>198</v>
      </c>
      <c r="AX280" s="21" t="s">
        <v>198</v>
      </c>
      <c r="AY280" s="21" t="s">
        <v>198</v>
      </c>
      <c r="AZ280" s="21" t="s">
        <v>198</v>
      </c>
      <c r="BA280" s="17" t="s">
        <v>317</v>
      </c>
      <c r="BB280" s="17" t="s">
        <v>313</v>
      </c>
      <c r="BC280" s="18">
        <f>--ISNUMBER(SEARCH("Radio or television",BA280))</f>
        <v>1</v>
      </c>
      <c r="BD280" s="18">
        <f>--ISNUMBER(SEARCH("Newspapers or print media",BA280))</f>
        <v>0</v>
      </c>
      <c r="BE280" s="18">
        <f>--ISNUMBER(SEARCH("Social media (e.g. Facebook, WhatsApp, YouTube, X/Twitter)",BA280))</f>
        <v>0</v>
      </c>
      <c r="BF280" s="18">
        <f>--ISNUMBER(SEARCH("Family members",BA280))</f>
        <v>0</v>
      </c>
      <c r="BG280" s="18">
        <f>--ISNUMBER(SEARCH("Friends or fellow students",BA280))</f>
        <v>1</v>
      </c>
      <c r="BH280" s="18">
        <f>--ISNUMBER(SEARCH("School coursework or lectures",BA280))</f>
        <v>0</v>
      </c>
      <c r="BI280" s="18">
        <f>--ISNUMBER(SEARCH("NHIMA outreach activities or NHIMA offices",BA280))</f>
        <v>0</v>
      </c>
      <c r="BJ280" s="18">
        <f>--ISNUMBER(SEARCH("Health facility staff",BA280))</f>
        <v>0</v>
      </c>
      <c r="BK280" s="18">
        <f>--ISNUMBER(SEARCH("not received information",BA280))</f>
        <v>0</v>
      </c>
      <c r="BL280" s="18">
        <f>IF(T280="","",--(T280='Codebook'!$F$13))</f>
        <v>1</v>
      </c>
      <c r="BM280" s="18">
        <f>IF(U280="","",--(U280='Codebook'!$F$14))</f>
        <v>0</v>
      </c>
      <c r="BN280" s="18">
        <f>IF(V280="","",--(V280='Codebook'!$F$15))</f>
        <v>0</v>
      </c>
      <c r="BO280" s="18">
        <f>IF(W280="","",--(W280='Codebook'!$F$16))</f>
        <v>1</v>
      </c>
      <c r="BP280" s="18">
        <f>IF(X280="","",--(X280='Codebook'!$F$17))</f>
        <v>1</v>
      </c>
      <c r="BQ280" s="18">
        <f>IF(Y280="","",--(Y280='Codebook'!$F$18))</f>
        <v>0</v>
      </c>
      <c r="BR280" s="18">
        <f>IF(Z280="","",--(Z280='Codebook'!$F$19))</f>
        <v>1</v>
      </c>
      <c r="BS280" s="18">
        <f>IF(AA280="","",--(AA280='Codebook'!$F$20))</f>
        <v>1</v>
      </c>
      <c r="BT280" s="18">
        <f>IF(AB280="","",--(AB280='Codebook'!$F$21))</f>
        <v>0</v>
      </c>
      <c r="BU280" s="18">
        <f>IF(AC280="","",--(AC280='Codebook'!$F$22))</f>
        <v>1</v>
      </c>
      <c r="BV280" s="18">
        <f>IF(AD280="","",--(AD280='Codebook'!$F$23))</f>
        <v>1</v>
      </c>
      <c r="BW280" s="18">
        <f>IF(AE280="","",--(AE280='Codebook'!$F$24))</f>
        <v>0</v>
      </c>
      <c r="BX280" s="18">
        <f>IF(AF280="","",--(AF280='Codebook'!$F$25))</f>
        <v>0</v>
      </c>
      <c r="BY280" s="18">
        <f>IF(AG280="","",--(AG280='Codebook'!$F$26))</f>
        <v>0</v>
      </c>
      <c r="BZ280" s="18">
        <f>IF(AH280="","",--(AH280='Codebook'!$F$27))</f>
        <v>1</v>
      </c>
      <c r="CA280" s="18">
        <f>IF(AI280="","",--(AI280='Codebook'!$F$28))</f>
        <v>0</v>
      </c>
      <c r="CB280" s="18">
        <f>IF(AJ280="","",--(AJ280='Codebook'!$F$29))</f>
        <v>0</v>
      </c>
      <c r="CC280" s="18">
        <f>IF(AK280="","",--(AK280='Codebook'!$F$30))</f>
        <v>1</v>
      </c>
      <c r="CD280" s="18">
        <f>IF(AL280="","",--(AL280='Codebook'!$F$31))</f>
        <v>0</v>
      </c>
      <c r="CE280" s="18">
        <f>IF(AM280="","",--(AM280='Codebook'!$F$32))</f>
        <v>1</v>
      </c>
      <c r="CF280" s="18">
        <f>IF(AN280="","",--(AN280='Codebook'!$F$33))</f>
        <v>1</v>
      </c>
      <c r="CG280" s="18">
        <f>IF(AO280="","",--(AO280='Codebook'!$F$34))</f>
        <v>0</v>
      </c>
      <c r="CH280" s="18">
        <f>IF(AP280="","",--(AP280='Codebook'!$F$35))</f>
        <v>1</v>
      </c>
      <c r="CI280" s="18">
        <f>IF(AQ280="","",--(AQ280='Codebook'!$F$36))</f>
        <v>0</v>
      </c>
      <c r="CJ280" s="18">
        <f>IF(AR280="","",--(AR280='Codebook'!$F$37))</f>
        <v>1</v>
      </c>
      <c r="CK280" s="18">
        <f>IF(AS280="","",--(AS280='Codebook'!$F$38))</f>
        <v>0</v>
      </c>
      <c r="CL280" s="18">
        <f>IF(AT280="","",--(AT280='Codebook'!$F$39))</f>
        <v>1</v>
      </c>
      <c r="CM280" s="18">
        <f>IF(AU280="","",--(AU280='Codebook'!$F$40))</f>
        <v>0</v>
      </c>
      <c r="CN280" s="18">
        <f>IF(AV280="","",--(AV280='Codebook'!$F$41))</f>
        <v>0</v>
      </c>
      <c r="CO280" s="18">
        <f>IF(AW280="","",--(AW280='Codebook'!$F$42))</f>
        <v>0</v>
      </c>
      <c r="CP280" s="18">
        <f>IF(AX280="","",--(AX280='Codebook'!$F$43))</f>
        <v>0</v>
      </c>
      <c r="CQ280" s="18">
        <f>IF(AY280="","",--(AY280='Codebook'!$F$44))</f>
        <v>0</v>
      </c>
      <c r="CR280" s="18">
        <f>IF(AZ280="","",--(AZ280='Codebook'!$F$45))</f>
        <v>0</v>
      </c>
    </row>
    <row r="281" spans="2:96" ht="24" customHeight="1">
      <c r="B281" s="18">
        <v>276</v>
      </c>
      <c r="C281" s="23">
        <v>46290.41054209491</v>
      </c>
      <c r="D281" s="21" t="s">
        <v>275</v>
      </c>
      <c r="E281" s="21" t="s">
        <v>194</v>
      </c>
      <c r="F281" s="21" t="s">
        <v>195</v>
      </c>
      <c r="G281" s="17" t="s">
        <v>202</v>
      </c>
      <c r="H281" s="21" t="s">
        <v>197</v>
      </c>
      <c r="I281" s="18">
        <f>SUM(BL281:BU281)</f>
        <v>4</v>
      </c>
      <c r="J281" s="18">
        <f>IF(COUNT(BV281:CD281)=9,SUM(BV281:CD281),"")</f>
        <v>4</v>
      </c>
      <c r="K281" s="18">
        <f>SUM(BL281:CD281)</f>
        <v>8</v>
      </c>
      <c r="L281" s="18">
        <f>--(K281&gt;='Codebook'!$C$8)</f>
        <v>0</v>
      </c>
      <c r="M281" s="18">
        <f>--(COUNT(BL281:CD281)=19)</f>
        <v>1</v>
      </c>
      <c r="N281" s="18">
        <f>SUM(CE281:CL281)</f>
        <v>8</v>
      </c>
      <c r="O281" s="18">
        <f>SUM(CM281:CR281)</f>
        <v>0</v>
      </c>
      <c r="P281" s="18">
        <f>N281+O281</f>
        <v>8</v>
      </c>
      <c r="Q281" s="21" t="s">
        <v>198</v>
      </c>
      <c r="R281" s="17" t="s">
        <v>216</v>
      </c>
      <c r="S281" s="18">
        <f>--OR(Overview!$B$6="All",E281=Overview!$B$6)*--OR(Overview!$F$6="All",F281=Overview!$F$6)*--OR(Overview!$J$6="All",G281=Overview!$J$6)*--OR(Overview!$N$6="All",H281=Overview!$N$6)</f>
        <v>1</v>
      </c>
      <c r="T281" s="21" t="s">
        <v>22</v>
      </c>
      <c r="U281" s="21" t="s">
        <v>22</v>
      </c>
      <c r="V281" s="21" t="s">
        <v>22</v>
      </c>
      <c r="W281" s="21" t="s">
        <v>22</v>
      </c>
      <c r="X281" s="21" t="s">
        <v>22</v>
      </c>
      <c r="Y281" s="21" t="s">
        <v>22</v>
      </c>
      <c r="Z281" s="21" t="s">
        <v>22</v>
      </c>
      <c r="AA281" s="21" t="s">
        <v>26</v>
      </c>
      <c r="AB281" s="21" t="s">
        <v>22</v>
      </c>
      <c r="AC281" s="21" t="s">
        <v>198</v>
      </c>
      <c r="AD281" s="21" t="s">
        <v>22</v>
      </c>
      <c r="AE281" s="21" t="s">
        <v>198</v>
      </c>
      <c r="AF281" s="21" t="s">
        <v>22</v>
      </c>
      <c r="AG281" s="21" t="s">
        <v>198</v>
      </c>
      <c r="AH281" s="21" t="s">
        <v>22</v>
      </c>
      <c r="AI281" s="21" t="s">
        <v>198</v>
      </c>
      <c r="AJ281" s="21" t="s">
        <v>26</v>
      </c>
      <c r="AK281" s="21" t="s">
        <v>22</v>
      </c>
      <c r="AL281" s="21" t="s">
        <v>22</v>
      </c>
      <c r="AM281" s="21" t="s">
        <v>83</v>
      </c>
      <c r="AN281" s="21" t="s">
        <v>83</v>
      </c>
      <c r="AO281" s="21" t="s">
        <v>83</v>
      </c>
      <c r="AP281" s="21" t="s">
        <v>83</v>
      </c>
      <c r="AQ281" s="21" t="s">
        <v>83</v>
      </c>
      <c r="AR281" s="21" t="s">
        <v>83</v>
      </c>
      <c r="AS281" s="21" t="s">
        <v>83</v>
      </c>
      <c r="AT281" s="21" t="s">
        <v>83</v>
      </c>
      <c r="AU281" s="21" t="s">
        <v>198</v>
      </c>
      <c r="AV281" s="21" t="s">
        <v>83</v>
      </c>
      <c r="AW281" s="21" t="s">
        <v>83</v>
      </c>
      <c r="AX281" s="21" t="s">
        <v>198</v>
      </c>
      <c r="AY281" s="21" t="s">
        <v>83</v>
      </c>
      <c r="AZ281" s="21" t="s">
        <v>83</v>
      </c>
      <c r="BA281" s="17" t="s">
        <v>252</v>
      </c>
      <c r="BB281" s="17" t="s">
        <v>271</v>
      </c>
      <c r="BC281" s="18">
        <f>--ISNUMBER(SEARCH("Radio or television",BA281))</f>
        <v>1</v>
      </c>
      <c r="BD281" s="18">
        <f>--ISNUMBER(SEARCH("Newspapers or print media",BA281))</f>
        <v>0</v>
      </c>
      <c r="BE281" s="18">
        <f>--ISNUMBER(SEARCH("Social media (e.g. Facebook, WhatsApp, YouTube, X/Twitter)",BA281))</f>
        <v>1</v>
      </c>
      <c r="BF281" s="18">
        <f>--ISNUMBER(SEARCH("Family members",BA281))</f>
        <v>1</v>
      </c>
      <c r="BG281" s="18">
        <f>--ISNUMBER(SEARCH("Friends or fellow students",BA281))</f>
        <v>0</v>
      </c>
      <c r="BH281" s="18">
        <f>--ISNUMBER(SEARCH("School coursework or lectures",BA281))</f>
        <v>0</v>
      </c>
      <c r="BI281" s="18">
        <f>--ISNUMBER(SEARCH("NHIMA outreach activities or NHIMA offices",BA281))</f>
        <v>0</v>
      </c>
      <c r="BJ281" s="18">
        <f>--ISNUMBER(SEARCH("Health facility staff",BA281))</f>
        <v>0</v>
      </c>
      <c r="BK281" s="18">
        <f>--ISNUMBER(SEARCH("not received information",BA281))</f>
        <v>0</v>
      </c>
      <c r="BL281" s="18">
        <f>IF(T281="","",--(T281='Codebook'!$F$13))</f>
        <v>1</v>
      </c>
      <c r="BM281" s="18">
        <f>IF(U281="","",--(U281='Codebook'!$F$14))</f>
        <v>0</v>
      </c>
      <c r="BN281" s="18">
        <f>IF(V281="","",--(V281='Codebook'!$F$15))</f>
        <v>0</v>
      </c>
      <c r="BO281" s="18">
        <f>IF(W281="","",--(W281='Codebook'!$F$16))</f>
        <v>1</v>
      </c>
      <c r="BP281" s="18">
        <f>IF(X281="","",--(X281='Codebook'!$F$17))</f>
        <v>1</v>
      </c>
      <c r="BQ281" s="18">
        <f>IF(Y281="","",--(Y281='Codebook'!$F$18))</f>
        <v>0</v>
      </c>
      <c r="BR281" s="18">
        <f>IF(Z281="","",--(Z281='Codebook'!$F$19))</f>
        <v>1</v>
      </c>
      <c r="BS281" s="18">
        <f>IF(AA281="","",--(AA281='Codebook'!$F$20))</f>
        <v>0</v>
      </c>
      <c r="BT281" s="18">
        <f>IF(AB281="","",--(AB281='Codebook'!$F$21))</f>
        <v>0</v>
      </c>
      <c r="BU281" s="18">
        <f>IF(AC281="","",--(AC281='Codebook'!$F$22))</f>
        <v>0</v>
      </c>
      <c r="BV281" s="18">
        <f>IF(AD281="","",--(AD281='Codebook'!$F$23))</f>
        <v>1</v>
      </c>
      <c r="BW281" s="18">
        <f>IF(AE281="","",--(AE281='Codebook'!$F$24))</f>
        <v>0</v>
      </c>
      <c r="BX281" s="18">
        <f>IF(AF281="","",--(AF281='Codebook'!$F$25))</f>
        <v>0</v>
      </c>
      <c r="BY281" s="18">
        <f>IF(AG281="","",--(AG281='Codebook'!$F$26))</f>
        <v>0</v>
      </c>
      <c r="BZ281" s="18">
        <f>IF(AH281="","",--(AH281='Codebook'!$F$27))</f>
        <v>1</v>
      </c>
      <c r="CA281" s="18">
        <f>IF(AI281="","",--(AI281='Codebook'!$F$28))</f>
        <v>0</v>
      </c>
      <c r="CB281" s="18">
        <f>IF(AJ281="","",--(AJ281='Codebook'!$F$29))</f>
        <v>1</v>
      </c>
      <c r="CC281" s="18">
        <f>IF(AK281="","",--(AK281='Codebook'!$F$30))</f>
        <v>1</v>
      </c>
      <c r="CD281" s="18">
        <f>IF(AL281="","",--(AL281='Codebook'!$F$31))</f>
        <v>0</v>
      </c>
      <c r="CE281" s="18">
        <f>IF(AM281="","",--(AM281='Codebook'!$F$32))</f>
        <v>1</v>
      </c>
      <c r="CF281" s="18">
        <f>IF(AN281="","",--(AN281='Codebook'!$F$33))</f>
        <v>1</v>
      </c>
      <c r="CG281" s="18">
        <f>IF(AO281="","",--(AO281='Codebook'!$F$34))</f>
        <v>1</v>
      </c>
      <c r="CH281" s="18">
        <f>IF(AP281="","",--(AP281='Codebook'!$F$35))</f>
        <v>1</v>
      </c>
      <c r="CI281" s="18">
        <f>IF(AQ281="","",--(AQ281='Codebook'!$F$36))</f>
        <v>1</v>
      </c>
      <c r="CJ281" s="18">
        <f>IF(AR281="","",--(AR281='Codebook'!$F$37))</f>
        <v>1</v>
      </c>
      <c r="CK281" s="18">
        <f>IF(AS281="","",--(AS281='Codebook'!$F$38))</f>
        <v>1</v>
      </c>
      <c r="CL281" s="18">
        <f>IF(AT281="","",--(AT281='Codebook'!$F$39))</f>
        <v>1</v>
      </c>
      <c r="CM281" s="18">
        <f>IF(AU281="","",--(AU281='Codebook'!$F$40))</f>
        <v>0</v>
      </c>
      <c r="CN281" s="18">
        <f>IF(AV281="","",--(AV281='Codebook'!$F$41))</f>
        <v>0</v>
      </c>
      <c r="CO281" s="18">
        <f>IF(AW281="","",--(AW281='Codebook'!$F$42))</f>
        <v>0</v>
      </c>
      <c r="CP281" s="18">
        <f>IF(AX281="","",--(AX281='Codebook'!$F$43))</f>
        <v>0</v>
      </c>
      <c r="CQ281" s="18">
        <f>IF(AY281="","",--(AY281='Codebook'!$F$44))</f>
        <v>0</v>
      </c>
      <c r="CR281" s="18">
        <f>IF(AZ281="","",--(AZ281='Codebook'!$F$45))</f>
        <v>0</v>
      </c>
    </row>
    <row r="282" spans="2:96" ht="24" customHeight="1">
      <c r="B282" s="18">
        <v>277</v>
      </c>
      <c r="C282" s="23">
        <v>46290.41190771991</v>
      </c>
      <c r="D282" s="21" t="s">
        <v>275</v>
      </c>
      <c r="E282" s="21" t="s">
        <v>206</v>
      </c>
      <c r="F282" s="21" t="s">
        <v>201</v>
      </c>
      <c r="G282" s="17" t="s">
        <v>196</v>
      </c>
      <c r="H282" s="21" t="s">
        <v>197</v>
      </c>
      <c r="I282" s="18">
        <f>SUM(BL282:BU282)</f>
        <v>4</v>
      </c>
      <c r="J282" s="18">
        <f>IF(COUNT(BV282:CD282)=9,SUM(BV282:CD282),"")</f>
        <v>3</v>
      </c>
      <c r="K282" s="18">
        <f>SUM(BL282:CD282)</f>
        <v>7</v>
      </c>
      <c r="L282" s="18">
        <f>--(K282&gt;='Codebook'!$C$8)</f>
        <v>0</v>
      </c>
      <c r="M282" s="18">
        <f>--(COUNT(BL282:CD282)=19)</f>
        <v>1</v>
      </c>
      <c r="N282" s="18">
        <f>SUM(CE282:CL282)</f>
        <v>7</v>
      </c>
      <c r="O282" s="18">
        <f>SUM(CM282:CR282)</f>
        <v>0</v>
      </c>
      <c r="P282" s="18">
        <f>N282+O282</f>
        <v>7</v>
      </c>
      <c r="Q282" s="21" t="s">
        <v>198</v>
      </c>
      <c r="R282" s="17" t="s">
        <v>154</v>
      </c>
      <c r="S282" s="18">
        <f>--OR(Overview!$B$6="All",E282=Overview!$B$6)*--OR(Overview!$F$6="All",F282=Overview!$F$6)*--OR(Overview!$J$6="All",G282=Overview!$J$6)*--OR(Overview!$N$6="All",H282=Overview!$N$6)</f>
        <v>1</v>
      </c>
      <c r="T282" s="21" t="s">
        <v>22</v>
      </c>
      <c r="U282" s="21" t="s">
        <v>22</v>
      </c>
      <c r="V282" s="21" t="s">
        <v>22</v>
      </c>
      <c r="W282" s="21" t="s">
        <v>198</v>
      </c>
      <c r="X282" s="21" t="s">
        <v>22</v>
      </c>
      <c r="Y282" s="21" t="s">
        <v>198</v>
      </c>
      <c r="Z282" s="21" t="s">
        <v>22</v>
      </c>
      <c r="AA282" s="21" t="s">
        <v>22</v>
      </c>
      <c r="AB282" s="21" t="s">
        <v>22</v>
      </c>
      <c r="AC282" s="21" t="s">
        <v>198</v>
      </c>
      <c r="AD282" s="21" t="s">
        <v>22</v>
      </c>
      <c r="AE282" s="21" t="s">
        <v>198</v>
      </c>
      <c r="AF282" s="21" t="s">
        <v>22</v>
      </c>
      <c r="AG282" s="21" t="s">
        <v>198</v>
      </c>
      <c r="AH282" s="21" t="s">
        <v>22</v>
      </c>
      <c r="AI282" s="21" t="s">
        <v>22</v>
      </c>
      <c r="AJ282" s="21" t="s">
        <v>22</v>
      </c>
      <c r="AK282" s="21" t="s">
        <v>22</v>
      </c>
      <c r="AL282" s="21" t="s">
        <v>198</v>
      </c>
      <c r="AM282" s="21" t="s">
        <v>83</v>
      </c>
      <c r="AN282" s="21" t="s">
        <v>83</v>
      </c>
      <c r="AO282" s="21" t="s">
        <v>83</v>
      </c>
      <c r="AP282" s="21" t="s">
        <v>83</v>
      </c>
      <c r="AQ282" s="21" t="s">
        <v>83</v>
      </c>
      <c r="AR282" s="21" t="s">
        <v>198</v>
      </c>
      <c r="AS282" s="21" t="s">
        <v>83</v>
      </c>
      <c r="AT282" s="21" t="s">
        <v>83</v>
      </c>
      <c r="AU282" s="21" t="s">
        <v>198</v>
      </c>
      <c r="AV282" s="21" t="s">
        <v>83</v>
      </c>
      <c r="AW282" s="21" t="s">
        <v>83</v>
      </c>
      <c r="AX282" s="21" t="s">
        <v>83</v>
      </c>
      <c r="AY282" s="21" t="s">
        <v>198</v>
      </c>
      <c r="AZ282" s="21" t="s">
        <v>83</v>
      </c>
      <c r="BA282" s="17" t="s">
        <v>246</v>
      </c>
      <c r="BB282" s="17" t="s">
        <v>250</v>
      </c>
      <c r="BC282" s="18">
        <f>--ISNUMBER(SEARCH("Radio or television",BA282))</f>
        <v>1</v>
      </c>
      <c r="BD282" s="18">
        <f>--ISNUMBER(SEARCH("Newspapers or print media",BA282))</f>
        <v>0</v>
      </c>
      <c r="BE282" s="18">
        <f>--ISNUMBER(SEARCH("Social media (e.g. Facebook, WhatsApp, YouTube, X/Twitter)",BA282))</f>
        <v>1</v>
      </c>
      <c r="BF282" s="18">
        <f>--ISNUMBER(SEARCH("Family members",BA282))</f>
        <v>0</v>
      </c>
      <c r="BG282" s="18">
        <f>--ISNUMBER(SEARCH("Friends or fellow students",BA282))</f>
        <v>0</v>
      </c>
      <c r="BH282" s="18">
        <f>--ISNUMBER(SEARCH("School coursework or lectures",BA282))</f>
        <v>0</v>
      </c>
      <c r="BI282" s="18">
        <f>--ISNUMBER(SEARCH("NHIMA outreach activities or NHIMA offices",BA282))</f>
        <v>0</v>
      </c>
      <c r="BJ282" s="18">
        <f>--ISNUMBER(SEARCH("Health facility staff",BA282))</f>
        <v>0</v>
      </c>
      <c r="BK282" s="18">
        <f>--ISNUMBER(SEARCH("not received information",BA282))</f>
        <v>0</v>
      </c>
      <c r="BL282" s="18">
        <f>IF(T282="","",--(T282='Codebook'!$F$13))</f>
        <v>1</v>
      </c>
      <c r="BM282" s="18">
        <f>IF(U282="","",--(U282='Codebook'!$F$14))</f>
        <v>0</v>
      </c>
      <c r="BN282" s="18">
        <f>IF(V282="","",--(V282='Codebook'!$F$15))</f>
        <v>0</v>
      </c>
      <c r="BO282" s="18">
        <f>IF(W282="","",--(W282='Codebook'!$F$16))</f>
        <v>0</v>
      </c>
      <c r="BP282" s="18">
        <f>IF(X282="","",--(X282='Codebook'!$F$17))</f>
        <v>1</v>
      </c>
      <c r="BQ282" s="18">
        <f>IF(Y282="","",--(Y282='Codebook'!$F$18))</f>
        <v>0</v>
      </c>
      <c r="BR282" s="18">
        <f>IF(Z282="","",--(Z282='Codebook'!$F$19))</f>
        <v>1</v>
      </c>
      <c r="BS282" s="18">
        <f>IF(AA282="","",--(AA282='Codebook'!$F$20))</f>
        <v>1</v>
      </c>
      <c r="BT282" s="18">
        <f>IF(AB282="","",--(AB282='Codebook'!$F$21))</f>
        <v>0</v>
      </c>
      <c r="BU282" s="18">
        <f>IF(AC282="","",--(AC282='Codebook'!$F$22))</f>
        <v>0</v>
      </c>
      <c r="BV282" s="18">
        <f>IF(AD282="","",--(AD282='Codebook'!$F$23))</f>
        <v>1</v>
      </c>
      <c r="BW282" s="18">
        <f>IF(AE282="","",--(AE282='Codebook'!$F$24))</f>
        <v>0</v>
      </c>
      <c r="BX282" s="18">
        <f>IF(AF282="","",--(AF282='Codebook'!$F$25))</f>
        <v>0</v>
      </c>
      <c r="BY282" s="18">
        <f>IF(AG282="","",--(AG282='Codebook'!$F$26))</f>
        <v>0</v>
      </c>
      <c r="BZ282" s="18">
        <f>IF(AH282="","",--(AH282='Codebook'!$F$27))</f>
        <v>1</v>
      </c>
      <c r="CA282" s="18">
        <f>IF(AI282="","",--(AI282='Codebook'!$F$28))</f>
        <v>0</v>
      </c>
      <c r="CB282" s="18">
        <f>IF(AJ282="","",--(AJ282='Codebook'!$F$29))</f>
        <v>0</v>
      </c>
      <c r="CC282" s="18">
        <f>IF(AK282="","",--(AK282='Codebook'!$F$30))</f>
        <v>1</v>
      </c>
      <c r="CD282" s="18">
        <f>IF(AL282="","",--(AL282='Codebook'!$F$31))</f>
        <v>0</v>
      </c>
      <c r="CE282" s="18">
        <f>IF(AM282="","",--(AM282='Codebook'!$F$32))</f>
        <v>1</v>
      </c>
      <c r="CF282" s="18">
        <f>IF(AN282="","",--(AN282='Codebook'!$F$33))</f>
        <v>1</v>
      </c>
      <c r="CG282" s="18">
        <f>IF(AO282="","",--(AO282='Codebook'!$F$34))</f>
        <v>1</v>
      </c>
      <c r="CH282" s="18">
        <f>IF(AP282="","",--(AP282='Codebook'!$F$35))</f>
        <v>1</v>
      </c>
      <c r="CI282" s="18">
        <f>IF(AQ282="","",--(AQ282='Codebook'!$F$36))</f>
        <v>1</v>
      </c>
      <c r="CJ282" s="18">
        <f>IF(AR282="","",--(AR282='Codebook'!$F$37))</f>
        <v>0</v>
      </c>
      <c r="CK282" s="18">
        <f>IF(AS282="","",--(AS282='Codebook'!$F$38))</f>
        <v>1</v>
      </c>
      <c r="CL282" s="18">
        <f>IF(AT282="","",--(AT282='Codebook'!$F$39))</f>
        <v>1</v>
      </c>
      <c r="CM282" s="18">
        <f>IF(AU282="","",--(AU282='Codebook'!$F$40))</f>
        <v>0</v>
      </c>
      <c r="CN282" s="18">
        <f>IF(AV282="","",--(AV282='Codebook'!$F$41))</f>
        <v>0</v>
      </c>
      <c r="CO282" s="18">
        <f>IF(AW282="","",--(AW282='Codebook'!$F$42))</f>
        <v>0</v>
      </c>
      <c r="CP282" s="18">
        <f>IF(AX282="","",--(AX282='Codebook'!$F$43))</f>
        <v>0</v>
      </c>
      <c r="CQ282" s="18">
        <f>IF(AY282="","",--(AY282='Codebook'!$F$44))</f>
        <v>0</v>
      </c>
      <c r="CR282" s="18">
        <f>IF(AZ282="","",--(AZ282='Codebook'!$F$45))</f>
        <v>0</v>
      </c>
    </row>
    <row r="283" spans="2:96" ht="24" customHeight="1">
      <c r="B283" s="18">
        <v>278</v>
      </c>
      <c r="C283" s="23">
        <v>46290.41620008102</v>
      </c>
      <c r="D283" s="21" t="s">
        <v>275</v>
      </c>
      <c r="E283" s="21" t="s">
        <v>206</v>
      </c>
      <c r="F283" s="21" t="s">
        <v>195</v>
      </c>
      <c r="G283" s="17" t="s">
        <v>202</v>
      </c>
      <c r="H283" s="21" t="s">
        <v>197</v>
      </c>
      <c r="I283" s="18">
        <f>SUM(BL283:BU283)</f>
        <v>6</v>
      </c>
      <c r="J283" s="18">
        <f>IF(COUNT(BV283:CD283)=9,SUM(BV283:CD283),"")</f>
        <v>5</v>
      </c>
      <c r="K283" s="18">
        <f>SUM(BL283:CD283)</f>
        <v>11</v>
      </c>
      <c r="L283" s="18">
        <f>--(K283&gt;='Codebook'!$C$8)</f>
        <v>0</v>
      </c>
      <c r="M283" s="18">
        <f>--(COUNT(BL283:CD283)=19)</f>
        <v>1</v>
      </c>
      <c r="N283" s="18">
        <f>SUM(CE283:CL283)</f>
        <v>6</v>
      </c>
      <c r="O283" s="18">
        <f>SUM(CM283:CR283)</f>
        <v>0</v>
      </c>
      <c r="P283" s="18">
        <f>N283+O283</f>
        <v>6</v>
      </c>
      <c r="Q283" s="21" t="s">
        <v>198</v>
      </c>
      <c r="R283" s="17" t="s">
        <v>154</v>
      </c>
      <c r="S283" s="18">
        <f>--OR(Overview!$B$6="All",E283=Overview!$B$6)*--OR(Overview!$F$6="All",F283=Overview!$F$6)*--OR(Overview!$J$6="All",G283=Overview!$J$6)*--OR(Overview!$N$6="All",H283=Overview!$N$6)</f>
        <v>1</v>
      </c>
      <c r="T283" s="21" t="s">
        <v>22</v>
      </c>
      <c r="U283" s="21" t="s">
        <v>22</v>
      </c>
      <c r="V283" s="21" t="s">
        <v>22</v>
      </c>
      <c r="W283" s="21" t="s">
        <v>22</v>
      </c>
      <c r="X283" s="21" t="s">
        <v>22</v>
      </c>
      <c r="Y283" s="21" t="s">
        <v>22</v>
      </c>
      <c r="Z283" s="21" t="s">
        <v>22</v>
      </c>
      <c r="AA283" s="21" t="s">
        <v>22</v>
      </c>
      <c r="AB283" s="21" t="s">
        <v>22</v>
      </c>
      <c r="AC283" s="21" t="s">
        <v>22</v>
      </c>
      <c r="AD283" s="21" t="s">
        <v>22</v>
      </c>
      <c r="AE283" s="21" t="s">
        <v>22</v>
      </c>
      <c r="AF283" s="21" t="s">
        <v>22</v>
      </c>
      <c r="AG283" s="21" t="s">
        <v>22</v>
      </c>
      <c r="AH283" s="21" t="s">
        <v>22</v>
      </c>
      <c r="AI283" s="21" t="s">
        <v>22</v>
      </c>
      <c r="AJ283" s="21" t="s">
        <v>22</v>
      </c>
      <c r="AK283" s="21" t="s">
        <v>22</v>
      </c>
      <c r="AL283" s="21" t="s">
        <v>22</v>
      </c>
      <c r="AM283" s="21" t="s">
        <v>83</v>
      </c>
      <c r="AN283" s="21" t="s">
        <v>109</v>
      </c>
      <c r="AO283" s="21" t="s">
        <v>83</v>
      </c>
      <c r="AP283" s="21" t="s">
        <v>83</v>
      </c>
      <c r="AQ283" s="21" t="s">
        <v>83</v>
      </c>
      <c r="AR283" s="21" t="s">
        <v>109</v>
      </c>
      <c r="AS283" s="21" t="s">
        <v>83</v>
      </c>
      <c r="AT283" s="21" t="s">
        <v>83</v>
      </c>
      <c r="AU283" s="21" t="s">
        <v>83</v>
      </c>
      <c r="AV283" s="21" t="s">
        <v>83</v>
      </c>
      <c r="AW283" s="21" t="s">
        <v>83</v>
      </c>
      <c r="AX283" s="21" t="s">
        <v>83</v>
      </c>
      <c r="AY283" s="21" t="s">
        <v>83</v>
      </c>
      <c r="AZ283" s="21" t="s">
        <v>83</v>
      </c>
      <c r="BA283" s="17" t="s">
        <v>246</v>
      </c>
      <c r="BB283" s="17" t="s">
        <v>250</v>
      </c>
      <c r="BC283" s="18">
        <f>--ISNUMBER(SEARCH("Radio or television",BA283))</f>
        <v>1</v>
      </c>
      <c r="BD283" s="18">
        <f>--ISNUMBER(SEARCH("Newspapers or print media",BA283))</f>
        <v>0</v>
      </c>
      <c r="BE283" s="18">
        <f>--ISNUMBER(SEARCH("Social media (e.g. Facebook, WhatsApp, YouTube, X/Twitter)",BA283))</f>
        <v>1</v>
      </c>
      <c r="BF283" s="18">
        <f>--ISNUMBER(SEARCH("Family members",BA283))</f>
        <v>0</v>
      </c>
      <c r="BG283" s="18">
        <f>--ISNUMBER(SEARCH("Friends or fellow students",BA283))</f>
        <v>0</v>
      </c>
      <c r="BH283" s="18">
        <f>--ISNUMBER(SEARCH("School coursework or lectures",BA283))</f>
        <v>0</v>
      </c>
      <c r="BI283" s="18">
        <f>--ISNUMBER(SEARCH("NHIMA outreach activities or NHIMA offices",BA283))</f>
        <v>0</v>
      </c>
      <c r="BJ283" s="18">
        <f>--ISNUMBER(SEARCH("Health facility staff",BA283))</f>
        <v>0</v>
      </c>
      <c r="BK283" s="18">
        <f>--ISNUMBER(SEARCH("not received information",BA283))</f>
        <v>0</v>
      </c>
      <c r="BL283" s="18">
        <f>IF(T283="","",--(T283='Codebook'!$F$13))</f>
        <v>1</v>
      </c>
      <c r="BM283" s="18">
        <f>IF(U283="","",--(U283='Codebook'!$F$14))</f>
        <v>0</v>
      </c>
      <c r="BN283" s="18">
        <f>IF(V283="","",--(V283='Codebook'!$F$15))</f>
        <v>0</v>
      </c>
      <c r="BO283" s="18">
        <f>IF(W283="","",--(W283='Codebook'!$F$16))</f>
        <v>1</v>
      </c>
      <c r="BP283" s="18">
        <f>IF(X283="","",--(X283='Codebook'!$F$17))</f>
        <v>1</v>
      </c>
      <c r="BQ283" s="18">
        <f>IF(Y283="","",--(Y283='Codebook'!$F$18))</f>
        <v>0</v>
      </c>
      <c r="BR283" s="18">
        <f>IF(Z283="","",--(Z283='Codebook'!$F$19))</f>
        <v>1</v>
      </c>
      <c r="BS283" s="18">
        <f>IF(AA283="","",--(AA283='Codebook'!$F$20))</f>
        <v>1</v>
      </c>
      <c r="BT283" s="18">
        <f>IF(AB283="","",--(AB283='Codebook'!$F$21))</f>
        <v>0</v>
      </c>
      <c r="BU283" s="18">
        <f>IF(AC283="","",--(AC283='Codebook'!$F$22))</f>
        <v>1</v>
      </c>
      <c r="BV283" s="18">
        <f>IF(AD283="","",--(AD283='Codebook'!$F$23))</f>
        <v>1</v>
      </c>
      <c r="BW283" s="18">
        <f>IF(AE283="","",--(AE283='Codebook'!$F$24))</f>
        <v>1</v>
      </c>
      <c r="BX283" s="18">
        <f>IF(AF283="","",--(AF283='Codebook'!$F$25))</f>
        <v>0</v>
      </c>
      <c r="BY283" s="18">
        <f>IF(AG283="","",--(AG283='Codebook'!$F$26))</f>
        <v>1</v>
      </c>
      <c r="BZ283" s="18">
        <f>IF(AH283="","",--(AH283='Codebook'!$F$27))</f>
        <v>1</v>
      </c>
      <c r="CA283" s="18">
        <f>IF(AI283="","",--(AI283='Codebook'!$F$28))</f>
        <v>0</v>
      </c>
      <c r="CB283" s="18">
        <f>IF(AJ283="","",--(AJ283='Codebook'!$F$29))</f>
        <v>0</v>
      </c>
      <c r="CC283" s="18">
        <f>IF(AK283="","",--(AK283='Codebook'!$F$30))</f>
        <v>1</v>
      </c>
      <c r="CD283" s="18">
        <f>IF(AL283="","",--(AL283='Codebook'!$F$31))</f>
        <v>0</v>
      </c>
      <c r="CE283" s="18">
        <f>IF(AM283="","",--(AM283='Codebook'!$F$32))</f>
        <v>1</v>
      </c>
      <c r="CF283" s="18">
        <f>IF(AN283="","",--(AN283='Codebook'!$F$33))</f>
        <v>0</v>
      </c>
      <c r="CG283" s="18">
        <f>IF(AO283="","",--(AO283='Codebook'!$F$34))</f>
        <v>1</v>
      </c>
      <c r="CH283" s="18">
        <f>IF(AP283="","",--(AP283='Codebook'!$F$35))</f>
        <v>1</v>
      </c>
      <c r="CI283" s="18">
        <f>IF(AQ283="","",--(AQ283='Codebook'!$F$36))</f>
        <v>1</v>
      </c>
      <c r="CJ283" s="18">
        <f>IF(AR283="","",--(AR283='Codebook'!$F$37))</f>
        <v>0</v>
      </c>
      <c r="CK283" s="18">
        <f>IF(AS283="","",--(AS283='Codebook'!$F$38))</f>
        <v>1</v>
      </c>
      <c r="CL283" s="18">
        <f>IF(AT283="","",--(AT283='Codebook'!$F$39))</f>
        <v>1</v>
      </c>
      <c r="CM283" s="18">
        <f>IF(AU283="","",--(AU283='Codebook'!$F$40))</f>
        <v>0</v>
      </c>
      <c r="CN283" s="18">
        <f>IF(AV283="","",--(AV283='Codebook'!$F$41))</f>
        <v>0</v>
      </c>
      <c r="CO283" s="18">
        <f>IF(AW283="","",--(AW283='Codebook'!$F$42))</f>
        <v>0</v>
      </c>
      <c r="CP283" s="18">
        <f>IF(AX283="","",--(AX283='Codebook'!$F$43))</f>
        <v>0</v>
      </c>
      <c r="CQ283" s="18">
        <f>IF(AY283="","",--(AY283='Codebook'!$F$44))</f>
        <v>0</v>
      </c>
      <c r="CR283" s="18">
        <f>IF(AZ283="","",--(AZ283='Codebook'!$F$45))</f>
        <v>0</v>
      </c>
    </row>
    <row r="284" spans="2:96" ht="24" customHeight="1">
      <c r="B284" s="18">
        <v>279</v>
      </c>
      <c r="C284" s="23">
        <v>46290.41683204861</v>
      </c>
      <c r="D284" s="21" t="s">
        <v>268</v>
      </c>
      <c r="E284" s="21" t="s">
        <v>206</v>
      </c>
      <c r="F284" s="21" t="s">
        <v>201</v>
      </c>
      <c r="G284" s="17" t="s">
        <v>247</v>
      </c>
      <c r="H284" s="21" t="s">
        <v>198</v>
      </c>
      <c r="I284" s="18">
        <f>SUM(BL284:BU284)</f>
        <v>6</v>
      </c>
      <c r="J284" s="18">
        <f>IF(COUNT(BV284:CD284)=9,SUM(BV284:CD284),"")</f>
        <v>5</v>
      </c>
      <c r="K284" s="18">
        <f>SUM(BL284:CD284)</f>
        <v>11</v>
      </c>
      <c r="L284" s="18">
        <f>--(K284&gt;='Codebook'!$C$8)</f>
        <v>0</v>
      </c>
      <c r="M284" s="18">
        <f>--(COUNT(BL284:CD284)=19)</f>
        <v>1</v>
      </c>
      <c r="N284" s="18">
        <f>SUM(CE284:CL284)</f>
        <v>8</v>
      </c>
      <c r="O284" s="18">
        <f>SUM(CM284:CR284)</f>
        <v>2</v>
      </c>
      <c r="P284" s="18">
        <f>N284+O284</f>
        <v>10</v>
      </c>
      <c r="Q284" s="21" t="s">
        <v>197</v>
      </c>
      <c r="R284" s="17" t="s">
        <v>156</v>
      </c>
      <c r="S284" s="18">
        <f>--OR(Overview!$B$6="All",E284=Overview!$B$6)*--OR(Overview!$F$6="All",F284=Overview!$F$6)*--OR(Overview!$J$6="All",G284=Overview!$J$6)*--OR(Overview!$N$6="All",H284=Overview!$N$6)</f>
        <v>1</v>
      </c>
      <c r="T284" s="21" t="s">
        <v>22</v>
      </c>
      <c r="U284" s="21" t="s">
        <v>22</v>
      </c>
      <c r="V284" s="21" t="s">
        <v>22</v>
      </c>
      <c r="W284" s="21" t="s">
        <v>22</v>
      </c>
      <c r="X284" s="21" t="s">
        <v>22</v>
      </c>
      <c r="Y284" s="21" t="s">
        <v>22</v>
      </c>
      <c r="Z284" s="21" t="s">
        <v>22</v>
      </c>
      <c r="AA284" s="21" t="s">
        <v>22</v>
      </c>
      <c r="AB284" s="21" t="s">
        <v>22</v>
      </c>
      <c r="AC284" s="21" t="s">
        <v>22</v>
      </c>
      <c r="AD284" s="21" t="s">
        <v>22</v>
      </c>
      <c r="AE284" s="21" t="s">
        <v>22</v>
      </c>
      <c r="AF284" s="21" t="s">
        <v>22</v>
      </c>
      <c r="AG284" s="21" t="s">
        <v>22</v>
      </c>
      <c r="AH284" s="21" t="s">
        <v>22</v>
      </c>
      <c r="AI284" s="21" t="s">
        <v>22</v>
      </c>
      <c r="AJ284" s="21" t="s">
        <v>22</v>
      </c>
      <c r="AK284" s="21" t="s">
        <v>22</v>
      </c>
      <c r="AL284" s="21" t="s">
        <v>198</v>
      </c>
      <c r="AM284" s="21" t="s">
        <v>83</v>
      </c>
      <c r="AN284" s="21" t="s">
        <v>83</v>
      </c>
      <c r="AO284" s="21" t="s">
        <v>83</v>
      </c>
      <c r="AP284" s="21" t="s">
        <v>83</v>
      </c>
      <c r="AQ284" s="21" t="s">
        <v>83</v>
      </c>
      <c r="AR284" s="21" t="s">
        <v>83</v>
      </c>
      <c r="AS284" s="21" t="s">
        <v>83</v>
      </c>
      <c r="AT284" s="21" t="s">
        <v>83</v>
      </c>
      <c r="AU284" s="21" t="s">
        <v>83</v>
      </c>
      <c r="AV284" s="21" t="s">
        <v>83</v>
      </c>
      <c r="AW284" s="21" t="s">
        <v>109</v>
      </c>
      <c r="AX284" s="21" t="s">
        <v>83</v>
      </c>
      <c r="AY284" s="21" t="s">
        <v>83</v>
      </c>
      <c r="AZ284" s="21" t="s">
        <v>109</v>
      </c>
      <c r="BA284" s="17" t="s">
        <v>264</v>
      </c>
      <c r="BB284" s="17" t="s">
        <v>313</v>
      </c>
      <c r="BC284" s="18">
        <f>--ISNUMBER(SEARCH("Radio or television",BA284))</f>
        <v>1</v>
      </c>
      <c r="BD284" s="18">
        <f>--ISNUMBER(SEARCH("Newspapers or print media",BA284))</f>
        <v>0</v>
      </c>
      <c r="BE284" s="18">
        <f>--ISNUMBER(SEARCH("Social media (e.g. Facebook, WhatsApp, YouTube, X/Twitter)",BA284))</f>
        <v>1</v>
      </c>
      <c r="BF284" s="18">
        <f>--ISNUMBER(SEARCH("Family members",BA284))</f>
        <v>1</v>
      </c>
      <c r="BG284" s="18">
        <f>--ISNUMBER(SEARCH("Friends or fellow students",BA284))</f>
        <v>1</v>
      </c>
      <c r="BH284" s="18">
        <f>--ISNUMBER(SEARCH("School coursework or lectures",BA284))</f>
        <v>0</v>
      </c>
      <c r="BI284" s="18">
        <f>--ISNUMBER(SEARCH("NHIMA outreach activities or NHIMA offices",BA284))</f>
        <v>0</v>
      </c>
      <c r="BJ284" s="18">
        <f>--ISNUMBER(SEARCH("Health facility staff",BA284))</f>
        <v>0</v>
      </c>
      <c r="BK284" s="18">
        <f>--ISNUMBER(SEARCH("not received information",BA284))</f>
        <v>0</v>
      </c>
      <c r="BL284" s="18">
        <f>IF(T284="","",--(T284='Codebook'!$F$13))</f>
        <v>1</v>
      </c>
      <c r="BM284" s="18">
        <f>IF(U284="","",--(U284='Codebook'!$F$14))</f>
        <v>0</v>
      </c>
      <c r="BN284" s="18">
        <f>IF(V284="","",--(V284='Codebook'!$F$15))</f>
        <v>0</v>
      </c>
      <c r="BO284" s="18">
        <f>IF(W284="","",--(W284='Codebook'!$F$16))</f>
        <v>1</v>
      </c>
      <c r="BP284" s="18">
        <f>IF(X284="","",--(X284='Codebook'!$F$17))</f>
        <v>1</v>
      </c>
      <c r="BQ284" s="18">
        <f>IF(Y284="","",--(Y284='Codebook'!$F$18))</f>
        <v>0</v>
      </c>
      <c r="BR284" s="18">
        <f>IF(Z284="","",--(Z284='Codebook'!$F$19))</f>
        <v>1</v>
      </c>
      <c r="BS284" s="18">
        <f>IF(AA284="","",--(AA284='Codebook'!$F$20))</f>
        <v>1</v>
      </c>
      <c r="BT284" s="18">
        <f>IF(AB284="","",--(AB284='Codebook'!$F$21))</f>
        <v>0</v>
      </c>
      <c r="BU284" s="18">
        <f>IF(AC284="","",--(AC284='Codebook'!$F$22))</f>
        <v>1</v>
      </c>
      <c r="BV284" s="18">
        <f>IF(AD284="","",--(AD284='Codebook'!$F$23))</f>
        <v>1</v>
      </c>
      <c r="BW284" s="18">
        <f>IF(AE284="","",--(AE284='Codebook'!$F$24))</f>
        <v>1</v>
      </c>
      <c r="BX284" s="18">
        <f>IF(AF284="","",--(AF284='Codebook'!$F$25))</f>
        <v>0</v>
      </c>
      <c r="BY284" s="18">
        <f>IF(AG284="","",--(AG284='Codebook'!$F$26))</f>
        <v>1</v>
      </c>
      <c r="BZ284" s="18">
        <f>IF(AH284="","",--(AH284='Codebook'!$F$27))</f>
        <v>1</v>
      </c>
      <c r="CA284" s="18">
        <f>IF(AI284="","",--(AI284='Codebook'!$F$28))</f>
        <v>0</v>
      </c>
      <c r="CB284" s="18">
        <f>IF(AJ284="","",--(AJ284='Codebook'!$F$29))</f>
        <v>0</v>
      </c>
      <c r="CC284" s="18">
        <f>IF(AK284="","",--(AK284='Codebook'!$F$30))</f>
        <v>1</v>
      </c>
      <c r="CD284" s="18">
        <f>IF(AL284="","",--(AL284='Codebook'!$F$31))</f>
        <v>0</v>
      </c>
      <c r="CE284" s="18">
        <f>IF(AM284="","",--(AM284='Codebook'!$F$32))</f>
        <v>1</v>
      </c>
      <c r="CF284" s="18">
        <f>IF(AN284="","",--(AN284='Codebook'!$F$33))</f>
        <v>1</v>
      </c>
      <c r="CG284" s="18">
        <f>IF(AO284="","",--(AO284='Codebook'!$F$34))</f>
        <v>1</v>
      </c>
      <c r="CH284" s="18">
        <f>IF(AP284="","",--(AP284='Codebook'!$F$35))</f>
        <v>1</v>
      </c>
      <c r="CI284" s="18">
        <f>IF(AQ284="","",--(AQ284='Codebook'!$F$36))</f>
        <v>1</v>
      </c>
      <c r="CJ284" s="18">
        <f>IF(AR284="","",--(AR284='Codebook'!$F$37))</f>
        <v>1</v>
      </c>
      <c r="CK284" s="18">
        <f>IF(AS284="","",--(AS284='Codebook'!$F$38))</f>
        <v>1</v>
      </c>
      <c r="CL284" s="18">
        <f>IF(AT284="","",--(AT284='Codebook'!$F$39))</f>
        <v>1</v>
      </c>
      <c r="CM284" s="18">
        <f>IF(AU284="","",--(AU284='Codebook'!$F$40))</f>
        <v>0</v>
      </c>
      <c r="CN284" s="18">
        <f>IF(AV284="","",--(AV284='Codebook'!$F$41))</f>
        <v>0</v>
      </c>
      <c r="CO284" s="18">
        <f>IF(AW284="","",--(AW284='Codebook'!$F$42))</f>
        <v>1</v>
      </c>
      <c r="CP284" s="18">
        <f>IF(AX284="","",--(AX284='Codebook'!$F$43))</f>
        <v>0</v>
      </c>
      <c r="CQ284" s="18">
        <f>IF(AY284="","",--(AY284='Codebook'!$F$44))</f>
        <v>0</v>
      </c>
      <c r="CR284" s="18">
        <f>IF(AZ284="","",--(AZ284='Codebook'!$F$45))</f>
        <v>1</v>
      </c>
    </row>
    <row r="285" spans="2:96" ht="24" customHeight="1">
      <c r="B285" s="18">
        <v>280</v>
      </c>
      <c r="C285" s="23">
        <v>46290.45274381944</v>
      </c>
      <c r="D285" s="21" t="s">
        <v>275</v>
      </c>
      <c r="E285" s="21" t="s">
        <v>206</v>
      </c>
      <c r="F285" s="21" t="s">
        <v>212</v>
      </c>
      <c r="G285" s="17" t="s">
        <v>202</v>
      </c>
      <c r="H285" s="21" t="s">
        <v>197</v>
      </c>
      <c r="I285" s="18">
        <f>SUM(BL285:BU285)</f>
        <v>4</v>
      </c>
      <c r="J285" s="18">
        <f>IF(COUNT(BV285:CD285)=9,SUM(BV285:CD285),"")</f>
        <v>5</v>
      </c>
      <c r="K285" s="18">
        <f>SUM(BL285:CD285)</f>
        <v>9</v>
      </c>
      <c r="L285" s="18">
        <f>--(K285&gt;='Codebook'!$C$8)</f>
        <v>0</v>
      </c>
      <c r="M285" s="18">
        <f>--(COUNT(BL285:CD285)=19)</f>
        <v>1</v>
      </c>
      <c r="N285" s="18">
        <f>SUM(CE285:CL285)</f>
        <v>8</v>
      </c>
      <c r="O285" s="18">
        <f>SUM(CM285:CR285)</f>
        <v>2</v>
      </c>
      <c r="P285" s="18">
        <f>N285+O285</f>
        <v>10</v>
      </c>
      <c r="Q285" s="21" t="s">
        <v>197</v>
      </c>
      <c r="R285" s="17" t="s">
        <v>155</v>
      </c>
      <c r="S285" s="18">
        <f>--OR(Overview!$B$6="All",E285=Overview!$B$6)*--OR(Overview!$F$6="All",F285=Overview!$F$6)*--OR(Overview!$J$6="All",G285=Overview!$J$6)*--OR(Overview!$N$6="All",H285=Overview!$N$6)</f>
        <v>1</v>
      </c>
      <c r="T285" s="21" t="s">
        <v>22</v>
      </c>
      <c r="U285" s="21" t="s">
        <v>22</v>
      </c>
      <c r="V285" s="21" t="s">
        <v>22</v>
      </c>
      <c r="W285" s="21" t="s">
        <v>26</v>
      </c>
      <c r="X285" s="21" t="s">
        <v>22</v>
      </c>
      <c r="Y285" s="21" t="s">
        <v>22</v>
      </c>
      <c r="Z285" s="21" t="s">
        <v>26</v>
      </c>
      <c r="AA285" s="21" t="s">
        <v>22</v>
      </c>
      <c r="AB285" s="21" t="s">
        <v>22</v>
      </c>
      <c r="AC285" s="21" t="s">
        <v>22</v>
      </c>
      <c r="AD285" s="21" t="s">
        <v>22</v>
      </c>
      <c r="AE285" s="21" t="s">
        <v>22</v>
      </c>
      <c r="AF285" s="21" t="s">
        <v>22</v>
      </c>
      <c r="AG285" s="21" t="s">
        <v>22</v>
      </c>
      <c r="AH285" s="21" t="s">
        <v>22</v>
      </c>
      <c r="AI285" s="21" t="s">
        <v>22</v>
      </c>
      <c r="AJ285" s="21" t="s">
        <v>22</v>
      </c>
      <c r="AK285" s="21" t="s">
        <v>22</v>
      </c>
      <c r="AL285" s="21" t="s">
        <v>22</v>
      </c>
      <c r="AM285" s="21" t="s">
        <v>83</v>
      </c>
      <c r="AN285" s="21" t="s">
        <v>83</v>
      </c>
      <c r="AO285" s="21" t="s">
        <v>83</v>
      </c>
      <c r="AP285" s="21" t="s">
        <v>83</v>
      </c>
      <c r="AQ285" s="21" t="s">
        <v>83</v>
      </c>
      <c r="AR285" s="21" t="s">
        <v>83</v>
      </c>
      <c r="AS285" s="21" t="s">
        <v>83</v>
      </c>
      <c r="AT285" s="21" t="s">
        <v>83</v>
      </c>
      <c r="AU285" s="21" t="s">
        <v>109</v>
      </c>
      <c r="AV285" s="21" t="s">
        <v>83</v>
      </c>
      <c r="AW285" s="21" t="s">
        <v>109</v>
      </c>
      <c r="AX285" s="21" t="s">
        <v>83</v>
      </c>
      <c r="AY285" s="21" t="s">
        <v>83</v>
      </c>
      <c r="AZ285" s="21" t="s">
        <v>83</v>
      </c>
      <c r="BA285" s="17" t="s">
        <v>219</v>
      </c>
      <c r="BB285" s="17" t="s">
        <v>219</v>
      </c>
      <c r="BC285" s="18">
        <f>--ISNUMBER(SEARCH("Radio or television",BA285))</f>
        <v>0</v>
      </c>
      <c r="BD285" s="18">
        <f>--ISNUMBER(SEARCH("Newspapers or print media",BA285))</f>
        <v>0</v>
      </c>
      <c r="BE285" s="18">
        <f>--ISNUMBER(SEARCH("Social media (e.g. Facebook, WhatsApp, YouTube, X/Twitter)",BA285))</f>
        <v>0</v>
      </c>
      <c r="BF285" s="18">
        <f>--ISNUMBER(SEARCH("Family members",BA285))</f>
        <v>1</v>
      </c>
      <c r="BG285" s="18">
        <f>--ISNUMBER(SEARCH("Friends or fellow students",BA285))</f>
        <v>0</v>
      </c>
      <c r="BH285" s="18">
        <f>--ISNUMBER(SEARCH("School coursework or lectures",BA285))</f>
        <v>0</v>
      </c>
      <c r="BI285" s="18">
        <f>--ISNUMBER(SEARCH("NHIMA outreach activities or NHIMA offices",BA285))</f>
        <v>0</v>
      </c>
      <c r="BJ285" s="18">
        <f>--ISNUMBER(SEARCH("Health facility staff",BA285))</f>
        <v>0</v>
      </c>
      <c r="BK285" s="18">
        <f>--ISNUMBER(SEARCH("not received information",BA285))</f>
        <v>0</v>
      </c>
      <c r="BL285" s="18">
        <f>IF(T285="","",--(T285='Codebook'!$F$13))</f>
        <v>1</v>
      </c>
      <c r="BM285" s="18">
        <f>IF(U285="","",--(U285='Codebook'!$F$14))</f>
        <v>0</v>
      </c>
      <c r="BN285" s="18">
        <f>IF(V285="","",--(V285='Codebook'!$F$15))</f>
        <v>0</v>
      </c>
      <c r="BO285" s="18">
        <f>IF(W285="","",--(W285='Codebook'!$F$16))</f>
        <v>0</v>
      </c>
      <c r="BP285" s="18">
        <f>IF(X285="","",--(X285='Codebook'!$F$17))</f>
        <v>1</v>
      </c>
      <c r="BQ285" s="18">
        <f>IF(Y285="","",--(Y285='Codebook'!$F$18))</f>
        <v>0</v>
      </c>
      <c r="BR285" s="18">
        <f>IF(Z285="","",--(Z285='Codebook'!$F$19))</f>
        <v>0</v>
      </c>
      <c r="BS285" s="18">
        <f>IF(AA285="","",--(AA285='Codebook'!$F$20))</f>
        <v>1</v>
      </c>
      <c r="BT285" s="18">
        <f>IF(AB285="","",--(AB285='Codebook'!$F$21))</f>
        <v>0</v>
      </c>
      <c r="BU285" s="18">
        <f>IF(AC285="","",--(AC285='Codebook'!$F$22))</f>
        <v>1</v>
      </c>
      <c r="BV285" s="18">
        <f>IF(AD285="","",--(AD285='Codebook'!$F$23))</f>
        <v>1</v>
      </c>
      <c r="BW285" s="18">
        <f>IF(AE285="","",--(AE285='Codebook'!$F$24))</f>
        <v>1</v>
      </c>
      <c r="BX285" s="18">
        <f>IF(AF285="","",--(AF285='Codebook'!$F$25))</f>
        <v>0</v>
      </c>
      <c r="BY285" s="18">
        <f>IF(AG285="","",--(AG285='Codebook'!$F$26))</f>
        <v>1</v>
      </c>
      <c r="BZ285" s="18">
        <f>IF(AH285="","",--(AH285='Codebook'!$F$27))</f>
        <v>1</v>
      </c>
      <c r="CA285" s="18">
        <f>IF(AI285="","",--(AI285='Codebook'!$F$28))</f>
        <v>0</v>
      </c>
      <c r="CB285" s="18">
        <f>IF(AJ285="","",--(AJ285='Codebook'!$F$29))</f>
        <v>0</v>
      </c>
      <c r="CC285" s="18">
        <f>IF(AK285="","",--(AK285='Codebook'!$F$30))</f>
        <v>1</v>
      </c>
      <c r="CD285" s="18">
        <f>IF(AL285="","",--(AL285='Codebook'!$F$31))</f>
        <v>0</v>
      </c>
      <c r="CE285" s="18">
        <f>IF(AM285="","",--(AM285='Codebook'!$F$32))</f>
        <v>1</v>
      </c>
      <c r="CF285" s="18">
        <f>IF(AN285="","",--(AN285='Codebook'!$F$33))</f>
        <v>1</v>
      </c>
      <c r="CG285" s="18">
        <f>IF(AO285="","",--(AO285='Codebook'!$F$34))</f>
        <v>1</v>
      </c>
      <c r="CH285" s="18">
        <f>IF(AP285="","",--(AP285='Codebook'!$F$35))</f>
        <v>1</v>
      </c>
      <c r="CI285" s="18">
        <f>IF(AQ285="","",--(AQ285='Codebook'!$F$36))</f>
        <v>1</v>
      </c>
      <c r="CJ285" s="18">
        <f>IF(AR285="","",--(AR285='Codebook'!$F$37))</f>
        <v>1</v>
      </c>
      <c r="CK285" s="18">
        <f>IF(AS285="","",--(AS285='Codebook'!$F$38))</f>
        <v>1</v>
      </c>
      <c r="CL285" s="18">
        <f>IF(AT285="","",--(AT285='Codebook'!$F$39))</f>
        <v>1</v>
      </c>
      <c r="CM285" s="18">
        <f>IF(AU285="","",--(AU285='Codebook'!$F$40))</f>
        <v>1</v>
      </c>
      <c r="CN285" s="18">
        <f>IF(AV285="","",--(AV285='Codebook'!$F$41))</f>
        <v>0</v>
      </c>
      <c r="CO285" s="18">
        <f>IF(AW285="","",--(AW285='Codebook'!$F$42))</f>
        <v>1</v>
      </c>
      <c r="CP285" s="18">
        <f>IF(AX285="","",--(AX285='Codebook'!$F$43))</f>
        <v>0</v>
      </c>
      <c r="CQ285" s="18">
        <f>IF(AY285="","",--(AY285='Codebook'!$F$44))</f>
        <v>0</v>
      </c>
      <c r="CR285" s="18">
        <f>IF(AZ285="","",--(AZ285='Codebook'!$F$45))</f>
        <v>0</v>
      </c>
    </row>
    <row r="286" spans="2:96" ht="24" customHeight="1">
      <c r="B286" s="18">
        <v>281</v>
      </c>
      <c r="C286" s="23">
        <v>46290.45334387731</v>
      </c>
      <c r="D286" s="21" t="s">
        <v>275</v>
      </c>
      <c r="E286" s="21" t="s">
        <v>206</v>
      </c>
      <c r="F286" s="21" t="s">
        <v>226</v>
      </c>
      <c r="G286" s="17" t="s">
        <v>247</v>
      </c>
      <c r="H286" s="21" t="s">
        <v>198</v>
      </c>
      <c r="I286" s="18">
        <f>SUM(BL286:BU286)</f>
        <v>6</v>
      </c>
      <c r="J286" s="18">
        <f>IF(COUNT(BV286:CD286)=9,SUM(BV286:CD286),"")</f>
        <v>6</v>
      </c>
      <c r="K286" s="18">
        <f>SUM(BL286:CD286)</f>
        <v>12</v>
      </c>
      <c r="L286" s="18">
        <f>--(K286&gt;='Codebook'!$C$8)</f>
        <v>1</v>
      </c>
      <c r="M286" s="18">
        <f>--(COUNT(BL286:CD286)=19)</f>
        <v>1</v>
      </c>
      <c r="N286" s="18">
        <f>SUM(CE286:CL286)</f>
        <v>8</v>
      </c>
      <c r="O286" s="18">
        <f>SUM(CM286:CR286)</f>
        <v>0</v>
      </c>
      <c r="P286" s="18">
        <f>N286+O286</f>
        <v>8</v>
      </c>
      <c r="Q286" s="21" t="s">
        <v>198</v>
      </c>
      <c r="R286" s="17" t="s">
        <v>152</v>
      </c>
      <c r="S286" s="18">
        <f>--OR(Overview!$B$6="All",E286=Overview!$B$6)*--OR(Overview!$F$6="All",F286=Overview!$F$6)*--OR(Overview!$J$6="All",G286=Overview!$J$6)*--OR(Overview!$N$6="All",H286=Overview!$N$6)</f>
        <v>1</v>
      </c>
      <c r="T286" s="21" t="s">
        <v>22</v>
      </c>
      <c r="U286" s="21" t="s">
        <v>22</v>
      </c>
      <c r="V286" s="21" t="s">
        <v>22</v>
      </c>
      <c r="W286" s="21" t="s">
        <v>22</v>
      </c>
      <c r="X286" s="21" t="s">
        <v>26</v>
      </c>
      <c r="Y286" s="21" t="s">
        <v>22</v>
      </c>
      <c r="Z286" s="21" t="s">
        <v>22</v>
      </c>
      <c r="AA286" s="21" t="s">
        <v>22</v>
      </c>
      <c r="AB286" s="21" t="s">
        <v>26</v>
      </c>
      <c r="AC286" s="21" t="s">
        <v>22</v>
      </c>
      <c r="AD286" s="21" t="s">
        <v>22</v>
      </c>
      <c r="AE286" s="21" t="s">
        <v>22</v>
      </c>
      <c r="AF286" s="21" t="s">
        <v>26</v>
      </c>
      <c r="AG286" s="21" t="s">
        <v>22</v>
      </c>
      <c r="AH286" s="21" t="s">
        <v>22</v>
      </c>
      <c r="AI286" s="21" t="s">
        <v>22</v>
      </c>
      <c r="AJ286" s="21" t="s">
        <v>22</v>
      </c>
      <c r="AK286" s="21" t="s">
        <v>22</v>
      </c>
      <c r="AL286" s="21" t="s">
        <v>22</v>
      </c>
      <c r="AM286" s="21" t="s">
        <v>83</v>
      </c>
      <c r="AN286" s="21" t="s">
        <v>83</v>
      </c>
      <c r="AO286" s="21" t="s">
        <v>83</v>
      </c>
      <c r="AP286" s="21" t="s">
        <v>83</v>
      </c>
      <c r="AQ286" s="21" t="s">
        <v>83</v>
      </c>
      <c r="AR286" s="21" t="s">
        <v>83</v>
      </c>
      <c r="AS286" s="21" t="s">
        <v>83</v>
      </c>
      <c r="AT286" s="21" t="s">
        <v>83</v>
      </c>
      <c r="AU286" s="21" t="s">
        <v>83</v>
      </c>
      <c r="AV286" s="21" t="s">
        <v>83</v>
      </c>
      <c r="AW286" s="21" t="s">
        <v>83</v>
      </c>
      <c r="AX286" s="21" t="s">
        <v>83</v>
      </c>
      <c r="AY286" s="21" t="s">
        <v>83</v>
      </c>
      <c r="AZ286" s="21" t="s">
        <v>83</v>
      </c>
      <c r="BA286" s="17" t="s">
        <v>333</v>
      </c>
      <c r="BB286" s="17" t="s">
        <v>223</v>
      </c>
      <c r="BC286" s="18">
        <f>--ISNUMBER(SEARCH("Radio or television",BA286))</f>
        <v>1</v>
      </c>
      <c r="BD286" s="18">
        <f>--ISNUMBER(SEARCH("Newspapers or print media",BA286))</f>
        <v>0</v>
      </c>
      <c r="BE286" s="18">
        <f>--ISNUMBER(SEARCH("Social media (e.g. Facebook, WhatsApp, YouTube, X/Twitter)",BA286))</f>
        <v>1</v>
      </c>
      <c r="BF286" s="18">
        <f>--ISNUMBER(SEARCH("Family members",BA286))</f>
        <v>1</v>
      </c>
      <c r="BG286" s="18">
        <f>--ISNUMBER(SEARCH("Friends or fellow students",BA286))</f>
        <v>0</v>
      </c>
      <c r="BH286" s="18">
        <f>--ISNUMBER(SEARCH("School coursework or lectures",BA286))</f>
        <v>1</v>
      </c>
      <c r="BI286" s="18">
        <f>--ISNUMBER(SEARCH("NHIMA outreach activities or NHIMA offices",BA286))</f>
        <v>0</v>
      </c>
      <c r="BJ286" s="18">
        <f>--ISNUMBER(SEARCH("Health facility staff",BA286))</f>
        <v>0</v>
      </c>
      <c r="BK286" s="18">
        <f>--ISNUMBER(SEARCH("not received information",BA286))</f>
        <v>0</v>
      </c>
      <c r="BL286" s="18">
        <f>IF(T286="","",--(T286='Codebook'!$F$13))</f>
        <v>1</v>
      </c>
      <c r="BM286" s="18">
        <f>IF(U286="","",--(U286='Codebook'!$F$14))</f>
        <v>0</v>
      </c>
      <c r="BN286" s="18">
        <f>IF(V286="","",--(V286='Codebook'!$F$15))</f>
        <v>0</v>
      </c>
      <c r="BO286" s="18">
        <f>IF(W286="","",--(W286='Codebook'!$F$16))</f>
        <v>1</v>
      </c>
      <c r="BP286" s="18">
        <f>IF(X286="","",--(X286='Codebook'!$F$17))</f>
        <v>0</v>
      </c>
      <c r="BQ286" s="18">
        <f>IF(Y286="","",--(Y286='Codebook'!$F$18))</f>
        <v>0</v>
      </c>
      <c r="BR286" s="18">
        <f>IF(Z286="","",--(Z286='Codebook'!$F$19))</f>
        <v>1</v>
      </c>
      <c r="BS286" s="18">
        <f>IF(AA286="","",--(AA286='Codebook'!$F$20))</f>
        <v>1</v>
      </c>
      <c r="BT286" s="18">
        <f>IF(AB286="","",--(AB286='Codebook'!$F$21))</f>
        <v>1</v>
      </c>
      <c r="BU286" s="18">
        <f>IF(AC286="","",--(AC286='Codebook'!$F$22))</f>
        <v>1</v>
      </c>
      <c r="BV286" s="18">
        <f>IF(AD286="","",--(AD286='Codebook'!$F$23))</f>
        <v>1</v>
      </c>
      <c r="BW286" s="18">
        <f>IF(AE286="","",--(AE286='Codebook'!$F$24))</f>
        <v>1</v>
      </c>
      <c r="BX286" s="18">
        <f>IF(AF286="","",--(AF286='Codebook'!$F$25))</f>
        <v>1</v>
      </c>
      <c r="BY286" s="18">
        <f>IF(AG286="","",--(AG286='Codebook'!$F$26))</f>
        <v>1</v>
      </c>
      <c r="BZ286" s="18">
        <f>IF(AH286="","",--(AH286='Codebook'!$F$27))</f>
        <v>1</v>
      </c>
      <c r="CA286" s="18">
        <f>IF(AI286="","",--(AI286='Codebook'!$F$28))</f>
        <v>0</v>
      </c>
      <c r="CB286" s="18">
        <f>IF(AJ286="","",--(AJ286='Codebook'!$F$29))</f>
        <v>0</v>
      </c>
      <c r="CC286" s="18">
        <f>IF(AK286="","",--(AK286='Codebook'!$F$30))</f>
        <v>1</v>
      </c>
      <c r="CD286" s="18">
        <f>IF(AL286="","",--(AL286='Codebook'!$F$31))</f>
        <v>0</v>
      </c>
      <c r="CE286" s="18">
        <f>IF(AM286="","",--(AM286='Codebook'!$F$32))</f>
        <v>1</v>
      </c>
      <c r="CF286" s="18">
        <f>IF(AN286="","",--(AN286='Codebook'!$F$33))</f>
        <v>1</v>
      </c>
      <c r="CG286" s="18">
        <f>IF(AO286="","",--(AO286='Codebook'!$F$34))</f>
        <v>1</v>
      </c>
      <c r="CH286" s="18">
        <f>IF(AP286="","",--(AP286='Codebook'!$F$35))</f>
        <v>1</v>
      </c>
      <c r="CI286" s="18">
        <f>IF(AQ286="","",--(AQ286='Codebook'!$F$36))</f>
        <v>1</v>
      </c>
      <c r="CJ286" s="18">
        <f>IF(AR286="","",--(AR286='Codebook'!$F$37))</f>
        <v>1</v>
      </c>
      <c r="CK286" s="18">
        <f>IF(AS286="","",--(AS286='Codebook'!$F$38))</f>
        <v>1</v>
      </c>
      <c r="CL286" s="18">
        <f>IF(AT286="","",--(AT286='Codebook'!$F$39))</f>
        <v>1</v>
      </c>
      <c r="CM286" s="18">
        <f>IF(AU286="","",--(AU286='Codebook'!$F$40))</f>
        <v>0</v>
      </c>
      <c r="CN286" s="18">
        <f>IF(AV286="","",--(AV286='Codebook'!$F$41))</f>
        <v>0</v>
      </c>
      <c r="CO286" s="18">
        <f>IF(AW286="","",--(AW286='Codebook'!$F$42))</f>
        <v>0</v>
      </c>
      <c r="CP286" s="18">
        <f>IF(AX286="","",--(AX286='Codebook'!$F$43))</f>
        <v>0</v>
      </c>
      <c r="CQ286" s="18">
        <f>IF(AY286="","",--(AY286='Codebook'!$F$44))</f>
        <v>0</v>
      </c>
      <c r="CR286" s="18">
        <f>IF(AZ286="","",--(AZ286='Codebook'!$F$45))</f>
        <v>0</v>
      </c>
    </row>
    <row r="287" spans="2:96" ht="24" customHeight="1">
      <c r="B287" s="18">
        <v>282</v>
      </c>
      <c r="C287" s="23">
        <v>46290.45397303241</v>
      </c>
      <c r="D287" s="21" t="s">
        <v>275</v>
      </c>
      <c r="E287" s="21" t="s">
        <v>194</v>
      </c>
      <c r="F287" s="21" t="s">
        <v>201</v>
      </c>
      <c r="G287" s="17" t="s">
        <v>196</v>
      </c>
      <c r="H287" s="21" t="s">
        <v>198</v>
      </c>
      <c r="I287" s="18">
        <f>SUM(BL287:BU287)</f>
        <v>6</v>
      </c>
      <c r="J287" s="18">
        <f>IF(COUNT(BV287:CD287)=9,SUM(BV287:CD287),"")</f>
        <v>6</v>
      </c>
      <c r="K287" s="18">
        <f>SUM(BL287:CD287)</f>
        <v>12</v>
      </c>
      <c r="L287" s="18">
        <f>--(K287&gt;='Codebook'!$C$8)</f>
        <v>1</v>
      </c>
      <c r="M287" s="18">
        <f>--(COUNT(BL287:CD287)=19)</f>
        <v>1</v>
      </c>
      <c r="N287" s="18">
        <f>SUM(CE287:CL287)</f>
        <v>5</v>
      </c>
      <c r="O287" s="18">
        <f>SUM(CM287:CR287)</f>
        <v>2</v>
      </c>
      <c r="P287" s="18">
        <f>N287+O287</f>
        <v>7</v>
      </c>
      <c r="Q287" s="21" t="s">
        <v>198</v>
      </c>
      <c r="R287" s="17" t="s">
        <v>156</v>
      </c>
      <c r="S287" s="18">
        <f>--OR(Overview!$B$6="All",E287=Overview!$B$6)*--OR(Overview!$F$6="All",F287=Overview!$F$6)*--OR(Overview!$J$6="All",G287=Overview!$J$6)*--OR(Overview!$N$6="All",H287=Overview!$N$6)</f>
        <v>1</v>
      </c>
      <c r="T287" s="21" t="s">
        <v>22</v>
      </c>
      <c r="U287" s="21" t="s">
        <v>22</v>
      </c>
      <c r="V287" s="21" t="s">
        <v>22</v>
      </c>
      <c r="W287" s="21" t="s">
        <v>22</v>
      </c>
      <c r="X287" s="21" t="s">
        <v>22</v>
      </c>
      <c r="Y287" s="21" t="s">
        <v>26</v>
      </c>
      <c r="Z287" s="21" t="s">
        <v>22</v>
      </c>
      <c r="AA287" s="21" t="s">
        <v>22</v>
      </c>
      <c r="AB287" s="21" t="s">
        <v>22</v>
      </c>
      <c r="AC287" s="21" t="s">
        <v>26</v>
      </c>
      <c r="AD287" s="21" t="s">
        <v>22</v>
      </c>
      <c r="AE287" s="21" t="s">
        <v>22</v>
      </c>
      <c r="AF287" s="21" t="s">
        <v>22</v>
      </c>
      <c r="AG287" s="21" t="s">
        <v>22</v>
      </c>
      <c r="AH287" s="21" t="s">
        <v>22</v>
      </c>
      <c r="AI287" s="21" t="s">
        <v>26</v>
      </c>
      <c r="AJ287" s="21" t="s">
        <v>22</v>
      </c>
      <c r="AK287" s="21" t="s">
        <v>22</v>
      </c>
      <c r="AL287" s="21" t="s">
        <v>198</v>
      </c>
      <c r="AM287" s="21" t="s">
        <v>83</v>
      </c>
      <c r="AN287" s="21" t="s">
        <v>83</v>
      </c>
      <c r="AO287" s="21" t="s">
        <v>109</v>
      </c>
      <c r="AP287" s="21" t="s">
        <v>83</v>
      </c>
      <c r="AQ287" s="21" t="s">
        <v>83</v>
      </c>
      <c r="AR287" s="21" t="s">
        <v>83</v>
      </c>
      <c r="AS287" s="21" t="s">
        <v>109</v>
      </c>
      <c r="AT287" s="21" t="s">
        <v>109</v>
      </c>
      <c r="AU287" s="21" t="s">
        <v>109</v>
      </c>
      <c r="AV287" s="21" t="s">
        <v>83</v>
      </c>
      <c r="AW287" s="21" t="s">
        <v>83</v>
      </c>
      <c r="AX287" s="21" t="s">
        <v>109</v>
      </c>
      <c r="AY287" s="21" t="s">
        <v>83</v>
      </c>
      <c r="AZ287" s="21" t="s">
        <v>83</v>
      </c>
      <c r="BA287" s="17" t="s">
        <v>315</v>
      </c>
      <c r="BB287" s="17" t="s">
        <v>313</v>
      </c>
      <c r="BC287" s="18">
        <f>--ISNUMBER(SEARCH("Radio or television",BA287))</f>
        <v>0</v>
      </c>
      <c r="BD287" s="18">
        <f>--ISNUMBER(SEARCH("Newspapers or print media",BA287))</f>
        <v>0</v>
      </c>
      <c r="BE287" s="18">
        <f>--ISNUMBER(SEARCH("Social media (e.g. Facebook, WhatsApp, YouTube, X/Twitter)",BA287))</f>
        <v>1</v>
      </c>
      <c r="BF287" s="18">
        <f>--ISNUMBER(SEARCH("Family members",BA287))</f>
        <v>0</v>
      </c>
      <c r="BG287" s="18">
        <f>--ISNUMBER(SEARCH("Friends or fellow students",BA287))</f>
        <v>1</v>
      </c>
      <c r="BH287" s="18">
        <f>--ISNUMBER(SEARCH("School coursework or lectures",BA287))</f>
        <v>0</v>
      </c>
      <c r="BI287" s="18">
        <f>--ISNUMBER(SEARCH("NHIMA outreach activities or NHIMA offices",BA287))</f>
        <v>0</v>
      </c>
      <c r="BJ287" s="18">
        <f>--ISNUMBER(SEARCH("Health facility staff",BA287))</f>
        <v>0</v>
      </c>
      <c r="BK287" s="18">
        <f>--ISNUMBER(SEARCH("not received information",BA287))</f>
        <v>0</v>
      </c>
      <c r="BL287" s="18">
        <f>IF(T287="","",--(T287='Codebook'!$F$13))</f>
        <v>1</v>
      </c>
      <c r="BM287" s="18">
        <f>IF(U287="","",--(U287='Codebook'!$F$14))</f>
        <v>0</v>
      </c>
      <c r="BN287" s="18">
        <f>IF(V287="","",--(V287='Codebook'!$F$15))</f>
        <v>0</v>
      </c>
      <c r="BO287" s="18">
        <f>IF(W287="","",--(W287='Codebook'!$F$16))</f>
        <v>1</v>
      </c>
      <c r="BP287" s="18">
        <f>IF(X287="","",--(X287='Codebook'!$F$17))</f>
        <v>1</v>
      </c>
      <c r="BQ287" s="18">
        <f>IF(Y287="","",--(Y287='Codebook'!$F$18))</f>
        <v>1</v>
      </c>
      <c r="BR287" s="18">
        <f>IF(Z287="","",--(Z287='Codebook'!$F$19))</f>
        <v>1</v>
      </c>
      <c r="BS287" s="18">
        <f>IF(AA287="","",--(AA287='Codebook'!$F$20))</f>
        <v>1</v>
      </c>
      <c r="BT287" s="18">
        <f>IF(AB287="","",--(AB287='Codebook'!$F$21))</f>
        <v>0</v>
      </c>
      <c r="BU287" s="18">
        <f>IF(AC287="","",--(AC287='Codebook'!$F$22))</f>
        <v>0</v>
      </c>
      <c r="BV287" s="18">
        <f>IF(AD287="","",--(AD287='Codebook'!$F$23))</f>
        <v>1</v>
      </c>
      <c r="BW287" s="18">
        <f>IF(AE287="","",--(AE287='Codebook'!$F$24))</f>
        <v>1</v>
      </c>
      <c r="BX287" s="18">
        <f>IF(AF287="","",--(AF287='Codebook'!$F$25))</f>
        <v>0</v>
      </c>
      <c r="BY287" s="18">
        <f>IF(AG287="","",--(AG287='Codebook'!$F$26))</f>
        <v>1</v>
      </c>
      <c r="BZ287" s="18">
        <f>IF(AH287="","",--(AH287='Codebook'!$F$27))</f>
        <v>1</v>
      </c>
      <c r="CA287" s="18">
        <f>IF(AI287="","",--(AI287='Codebook'!$F$28))</f>
        <v>1</v>
      </c>
      <c r="CB287" s="18">
        <f>IF(AJ287="","",--(AJ287='Codebook'!$F$29))</f>
        <v>0</v>
      </c>
      <c r="CC287" s="18">
        <f>IF(AK287="","",--(AK287='Codebook'!$F$30))</f>
        <v>1</v>
      </c>
      <c r="CD287" s="18">
        <f>IF(AL287="","",--(AL287='Codebook'!$F$31))</f>
        <v>0</v>
      </c>
      <c r="CE287" s="18">
        <f>IF(AM287="","",--(AM287='Codebook'!$F$32))</f>
        <v>1</v>
      </c>
      <c r="CF287" s="18">
        <f>IF(AN287="","",--(AN287='Codebook'!$F$33))</f>
        <v>1</v>
      </c>
      <c r="CG287" s="18">
        <f>IF(AO287="","",--(AO287='Codebook'!$F$34))</f>
        <v>0</v>
      </c>
      <c r="CH287" s="18">
        <f>IF(AP287="","",--(AP287='Codebook'!$F$35))</f>
        <v>1</v>
      </c>
      <c r="CI287" s="18">
        <f>IF(AQ287="","",--(AQ287='Codebook'!$F$36))</f>
        <v>1</v>
      </c>
      <c r="CJ287" s="18">
        <f>IF(AR287="","",--(AR287='Codebook'!$F$37))</f>
        <v>1</v>
      </c>
      <c r="CK287" s="18">
        <f>IF(AS287="","",--(AS287='Codebook'!$F$38))</f>
        <v>0</v>
      </c>
      <c r="CL287" s="18">
        <f>IF(AT287="","",--(AT287='Codebook'!$F$39))</f>
        <v>0</v>
      </c>
      <c r="CM287" s="18">
        <f>IF(AU287="","",--(AU287='Codebook'!$F$40))</f>
        <v>1</v>
      </c>
      <c r="CN287" s="18">
        <f>IF(AV287="","",--(AV287='Codebook'!$F$41))</f>
        <v>0</v>
      </c>
      <c r="CO287" s="18">
        <f>IF(AW287="","",--(AW287='Codebook'!$F$42))</f>
        <v>0</v>
      </c>
      <c r="CP287" s="18">
        <f>IF(AX287="","",--(AX287='Codebook'!$F$43))</f>
        <v>1</v>
      </c>
      <c r="CQ287" s="18">
        <f>IF(AY287="","",--(AY287='Codebook'!$F$44))</f>
        <v>0</v>
      </c>
      <c r="CR287" s="18">
        <f>IF(AZ287="","",--(AZ287='Codebook'!$F$45))</f>
        <v>0</v>
      </c>
    </row>
    <row r="288" spans="2:96" ht="24" customHeight="1">
      <c r="B288" s="18">
        <v>283</v>
      </c>
      <c r="C288" s="23">
        <v>46290.45453351852</v>
      </c>
      <c r="D288" s="21" t="s">
        <v>268</v>
      </c>
      <c r="E288" s="21" t="s">
        <v>194</v>
      </c>
      <c r="F288" s="21" t="s">
        <v>212</v>
      </c>
      <c r="G288" s="17" t="s">
        <v>215</v>
      </c>
      <c r="H288" s="21" t="s">
        <v>198</v>
      </c>
      <c r="I288" s="18">
        <f>SUM(BL288:BU288)</f>
        <v>5</v>
      </c>
      <c r="J288" s="18">
        <f>IF(COUNT(BV288:CD288)=9,SUM(BV288:CD288),"")</f>
        <v>4</v>
      </c>
      <c r="K288" s="18">
        <f>SUM(BL288:CD288)</f>
        <v>9</v>
      </c>
      <c r="L288" s="18">
        <f>--(K288&gt;='Codebook'!$C$8)</f>
        <v>0</v>
      </c>
      <c r="M288" s="18">
        <f>--(COUNT(BL288:CD288)=19)</f>
        <v>1</v>
      </c>
      <c r="N288" s="18">
        <f>SUM(CE288:CL288)</f>
        <v>7</v>
      </c>
      <c r="O288" s="18">
        <f>SUM(CM288:CR288)</f>
        <v>0</v>
      </c>
      <c r="P288" s="18">
        <f>N288+O288</f>
        <v>7</v>
      </c>
      <c r="Q288" s="21" t="s">
        <v>198</v>
      </c>
      <c r="R288" s="17" t="s">
        <v>155</v>
      </c>
      <c r="S288" s="18">
        <f>--OR(Overview!$B$6="All",E288=Overview!$B$6)*--OR(Overview!$F$6="All",F288=Overview!$F$6)*--OR(Overview!$J$6="All",G288=Overview!$J$6)*--OR(Overview!$N$6="All",H288=Overview!$N$6)</f>
        <v>1</v>
      </c>
      <c r="T288" s="21" t="s">
        <v>22</v>
      </c>
      <c r="U288" s="21" t="s">
        <v>22</v>
      </c>
      <c r="V288" s="21" t="s">
        <v>22</v>
      </c>
      <c r="W288" s="21" t="s">
        <v>22</v>
      </c>
      <c r="X288" s="21" t="s">
        <v>22</v>
      </c>
      <c r="Y288" s="21" t="s">
        <v>22</v>
      </c>
      <c r="Z288" s="21" t="s">
        <v>26</v>
      </c>
      <c r="AA288" s="21" t="s">
        <v>22</v>
      </c>
      <c r="AB288" s="21" t="s">
        <v>22</v>
      </c>
      <c r="AC288" s="21" t="s">
        <v>22</v>
      </c>
      <c r="AD288" s="21" t="s">
        <v>22</v>
      </c>
      <c r="AE288" s="21" t="s">
        <v>22</v>
      </c>
      <c r="AF288" s="21" t="s">
        <v>22</v>
      </c>
      <c r="AG288" s="21" t="s">
        <v>26</v>
      </c>
      <c r="AH288" s="21" t="s">
        <v>22</v>
      </c>
      <c r="AI288" s="21" t="s">
        <v>22</v>
      </c>
      <c r="AJ288" s="21" t="s">
        <v>22</v>
      </c>
      <c r="AK288" s="21" t="s">
        <v>22</v>
      </c>
      <c r="AL288" s="21" t="s">
        <v>22</v>
      </c>
      <c r="AM288" s="21" t="s">
        <v>83</v>
      </c>
      <c r="AN288" s="21" t="s">
        <v>83</v>
      </c>
      <c r="AO288" s="21" t="s">
        <v>109</v>
      </c>
      <c r="AP288" s="21" t="s">
        <v>83</v>
      </c>
      <c r="AQ288" s="21" t="s">
        <v>83</v>
      </c>
      <c r="AR288" s="21" t="s">
        <v>83</v>
      </c>
      <c r="AS288" s="21" t="s">
        <v>83</v>
      </c>
      <c r="AT288" s="21" t="s">
        <v>83</v>
      </c>
      <c r="AU288" s="21" t="s">
        <v>83</v>
      </c>
      <c r="AV288" s="21" t="s">
        <v>83</v>
      </c>
      <c r="AW288" s="21" t="s">
        <v>83</v>
      </c>
      <c r="AX288" s="21" t="s">
        <v>83</v>
      </c>
      <c r="AY288" s="21" t="s">
        <v>83</v>
      </c>
      <c r="AZ288" s="21" t="s">
        <v>83</v>
      </c>
      <c r="BA288" s="17" t="s">
        <v>324</v>
      </c>
      <c r="BB288" s="17" t="s">
        <v>219</v>
      </c>
      <c r="BC288" s="18">
        <f>--ISNUMBER(SEARCH("Radio or television",BA288))</f>
        <v>1</v>
      </c>
      <c r="BD288" s="18">
        <f>--ISNUMBER(SEARCH("Newspapers or print media",BA288))</f>
        <v>0</v>
      </c>
      <c r="BE288" s="18">
        <f>--ISNUMBER(SEARCH("Social media (e.g. Facebook, WhatsApp, YouTube, X/Twitter)",BA288))</f>
        <v>0</v>
      </c>
      <c r="BF288" s="18">
        <f>--ISNUMBER(SEARCH("Family members",BA288))</f>
        <v>1</v>
      </c>
      <c r="BG288" s="18">
        <f>--ISNUMBER(SEARCH("Friends or fellow students",BA288))</f>
        <v>0</v>
      </c>
      <c r="BH288" s="18">
        <f>--ISNUMBER(SEARCH("School coursework or lectures",BA288))</f>
        <v>0</v>
      </c>
      <c r="BI288" s="18">
        <f>--ISNUMBER(SEARCH("NHIMA outreach activities or NHIMA offices",BA288))</f>
        <v>0</v>
      </c>
      <c r="BJ288" s="18">
        <f>--ISNUMBER(SEARCH("Health facility staff",BA288))</f>
        <v>0</v>
      </c>
      <c r="BK288" s="18">
        <f>--ISNUMBER(SEARCH("not received information",BA288))</f>
        <v>0</v>
      </c>
      <c r="BL288" s="18">
        <f>IF(T288="","",--(T288='Codebook'!$F$13))</f>
        <v>1</v>
      </c>
      <c r="BM288" s="18">
        <f>IF(U288="","",--(U288='Codebook'!$F$14))</f>
        <v>0</v>
      </c>
      <c r="BN288" s="18">
        <f>IF(V288="","",--(V288='Codebook'!$F$15))</f>
        <v>0</v>
      </c>
      <c r="BO288" s="18">
        <f>IF(W288="","",--(W288='Codebook'!$F$16))</f>
        <v>1</v>
      </c>
      <c r="BP288" s="18">
        <f>IF(X288="","",--(X288='Codebook'!$F$17))</f>
        <v>1</v>
      </c>
      <c r="BQ288" s="18">
        <f>IF(Y288="","",--(Y288='Codebook'!$F$18))</f>
        <v>0</v>
      </c>
      <c r="BR288" s="18">
        <f>IF(Z288="","",--(Z288='Codebook'!$F$19))</f>
        <v>0</v>
      </c>
      <c r="BS288" s="18">
        <f>IF(AA288="","",--(AA288='Codebook'!$F$20))</f>
        <v>1</v>
      </c>
      <c r="BT288" s="18">
        <f>IF(AB288="","",--(AB288='Codebook'!$F$21))</f>
        <v>0</v>
      </c>
      <c r="BU288" s="18">
        <f>IF(AC288="","",--(AC288='Codebook'!$F$22))</f>
        <v>1</v>
      </c>
      <c r="BV288" s="18">
        <f>IF(AD288="","",--(AD288='Codebook'!$F$23))</f>
        <v>1</v>
      </c>
      <c r="BW288" s="18">
        <f>IF(AE288="","",--(AE288='Codebook'!$F$24))</f>
        <v>1</v>
      </c>
      <c r="BX288" s="18">
        <f>IF(AF288="","",--(AF288='Codebook'!$F$25))</f>
        <v>0</v>
      </c>
      <c r="BY288" s="18">
        <f>IF(AG288="","",--(AG288='Codebook'!$F$26))</f>
        <v>0</v>
      </c>
      <c r="BZ288" s="18">
        <f>IF(AH288="","",--(AH288='Codebook'!$F$27))</f>
        <v>1</v>
      </c>
      <c r="CA288" s="18">
        <f>IF(AI288="","",--(AI288='Codebook'!$F$28))</f>
        <v>0</v>
      </c>
      <c r="CB288" s="18">
        <f>IF(AJ288="","",--(AJ288='Codebook'!$F$29))</f>
        <v>0</v>
      </c>
      <c r="CC288" s="18">
        <f>IF(AK288="","",--(AK288='Codebook'!$F$30))</f>
        <v>1</v>
      </c>
      <c r="CD288" s="18">
        <f>IF(AL288="","",--(AL288='Codebook'!$F$31))</f>
        <v>0</v>
      </c>
      <c r="CE288" s="18">
        <f>IF(AM288="","",--(AM288='Codebook'!$F$32))</f>
        <v>1</v>
      </c>
      <c r="CF288" s="18">
        <f>IF(AN288="","",--(AN288='Codebook'!$F$33))</f>
        <v>1</v>
      </c>
      <c r="CG288" s="18">
        <f>IF(AO288="","",--(AO288='Codebook'!$F$34))</f>
        <v>0</v>
      </c>
      <c r="CH288" s="18">
        <f>IF(AP288="","",--(AP288='Codebook'!$F$35))</f>
        <v>1</v>
      </c>
      <c r="CI288" s="18">
        <f>IF(AQ288="","",--(AQ288='Codebook'!$F$36))</f>
        <v>1</v>
      </c>
      <c r="CJ288" s="18">
        <f>IF(AR288="","",--(AR288='Codebook'!$F$37))</f>
        <v>1</v>
      </c>
      <c r="CK288" s="18">
        <f>IF(AS288="","",--(AS288='Codebook'!$F$38))</f>
        <v>1</v>
      </c>
      <c r="CL288" s="18">
        <f>IF(AT288="","",--(AT288='Codebook'!$F$39))</f>
        <v>1</v>
      </c>
      <c r="CM288" s="18">
        <f>IF(AU288="","",--(AU288='Codebook'!$F$40))</f>
        <v>0</v>
      </c>
      <c r="CN288" s="18">
        <f>IF(AV288="","",--(AV288='Codebook'!$F$41))</f>
        <v>0</v>
      </c>
      <c r="CO288" s="18">
        <f>IF(AW288="","",--(AW288='Codebook'!$F$42))</f>
        <v>0</v>
      </c>
      <c r="CP288" s="18">
        <f>IF(AX288="","",--(AX288='Codebook'!$F$43))</f>
        <v>0</v>
      </c>
      <c r="CQ288" s="18">
        <f>IF(AY288="","",--(AY288='Codebook'!$F$44))</f>
        <v>0</v>
      </c>
      <c r="CR288" s="18">
        <f>IF(AZ288="","",--(AZ288='Codebook'!$F$45))</f>
        <v>0</v>
      </c>
    </row>
    <row r="289" spans="2:96" ht="24" customHeight="1">
      <c r="B289" s="18">
        <v>284</v>
      </c>
      <c r="C289" s="23">
        <v>46290.45510479167</v>
      </c>
      <c r="D289" s="21" t="s">
        <v>275</v>
      </c>
      <c r="E289" s="21" t="s">
        <v>206</v>
      </c>
      <c r="F289" s="21" t="s">
        <v>212</v>
      </c>
      <c r="G289" s="17" t="s">
        <v>215</v>
      </c>
      <c r="H289" s="21" t="s">
        <v>207</v>
      </c>
      <c r="I289" s="18">
        <f>SUM(BL289:BU289)</f>
        <v>6</v>
      </c>
      <c r="J289" s="18">
        <f>IF(COUNT(BV289:CD289)=9,SUM(BV289:CD289),"")</f>
        <v>5</v>
      </c>
      <c r="K289" s="18">
        <f>SUM(BL289:CD289)</f>
        <v>11</v>
      </c>
      <c r="L289" s="18">
        <f>--(K289&gt;='Codebook'!$C$8)</f>
        <v>0</v>
      </c>
      <c r="M289" s="18">
        <f>--(COUNT(BL289:CD289)=19)</f>
        <v>1</v>
      </c>
      <c r="N289" s="18">
        <f>SUM(CE289:CL289)</f>
        <v>8</v>
      </c>
      <c r="O289" s="18">
        <f>SUM(CM289:CR289)</f>
        <v>0</v>
      </c>
      <c r="P289" s="18">
        <f>N289+O289</f>
        <v>8</v>
      </c>
      <c r="Q289" s="21" t="s">
        <v>197</v>
      </c>
      <c r="R289" s="17" t="s">
        <v>152</v>
      </c>
      <c r="S289" s="18">
        <f>--OR(Overview!$B$6="All",E289=Overview!$B$6)*--OR(Overview!$F$6="All",F289=Overview!$F$6)*--OR(Overview!$J$6="All",G289=Overview!$J$6)*--OR(Overview!$N$6="All",H289=Overview!$N$6)</f>
        <v>1</v>
      </c>
      <c r="T289" s="21" t="s">
        <v>26</v>
      </c>
      <c r="U289" s="21" t="s">
        <v>26</v>
      </c>
      <c r="V289" s="21" t="s">
        <v>22</v>
      </c>
      <c r="W289" s="21" t="s">
        <v>22</v>
      </c>
      <c r="X289" s="21" t="s">
        <v>22</v>
      </c>
      <c r="Y289" s="21" t="s">
        <v>22</v>
      </c>
      <c r="Z289" s="21" t="s">
        <v>22</v>
      </c>
      <c r="AA289" s="21" t="s">
        <v>22</v>
      </c>
      <c r="AB289" s="21" t="s">
        <v>22</v>
      </c>
      <c r="AC289" s="21" t="s">
        <v>22</v>
      </c>
      <c r="AD289" s="21" t="s">
        <v>22</v>
      </c>
      <c r="AE289" s="21" t="s">
        <v>22</v>
      </c>
      <c r="AF289" s="21" t="s">
        <v>22</v>
      </c>
      <c r="AG289" s="21" t="s">
        <v>22</v>
      </c>
      <c r="AH289" s="21" t="s">
        <v>22</v>
      </c>
      <c r="AI289" s="21" t="s">
        <v>22</v>
      </c>
      <c r="AJ289" s="21" t="s">
        <v>22</v>
      </c>
      <c r="AK289" s="21" t="s">
        <v>22</v>
      </c>
      <c r="AL289" s="21" t="s">
        <v>22</v>
      </c>
      <c r="AM289" s="21" t="s">
        <v>83</v>
      </c>
      <c r="AN289" s="21" t="s">
        <v>83</v>
      </c>
      <c r="AO289" s="21" t="s">
        <v>83</v>
      </c>
      <c r="AP289" s="21" t="s">
        <v>83</v>
      </c>
      <c r="AQ289" s="21" t="s">
        <v>83</v>
      </c>
      <c r="AR289" s="21" t="s">
        <v>83</v>
      </c>
      <c r="AS289" s="21" t="s">
        <v>83</v>
      </c>
      <c r="AT289" s="21" t="s">
        <v>83</v>
      </c>
      <c r="AU289" s="21" t="s">
        <v>83</v>
      </c>
      <c r="AV289" s="21" t="s">
        <v>83</v>
      </c>
      <c r="AW289" s="21" t="s">
        <v>83</v>
      </c>
      <c r="AX289" s="21" t="s">
        <v>83</v>
      </c>
      <c r="AY289" s="21" t="s">
        <v>83</v>
      </c>
      <c r="AZ289" s="21" t="s">
        <v>83</v>
      </c>
      <c r="BA289" s="17" t="s">
        <v>223</v>
      </c>
      <c r="BB289" s="17" t="s">
        <v>223</v>
      </c>
      <c r="BC289" s="18">
        <f>--ISNUMBER(SEARCH("Radio or television",BA289))</f>
        <v>1</v>
      </c>
      <c r="BD289" s="18">
        <f>--ISNUMBER(SEARCH("Newspapers or print media",BA289))</f>
        <v>0</v>
      </c>
      <c r="BE289" s="18">
        <f>--ISNUMBER(SEARCH("Social media (e.g. Facebook, WhatsApp, YouTube, X/Twitter)",BA289))</f>
        <v>0</v>
      </c>
      <c r="BF289" s="18">
        <f>--ISNUMBER(SEARCH("Family members",BA289))</f>
        <v>0</v>
      </c>
      <c r="BG289" s="18">
        <f>--ISNUMBER(SEARCH("Friends or fellow students",BA289))</f>
        <v>0</v>
      </c>
      <c r="BH289" s="18">
        <f>--ISNUMBER(SEARCH("School coursework or lectures",BA289))</f>
        <v>0</v>
      </c>
      <c r="BI289" s="18">
        <f>--ISNUMBER(SEARCH("NHIMA outreach activities or NHIMA offices",BA289))</f>
        <v>0</v>
      </c>
      <c r="BJ289" s="18">
        <f>--ISNUMBER(SEARCH("Health facility staff",BA289))</f>
        <v>0</v>
      </c>
      <c r="BK289" s="18">
        <f>--ISNUMBER(SEARCH("not received information",BA289))</f>
        <v>0</v>
      </c>
      <c r="BL289" s="18">
        <f>IF(T289="","",--(T289='Codebook'!$F$13))</f>
        <v>0</v>
      </c>
      <c r="BM289" s="18">
        <f>IF(U289="","",--(U289='Codebook'!$F$14))</f>
        <v>1</v>
      </c>
      <c r="BN289" s="18">
        <f>IF(V289="","",--(V289='Codebook'!$F$15))</f>
        <v>0</v>
      </c>
      <c r="BO289" s="18">
        <f>IF(W289="","",--(W289='Codebook'!$F$16))</f>
        <v>1</v>
      </c>
      <c r="BP289" s="18">
        <f>IF(X289="","",--(X289='Codebook'!$F$17))</f>
        <v>1</v>
      </c>
      <c r="BQ289" s="18">
        <f>IF(Y289="","",--(Y289='Codebook'!$F$18))</f>
        <v>0</v>
      </c>
      <c r="BR289" s="18">
        <f>IF(Z289="","",--(Z289='Codebook'!$F$19))</f>
        <v>1</v>
      </c>
      <c r="BS289" s="18">
        <f>IF(AA289="","",--(AA289='Codebook'!$F$20))</f>
        <v>1</v>
      </c>
      <c r="BT289" s="18">
        <f>IF(AB289="","",--(AB289='Codebook'!$F$21))</f>
        <v>0</v>
      </c>
      <c r="BU289" s="18">
        <f>IF(AC289="","",--(AC289='Codebook'!$F$22))</f>
        <v>1</v>
      </c>
      <c r="BV289" s="18">
        <f>IF(AD289="","",--(AD289='Codebook'!$F$23))</f>
        <v>1</v>
      </c>
      <c r="BW289" s="18">
        <f>IF(AE289="","",--(AE289='Codebook'!$F$24))</f>
        <v>1</v>
      </c>
      <c r="BX289" s="18">
        <f>IF(AF289="","",--(AF289='Codebook'!$F$25))</f>
        <v>0</v>
      </c>
      <c r="BY289" s="18">
        <f>IF(AG289="","",--(AG289='Codebook'!$F$26))</f>
        <v>1</v>
      </c>
      <c r="BZ289" s="18">
        <f>IF(AH289="","",--(AH289='Codebook'!$F$27))</f>
        <v>1</v>
      </c>
      <c r="CA289" s="18">
        <f>IF(AI289="","",--(AI289='Codebook'!$F$28))</f>
        <v>0</v>
      </c>
      <c r="CB289" s="18">
        <f>IF(AJ289="","",--(AJ289='Codebook'!$F$29))</f>
        <v>0</v>
      </c>
      <c r="CC289" s="18">
        <f>IF(AK289="","",--(AK289='Codebook'!$F$30))</f>
        <v>1</v>
      </c>
      <c r="CD289" s="18">
        <f>IF(AL289="","",--(AL289='Codebook'!$F$31))</f>
        <v>0</v>
      </c>
      <c r="CE289" s="18">
        <f>IF(AM289="","",--(AM289='Codebook'!$F$32))</f>
        <v>1</v>
      </c>
      <c r="CF289" s="18">
        <f>IF(AN289="","",--(AN289='Codebook'!$F$33))</f>
        <v>1</v>
      </c>
      <c r="CG289" s="18">
        <f>IF(AO289="","",--(AO289='Codebook'!$F$34))</f>
        <v>1</v>
      </c>
      <c r="CH289" s="18">
        <f>IF(AP289="","",--(AP289='Codebook'!$F$35))</f>
        <v>1</v>
      </c>
      <c r="CI289" s="18">
        <f>IF(AQ289="","",--(AQ289='Codebook'!$F$36))</f>
        <v>1</v>
      </c>
      <c r="CJ289" s="18">
        <f>IF(AR289="","",--(AR289='Codebook'!$F$37))</f>
        <v>1</v>
      </c>
      <c r="CK289" s="18">
        <f>IF(AS289="","",--(AS289='Codebook'!$F$38))</f>
        <v>1</v>
      </c>
      <c r="CL289" s="18">
        <f>IF(AT289="","",--(AT289='Codebook'!$F$39))</f>
        <v>1</v>
      </c>
      <c r="CM289" s="18">
        <f>IF(AU289="","",--(AU289='Codebook'!$F$40))</f>
        <v>0</v>
      </c>
      <c r="CN289" s="18">
        <f>IF(AV289="","",--(AV289='Codebook'!$F$41))</f>
        <v>0</v>
      </c>
      <c r="CO289" s="18">
        <f>IF(AW289="","",--(AW289='Codebook'!$F$42))</f>
        <v>0</v>
      </c>
      <c r="CP289" s="18">
        <f>IF(AX289="","",--(AX289='Codebook'!$F$43))</f>
        <v>0</v>
      </c>
      <c r="CQ289" s="18">
        <f>IF(AY289="","",--(AY289='Codebook'!$F$44))</f>
        <v>0</v>
      </c>
      <c r="CR289" s="18">
        <f>IF(AZ289="","",--(AZ289='Codebook'!$F$45))</f>
        <v>0</v>
      </c>
    </row>
    <row r="290" spans="2:96" ht="24" customHeight="1">
      <c r="B290" s="18">
        <v>285</v>
      </c>
      <c r="C290" s="23">
        <v>46290.45567090277</v>
      </c>
      <c r="D290" s="21" t="s">
        <v>268</v>
      </c>
      <c r="E290" s="21" t="s">
        <v>206</v>
      </c>
      <c r="F290" s="21" t="s">
        <v>212</v>
      </c>
      <c r="G290" s="17" t="s">
        <v>202</v>
      </c>
      <c r="H290" s="21" t="s">
        <v>197</v>
      </c>
      <c r="I290" s="18">
        <f>SUM(BL290:BU290)</f>
        <v>6</v>
      </c>
      <c r="J290" s="18">
        <f>IF(COUNT(BV290:CD290)=9,SUM(BV290:CD290),"")</f>
        <v>5</v>
      </c>
      <c r="K290" s="18">
        <f>SUM(BL290:CD290)</f>
        <v>11</v>
      </c>
      <c r="L290" s="18">
        <f>--(K290&gt;='Codebook'!$C$8)</f>
        <v>0</v>
      </c>
      <c r="M290" s="18">
        <f>--(COUNT(BL290:CD290)=19)</f>
        <v>1</v>
      </c>
      <c r="N290" s="18">
        <f>SUM(CE290:CL290)</f>
        <v>7</v>
      </c>
      <c r="O290" s="18">
        <f>SUM(CM290:CR290)</f>
        <v>1</v>
      </c>
      <c r="P290" s="18">
        <f>N290+O290</f>
        <v>8</v>
      </c>
      <c r="Q290" s="21" t="s">
        <v>198</v>
      </c>
      <c r="R290" s="17" t="s">
        <v>152</v>
      </c>
      <c r="S290" s="18">
        <f>--OR(Overview!$B$6="All",E290=Overview!$B$6)*--OR(Overview!$F$6="All",F290=Overview!$F$6)*--OR(Overview!$J$6="All",G290=Overview!$J$6)*--OR(Overview!$N$6="All",H290=Overview!$N$6)</f>
        <v>1</v>
      </c>
      <c r="T290" s="21" t="s">
        <v>22</v>
      </c>
      <c r="U290" s="21" t="s">
        <v>22</v>
      </c>
      <c r="V290" s="21" t="s">
        <v>22</v>
      </c>
      <c r="W290" s="21" t="s">
        <v>22</v>
      </c>
      <c r="X290" s="21" t="s">
        <v>22</v>
      </c>
      <c r="Y290" s="21" t="s">
        <v>22</v>
      </c>
      <c r="Z290" s="21" t="s">
        <v>22</v>
      </c>
      <c r="AA290" s="21" t="s">
        <v>22</v>
      </c>
      <c r="AB290" s="21" t="s">
        <v>22</v>
      </c>
      <c r="AC290" s="21" t="s">
        <v>22</v>
      </c>
      <c r="AD290" s="21" t="s">
        <v>22</v>
      </c>
      <c r="AE290" s="21" t="s">
        <v>22</v>
      </c>
      <c r="AF290" s="21" t="s">
        <v>22</v>
      </c>
      <c r="AG290" s="21" t="s">
        <v>22</v>
      </c>
      <c r="AH290" s="21" t="s">
        <v>22</v>
      </c>
      <c r="AI290" s="21" t="s">
        <v>22</v>
      </c>
      <c r="AJ290" s="21" t="s">
        <v>22</v>
      </c>
      <c r="AK290" s="21" t="s">
        <v>22</v>
      </c>
      <c r="AL290" s="21" t="s">
        <v>22</v>
      </c>
      <c r="AM290" s="21" t="s">
        <v>83</v>
      </c>
      <c r="AN290" s="21" t="s">
        <v>83</v>
      </c>
      <c r="AO290" s="21" t="s">
        <v>83</v>
      </c>
      <c r="AP290" s="21" t="s">
        <v>83</v>
      </c>
      <c r="AQ290" s="21" t="s">
        <v>83</v>
      </c>
      <c r="AR290" s="21" t="s">
        <v>109</v>
      </c>
      <c r="AS290" s="21" t="s">
        <v>83</v>
      </c>
      <c r="AT290" s="21" t="s">
        <v>83</v>
      </c>
      <c r="AU290" s="21" t="s">
        <v>83</v>
      </c>
      <c r="AV290" s="21" t="s">
        <v>83</v>
      </c>
      <c r="AW290" s="21" t="s">
        <v>83</v>
      </c>
      <c r="AX290" s="21" t="s">
        <v>198</v>
      </c>
      <c r="AY290" s="21" t="s">
        <v>109</v>
      </c>
      <c r="AZ290" s="21" t="s">
        <v>83</v>
      </c>
      <c r="BA290" s="17" t="s">
        <v>317</v>
      </c>
      <c r="BB290" s="17" t="s">
        <v>223</v>
      </c>
      <c r="BC290" s="18">
        <f>--ISNUMBER(SEARCH("Radio or television",BA290))</f>
        <v>1</v>
      </c>
      <c r="BD290" s="18">
        <f>--ISNUMBER(SEARCH("Newspapers or print media",BA290))</f>
        <v>0</v>
      </c>
      <c r="BE290" s="18">
        <f>--ISNUMBER(SEARCH("Social media (e.g. Facebook, WhatsApp, YouTube, X/Twitter)",BA290))</f>
        <v>0</v>
      </c>
      <c r="BF290" s="18">
        <f>--ISNUMBER(SEARCH("Family members",BA290))</f>
        <v>0</v>
      </c>
      <c r="BG290" s="18">
        <f>--ISNUMBER(SEARCH("Friends or fellow students",BA290))</f>
        <v>1</v>
      </c>
      <c r="BH290" s="18">
        <f>--ISNUMBER(SEARCH("School coursework or lectures",BA290))</f>
        <v>0</v>
      </c>
      <c r="BI290" s="18">
        <f>--ISNUMBER(SEARCH("NHIMA outreach activities or NHIMA offices",BA290))</f>
        <v>0</v>
      </c>
      <c r="BJ290" s="18">
        <f>--ISNUMBER(SEARCH("Health facility staff",BA290))</f>
        <v>0</v>
      </c>
      <c r="BK290" s="18">
        <f>--ISNUMBER(SEARCH("not received information",BA290))</f>
        <v>0</v>
      </c>
      <c r="BL290" s="18">
        <f>IF(T290="","",--(T290='Codebook'!$F$13))</f>
        <v>1</v>
      </c>
      <c r="BM290" s="18">
        <f>IF(U290="","",--(U290='Codebook'!$F$14))</f>
        <v>0</v>
      </c>
      <c r="BN290" s="18">
        <f>IF(V290="","",--(V290='Codebook'!$F$15))</f>
        <v>0</v>
      </c>
      <c r="BO290" s="18">
        <f>IF(W290="","",--(W290='Codebook'!$F$16))</f>
        <v>1</v>
      </c>
      <c r="BP290" s="18">
        <f>IF(X290="","",--(X290='Codebook'!$F$17))</f>
        <v>1</v>
      </c>
      <c r="BQ290" s="18">
        <f>IF(Y290="","",--(Y290='Codebook'!$F$18))</f>
        <v>0</v>
      </c>
      <c r="BR290" s="18">
        <f>IF(Z290="","",--(Z290='Codebook'!$F$19))</f>
        <v>1</v>
      </c>
      <c r="BS290" s="18">
        <f>IF(AA290="","",--(AA290='Codebook'!$F$20))</f>
        <v>1</v>
      </c>
      <c r="BT290" s="18">
        <f>IF(AB290="","",--(AB290='Codebook'!$F$21))</f>
        <v>0</v>
      </c>
      <c r="BU290" s="18">
        <f>IF(AC290="","",--(AC290='Codebook'!$F$22))</f>
        <v>1</v>
      </c>
      <c r="BV290" s="18">
        <f>IF(AD290="","",--(AD290='Codebook'!$F$23))</f>
        <v>1</v>
      </c>
      <c r="BW290" s="18">
        <f>IF(AE290="","",--(AE290='Codebook'!$F$24))</f>
        <v>1</v>
      </c>
      <c r="BX290" s="18">
        <f>IF(AF290="","",--(AF290='Codebook'!$F$25))</f>
        <v>0</v>
      </c>
      <c r="BY290" s="18">
        <f>IF(AG290="","",--(AG290='Codebook'!$F$26))</f>
        <v>1</v>
      </c>
      <c r="BZ290" s="18">
        <f>IF(AH290="","",--(AH290='Codebook'!$F$27))</f>
        <v>1</v>
      </c>
      <c r="CA290" s="18">
        <f>IF(AI290="","",--(AI290='Codebook'!$F$28))</f>
        <v>0</v>
      </c>
      <c r="CB290" s="18">
        <f>IF(AJ290="","",--(AJ290='Codebook'!$F$29))</f>
        <v>0</v>
      </c>
      <c r="CC290" s="18">
        <f>IF(AK290="","",--(AK290='Codebook'!$F$30))</f>
        <v>1</v>
      </c>
      <c r="CD290" s="18">
        <f>IF(AL290="","",--(AL290='Codebook'!$F$31))</f>
        <v>0</v>
      </c>
      <c r="CE290" s="18">
        <f>IF(AM290="","",--(AM290='Codebook'!$F$32))</f>
        <v>1</v>
      </c>
      <c r="CF290" s="18">
        <f>IF(AN290="","",--(AN290='Codebook'!$F$33))</f>
        <v>1</v>
      </c>
      <c r="CG290" s="18">
        <f>IF(AO290="","",--(AO290='Codebook'!$F$34))</f>
        <v>1</v>
      </c>
      <c r="CH290" s="18">
        <f>IF(AP290="","",--(AP290='Codebook'!$F$35))</f>
        <v>1</v>
      </c>
      <c r="CI290" s="18">
        <f>IF(AQ290="","",--(AQ290='Codebook'!$F$36))</f>
        <v>1</v>
      </c>
      <c r="CJ290" s="18">
        <f>IF(AR290="","",--(AR290='Codebook'!$F$37))</f>
        <v>0</v>
      </c>
      <c r="CK290" s="18">
        <f>IF(AS290="","",--(AS290='Codebook'!$F$38))</f>
        <v>1</v>
      </c>
      <c r="CL290" s="18">
        <f>IF(AT290="","",--(AT290='Codebook'!$F$39))</f>
        <v>1</v>
      </c>
      <c r="CM290" s="18">
        <f>IF(AU290="","",--(AU290='Codebook'!$F$40))</f>
        <v>0</v>
      </c>
      <c r="CN290" s="18">
        <f>IF(AV290="","",--(AV290='Codebook'!$F$41))</f>
        <v>0</v>
      </c>
      <c r="CO290" s="18">
        <f>IF(AW290="","",--(AW290='Codebook'!$F$42))</f>
        <v>0</v>
      </c>
      <c r="CP290" s="18">
        <f>IF(AX290="","",--(AX290='Codebook'!$F$43))</f>
        <v>0</v>
      </c>
      <c r="CQ290" s="18">
        <f>IF(AY290="","",--(AY290='Codebook'!$F$44))</f>
        <v>1</v>
      </c>
      <c r="CR290" s="18">
        <f>IF(AZ290="","",--(AZ290='Codebook'!$F$45))</f>
        <v>0</v>
      </c>
    </row>
    <row r="291" spans="2:96" ht="24" customHeight="1">
      <c r="B291" s="18">
        <v>286</v>
      </c>
      <c r="C291" s="23">
        <v>46290.45630277778</v>
      </c>
      <c r="D291" s="21" t="s">
        <v>275</v>
      </c>
      <c r="E291" s="21" t="s">
        <v>194</v>
      </c>
      <c r="F291" s="21" t="s">
        <v>201</v>
      </c>
      <c r="G291" s="17" t="s">
        <v>224</v>
      </c>
      <c r="H291" s="21" t="s">
        <v>197</v>
      </c>
      <c r="I291" s="18">
        <f>SUM(BL291:BU291)</f>
        <v>5</v>
      </c>
      <c r="J291" s="18">
        <f>IF(COUNT(BV291:CD291)=9,SUM(BV291:CD291),"")</f>
        <v>5</v>
      </c>
      <c r="K291" s="18">
        <f>SUM(BL291:CD291)</f>
        <v>10</v>
      </c>
      <c r="L291" s="18">
        <f>--(K291&gt;='Codebook'!$C$8)</f>
        <v>0</v>
      </c>
      <c r="M291" s="18">
        <f>--(COUNT(BL291:CD291)=19)</f>
        <v>1</v>
      </c>
      <c r="N291" s="18">
        <f>SUM(CE291:CL291)</f>
        <v>5</v>
      </c>
      <c r="O291" s="18">
        <f>SUM(CM291:CR291)</f>
        <v>2</v>
      </c>
      <c r="P291" s="18">
        <f>N291+O291</f>
        <v>7</v>
      </c>
      <c r="Q291" s="21" t="s">
        <v>198</v>
      </c>
      <c r="R291" s="17" t="s">
        <v>156</v>
      </c>
      <c r="S291" s="18">
        <f>--OR(Overview!$B$6="All",E291=Overview!$B$6)*--OR(Overview!$F$6="All",F291=Overview!$F$6)*--OR(Overview!$J$6="All",G291=Overview!$J$6)*--OR(Overview!$N$6="All",H291=Overview!$N$6)</f>
        <v>1</v>
      </c>
      <c r="T291" s="21" t="s">
        <v>26</v>
      </c>
      <c r="U291" s="21" t="s">
        <v>22</v>
      </c>
      <c r="V291" s="21" t="s">
        <v>22</v>
      </c>
      <c r="W291" s="21" t="s">
        <v>22</v>
      </c>
      <c r="X291" s="21" t="s">
        <v>22</v>
      </c>
      <c r="Y291" s="21" t="s">
        <v>22</v>
      </c>
      <c r="Z291" s="21" t="s">
        <v>22</v>
      </c>
      <c r="AA291" s="21" t="s">
        <v>22</v>
      </c>
      <c r="AB291" s="21" t="s">
        <v>22</v>
      </c>
      <c r="AC291" s="21" t="s">
        <v>22</v>
      </c>
      <c r="AD291" s="21" t="s">
        <v>22</v>
      </c>
      <c r="AE291" s="21" t="s">
        <v>22</v>
      </c>
      <c r="AF291" s="21" t="s">
        <v>22</v>
      </c>
      <c r="AG291" s="21" t="s">
        <v>22</v>
      </c>
      <c r="AH291" s="21" t="s">
        <v>22</v>
      </c>
      <c r="AI291" s="21" t="s">
        <v>22</v>
      </c>
      <c r="AJ291" s="21" t="s">
        <v>22</v>
      </c>
      <c r="AK291" s="21" t="s">
        <v>22</v>
      </c>
      <c r="AL291" s="21" t="s">
        <v>22</v>
      </c>
      <c r="AM291" s="21" t="s">
        <v>83</v>
      </c>
      <c r="AN291" s="21" t="s">
        <v>109</v>
      </c>
      <c r="AO291" s="21" t="s">
        <v>83</v>
      </c>
      <c r="AP291" s="21" t="s">
        <v>83</v>
      </c>
      <c r="AQ291" s="21" t="s">
        <v>83</v>
      </c>
      <c r="AR291" s="21" t="s">
        <v>109</v>
      </c>
      <c r="AS291" s="21" t="s">
        <v>83</v>
      </c>
      <c r="AT291" s="21" t="s">
        <v>109</v>
      </c>
      <c r="AU291" s="21" t="s">
        <v>109</v>
      </c>
      <c r="AV291" s="21" t="s">
        <v>83</v>
      </c>
      <c r="AW291" s="21" t="s">
        <v>83</v>
      </c>
      <c r="AX291" s="21" t="s">
        <v>109</v>
      </c>
      <c r="AY291" s="21" t="s">
        <v>198</v>
      </c>
      <c r="AZ291" s="21" t="s">
        <v>198</v>
      </c>
      <c r="BA291" s="17" t="s">
        <v>298</v>
      </c>
      <c r="BB291" s="17" t="s">
        <v>313</v>
      </c>
      <c r="BC291" s="18">
        <f>--ISNUMBER(SEARCH("Radio or television",BA291))</f>
        <v>1</v>
      </c>
      <c r="BD291" s="18">
        <f>--ISNUMBER(SEARCH("Newspapers or print media",BA291))</f>
        <v>0</v>
      </c>
      <c r="BE291" s="18">
        <f>--ISNUMBER(SEARCH("Social media (e.g. Facebook, WhatsApp, YouTube, X/Twitter)",BA291))</f>
        <v>0</v>
      </c>
      <c r="BF291" s="18">
        <f>--ISNUMBER(SEARCH("Family members",BA291))</f>
        <v>1</v>
      </c>
      <c r="BG291" s="18">
        <f>--ISNUMBER(SEARCH("Friends or fellow students",BA291))</f>
        <v>1</v>
      </c>
      <c r="BH291" s="18">
        <f>--ISNUMBER(SEARCH("School coursework or lectures",BA291))</f>
        <v>0</v>
      </c>
      <c r="BI291" s="18">
        <f>--ISNUMBER(SEARCH("NHIMA outreach activities or NHIMA offices",BA291))</f>
        <v>0</v>
      </c>
      <c r="BJ291" s="18">
        <f>--ISNUMBER(SEARCH("Health facility staff",BA291))</f>
        <v>0</v>
      </c>
      <c r="BK291" s="18">
        <f>--ISNUMBER(SEARCH("not received information",BA291))</f>
        <v>0</v>
      </c>
      <c r="BL291" s="18">
        <f>IF(T291="","",--(T291='Codebook'!$F$13))</f>
        <v>0</v>
      </c>
      <c r="BM291" s="18">
        <f>IF(U291="","",--(U291='Codebook'!$F$14))</f>
        <v>0</v>
      </c>
      <c r="BN291" s="18">
        <f>IF(V291="","",--(V291='Codebook'!$F$15))</f>
        <v>0</v>
      </c>
      <c r="BO291" s="18">
        <f>IF(W291="","",--(W291='Codebook'!$F$16))</f>
        <v>1</v>
      </c>
      <c r="BP291" s="18">
        <f>IF(X291="","",--(X291='Codebook'!$F$17))</f>
        <v>1</v>
      </c>
      <c r="BQ291" s="18">
        <f>IF(Y291="","",--(Y291='Codebook'!$F$18))</f>
        <v>0</v>
      </c>
      <c r="BR291" s="18">
        <f>IF(Z291="","",--(Z291='Codebook'!$F$19))</f>
        <v>1</v>
      </c>
      <c r="BS291" s="18">
        <f>IF(AA291="","",--(AA291='Codebook'!$F$20))</f>
        <v>1</v>
      </c>
      <c r="BT291" s="18">
        <f>IF(AB291="","",--(AB291='Codebook'!$F$21))</f>
        <v>0</v>
      </c>
      <c r="BU291" s="18">
        <f>IF(AC291="","",--(AC291='Codebook'!$F$22))</f>
        <v>1</v>
      </c>
      <c r="BV291" s="18">
        <f>IF(AD291="","",--(AD291='Codebook'!$F$23))</f>
        <v>1</v>
      </c>
      <c r="BW291" s="18">
        <f>IF(AE291="","",--(AE291='Codebook'!$F$24))</f>
        <v>1</v>
      </c>
      <c r="BX291" s="18">
        <f>IF(AF291="","",--(AF291='Codebook'!$F$25))</f>
        <v>0</v>
      </c>
      <c r="BY291" s="18">
        <f>IF(AG291="","",--(AG291='Codebook'!$F$26))</f>
        <v>1</v>
      </c>
      <c r="BZ291" s="18">
        <f>IF(AH291="","",--(AH291='Codebook'!$F$27))</f>
        <v>1</v>
      </c>
      <c r="CA291" s="18">
        <f>IF(AI291="","",--(AI291='Codebook'!$F$28))</f>
        <v>0</v>
      </c>
      <c r="CB291" s="18">
        <f>IF(AJ291="","",--(AJ291='Codebook'!$F$29))</f>
        <v>0</v>
      </c>
      <c r="CC291" s="18">
        <f>IF(AK291="","",--(AK291='Codebook'!$F$30))</f>
        <v>1</v>
      </c>
      <c r="CD291" s="18">
        <f>IF(AL291="","",--(AL291='Codebook'!$F$31))</f>
        <v>0</v>
      </c>
      <c r="CE291" s="18">
        <f>IF(AM291="","",--(AM291='Codebook'!$F$32))</f>
        <v>1</v>
      </c>
      <c r="CF291" s="18">
        <f>IF(AN291="","",--(AN291='Codebook'!$F$33))</f>
        <v>0</v>
      </c>
      <c r="CG291" s="18">
        <f>IF(AO291="","",--(AO291='Codebook'!$F$34))</f>
        <v>1</v>
      </c>
      <c r="CH291" s="18">
        <f>IF(AP291="","",--(AP291='Codebook'!$F$35))</f>
        <v>1</v>
      </c>
      <c r="CI291" s="18">
        <f>IF(AQ291="","",--(AQ291='Codebook'!$F$36))</f>
        <v>1</v>
      </c>
      <c r="CJ291" s="18">
        <f>IF(AR291="","",--(AR291='Codebook'!$F$37))</f>
        <v>0</v>
      </c>
      <c r="CK291" s="18">
        <f>IF(AS291="","",--(AS291='Codebook'!$F$38))</f>
        <v>1</v>
      </c>
      <c r="CL291" s="18">
        <f>IF(AT291="","",--(AT291='Codebook'!$F$39))</f>
        <v>0</v>
      </c>
      <c r="CM291" s="18">
        <f>IF(AU291="","",--(AU291='Codebook'!$F$40))</f>
        <v>1</v>
      </c>
      <c r="CN291" s="18">
        <f>IF(AV291="","",--(AV291='Codebook'!$F$41))</f>
        <v>0</v>
      </c>
      <c r="CO291" s="18">
        <f>IF(AW291="","",--(AW291='Codebook'!$F$42))</f>
        <v>0</v>
      </c>
      <c r="CP291" s="18">
        <f>IF(AX291="","",--(AX291='Codebook'!$F$43))</f>
        <v>1</v>
      </c>
      <c r="CQ291" s="18">
        <f>IF(AY291="","",--(AY291='Codebook'!$F$44))</f>
        <v>0</v>
      </c>
      <c r="CR291" s="18">
        <f>IF(AZ291="","",--(AZ291='Codebook'!$F$45))</f>
        <v>0</v>
      </c>
    </row>
    <row r="292" spans="2:96" ht="24" customHeight="1">
      <c r="B292" s="18">
        <v>287</v>
      </c>
      <c r="C292" s="23">
        <v>46290.45693540509</v>
      </c>
      <c r="D292" s="21" t="s">
        <v>275</v>
      </c>
      <c r="E292" s="21" t="s">
        <v>206</v>
      </c>
      <c r="F292" s="21" t="s">
        <v>195</v>
      </c>
      <c r="G292" s="17" t="s">
        <v>196</v>
      </c>
      <c r="H292" s="21" t="s">
        <v>198</v>
      </c>
      <c r="I292" s="18">
        <f>SUM(BL292:BU292)</f>
        <v>5</v>
      </c>
      <c r="J292" s="18">
        <f>IF(COUNT(BV292:CD292)=9,SUM(BV292:CD292),"")</f>
        <v>4</v>
      </c>
      <c r="K292" s="18">
        <f>SUM(BL292:CD292)</f>
        <v>9</v>
      </c>
      <c r="L292" s="18">
        <f>--(K292&gt;='Codebook'!$C$8)</f>
        <v>0</v>
      </c>
      <c r="M292" s="18">
        <f>--(COUNT(BL292:CD292)=19)</f>
        <v>1</v>
      </c>
      <c r="N292" s="18">
        <f>SUM(CE292:CL292)</f>
        <v>7</v>
      </c>
      <c r="O292" s="18">
        <f>SUM(CM292:CR292)</f>
        <v>1</v>
      </c>
      <c r="P292" s="18">
        <f>N292+O292</f>
        <v>8</v>
      </c>
      <c r="Q292" s="21" t="s">
        <v>198</v>
      </c>
      <c r="R292" s="17" t="s">
        <v>152</v>
      </c>
      <c r="S292" s="18">
        <f>--OR(Overview!$B$6="All",E292=Overview!$B$6)*--OR(Overview!$F$6="All",F292=Overview!$F$6)*--OR(Overview!$J$6="All",G292=Overview!$J$6)*--OR(Overview!$N$6="All",H292=Overview!$N$6)</f>
        <v>1</v>
      </c>
      <c r="T292" s="21" t="s">
        <v>22</v>
      </c>
      <c r="U292" s="21" t="s">
        <v>22</v>
      </c>
      <c r="V292" s="21" t="s">
        <v>22</v>
      </c>
      <c r="W292" s="21" t="s">
        <v>22</v>
      </c>
      <c r="X292" s="21" t="s">
        <v>22</v>
      </c>
      <c r="Y292" s="21" t="s">
        <v>22</v>
      </c>
      <c r="Z292" s="21" t="s">
        <v>22</v>
      </c>
      <c r="AA292" s="21" t="s">
        <v>26</v>
      </c>
      <c r="AB292" s="21" t="s">
        <v>22</v>
      </c>
      <c r="AC292" s="21" t="s">
        <v>22</v>
      </c>
      <c r="AD292" s="21" t="s">
        <v>22</v>
      </c>
      <c r="AE292" s="21" t="s">
        <v>22</v>
      </c>
      <c r="AF292" s="21" t="s">
        <v>22</v>
      </c>
      <c r="AG292" s="21" t="s">
        <v>22</v>
      </c>
      <c r="AH292" s="21" t="s">
        <v>22</v>
      </c>
      <c r="AI292" s="21" t="s">
        <v>22</v>
      </c>
      <c r="AJ292" s="21" t="s">
        <v>22</v>
      </c>
      <c r="AK292" s="21" t="s">
        <v>198</v>
      </c>
      <c r="AL292" s="21" t="s">
        <v>22</v>
      </c>
      <c r="AM292" s="21" t="s">
        <v>83</v>
      </c>
      <c r="AN292" s="21" t="s">
        <v>83</v>
      </c>
      <c r="AO292" s="21" t="s">
        <v>109</v>
      </c>
      <c r="AP292" s="21" t="s">
        <v>83</v>
      </c>
      <c r="AQ292" s="21" t="s">
        <v>83</v>
      </c>
      <c r="AR292" s="21" t="s">
        <v>83</v>
      </c>
      <c r="AS292" s="21" t="s">
        <v>83</v>
      </c>
      <c r="AT292" s="21" t="s">
        <v>83</v>
      </c>
      <c r="AU292" s="21" t="s">
        <v>109</v>
      </c>
      <c r="AV292" s="21" t="s">
        <v>83</v>
      </c>
      <c r="AW292" s="21" t="s">
        <v>83</v>
      </c>
      <c r="AX292" s="21" t="s">
        <v>83</v>
      </c>
      <c r="AY292" s="21" t="s">
        <v>83</v>
      </c>
      <c r="AZ292" s="21" t="s">
        <v>83</v>
      </c>
      <c r="BA292" s="17" t="s">
        <v>292</v>
      </c>
      <c r="BB292" s="17" t="s">
        <v>223</v>
      </c>
      <c r="BC292" s="18">
        <f>--ISNUMBER(SEARCH("Radio or television",BA292))</f>
        <v>1</v>
      </c>
      <c r="BD292" s="18">
        <f>--ISNUMBER(SEARCH("Newspapers or print media",BA292))</f>
        <v>0</v>
      </c>
      <c r="BE292" s="18">
        <f>--ISNUMBER(SEARCH("Social media (e.g. Facebook, WhatsApp, YouTube, X/Twitter)",BA292))</f>
        <v>1</v>
      </c>
      <c r="BF292" s="18">
        <f>--ISNUMBER(SEARCH("Family members",BA292))</f>
        <v>0</v>
      </c>
      <c r="BG292" s="18">
        <f>--ISNUMBER(SEARCH("Friends or fellow students",BA292))</f>
        <v>1</v>
      </c>
      <c r="BH292" s="18">
        <f>--ISNUMBER(SEARCH("School coursework or lectures",BA292))</f>
        <v>0</v>
      </c>
      <c r="BI292" s="18">
        <f>--ISNUMBER(SEARCH("NHIMA outreach activities or NHIMA offices",BA292))</f>
        <v>0</v>
      </c>
      <c r="BJ292" s="18">
        <f>--ISNUMBER(SEARCH("Health facility staff",BA292))</f>
        <v>0</v>
      </c>
      <c r="BK292" s="18">
        <f>--ISNUMBER(SEARCH("not received information",BA292))</f>
        <v>0</v>
      </c>
      <c r="BL292" s="18">
        <f>IF(T292="","",--(T292='Codebook'!$F$13))</f>
        <v>1</v>
      </c>
      <c r="BM292" s="18">
        <f>IF(U292="","",--(U292='Codebook'!$F$14))</f>
        <v>0</v>
      </c>
      <c r="BN292" s="18">
        <f>IF(V292="","",--(V292='Codebook'!$F$15))</f>
        <v>0</v>
      </c>
      <c r="BO292" s="18">
        <f>IF(W292="","",--(W292='Codebook'!$F$16))</f>
        <v>1</v>
      </c>
      <c r="BP292" s="18">
        <f>IF(X292="","",--(X292='Codebook'!$F$17))</f>
        <v>1</v>
      </c>
      <c r="BQ292" s="18">
        <f>IF(Y292="","",--(Y292='Codebook'!$F$18))</f>
        <v>0</v>
      </c>
      <c r="BR292" s="18">
        <f>IF(Z292="","",--(Z292='Codebook'!$F$19))</f>
        <v>1</v>
      </c>
      <c r="BS292" s="18">
        <f>IF(AA292="","",--(AA292='Codebook'!$F$20))</f>
        <v>0</v>
      </c>
      <c r="BT292" s="18">
        <f>IF(AB292="","",--(AB292='Codebook'!$F$21))</f>
        <v>0</v>
      </c>
      <c r="BU292" s="18">
        <f>IF(AC292="","",--(AC292='Codebook'!$F$22))</f>
        <v>1</v>
      </c>
      <c r="BV292" s="18">
        <f>IF(AD292="","",--(AD292='Codebook'!$F$23))</f>
        <v>1</v>
      </c>
      <c r="BW292" s="18">
        <f>IF(AE292="","",--(AE292='Codebook'!$F$24))</f>
        <v>1</v>
      </c>
      <c r="BX292" s="18">
        <f>IF(AF292="","",--(AF292='Codebook'!$F$25))</f>
        <v>0</v>
      </c>
      <c r="BY292" s="18">
        <f>IF(AG292="","",--(AG292='Codebook'!$F$26))</f>
        <v>1</v>
      </c>
      <c r="BZ292" s="18">
        <f>IF(AH292="","",--(AH292='Codebook'!$F$27))</f>
        <v>1</v>
      </c>
      <c r="CA292" s="18">
        <f>IF(AI292="","",--(AI292='Codebook'!$F$28))</f>
        <v>0</v>
      </c>
      <c r="CB292" s="18">
        <f>IF(AJ292="","",--(AJ292='Codebook'!$F$29))</f>
        <v>0</v>
      </c>
      <c r="CC292" s="18">
        <f>IF(AK292="","",--(AK292='Codebook'!$F$30))</f>
        <v>0</v>
      </c>
      <c r="CD292" s="18">
        <f>IF(AL292="","",--(AL292='Codebook'!$F$31))</f>
        <v>0</v>
      </c>
      <c r="CE292" s="18">
        <f>IF(AM292="","",--(AM292='Codebook'!$F$32))</f>
        <v>1</v>
      </c>
      <c r="CF292" s="18">
        <f>IF(AN292="","",--(AN292='Codebook'!$F$33))</f>
        <v>1</v>
      </c>
      <c r="CG292" s="18">
        <f>IF(AO292="","",--(AO292='Codebook'!$F$34))</f>
        <v>0</v>
      </c>
      <c r="CH292" s="18">
        <f>IF(AP292="","",--(AP292='Codebook'!$F$35))</f>
        <v>1</v>
      </c>
      <c r="CI292" s="18">
        <f>IF(AQ292="","",--(AQ292='Codebook'!$F$36))</f>
        <v>1</v>
      </c>
      <c r="CJ292" s="18">
        <f>IF(AR292="","",--(AR292='Codebook'!$F$37))</f>
        <v>1</v>
      </c>
      <c r="CK292" s="18">
        <f>IF(AS292="","",--(AS292='Codebook'!$F$38))</f>
        <v>1</v>
      </c>
      <c r="CL292" s="18">
        <f>IF(AT292="","",--(AT292='Codebook'!$F$39))</f>
        <v>1</v>
      </c>
      <c r="CM292" s="18">
        <f>IF(AU292="","",--(AU292='Codebook'!$F$40))</f>
        <v>1</v>
      </c>
      <c r="CN292" s="18">
        <f>IF(AV292="","",--(AV292='Codebook'!$F$41))</f>
        <v>0</v>
      </c>
      <c r="CO292" s="18">
        <f>IF(AW292="","",--(AW292='Codebook'!$F$42))</f>
        <v>0</v>
      </c>
      <c r="CP292" s="18">
        <f>IF(AX292="","",--(AX292='Codebook'!$F$43))</f>
        <v>0</v>
      </c>
      <c r="CQ292" s="18">
        <f>IF(AY292="","",--(AY292='Codebook'!$F$44))</f>
        <v>0</v>
      </c>
      <c r="CR292" s="18">
        <f>IF(AZ292="","",--(AZ292='Codebook'!$F$45))</f>
        <v>0</v>
      </c>
    </row>
    <row r="293" spans="2:96" ht="24" customHeight="1">
      <c r="B293" s="18">
        <v>288</v>
      </c>
      <c r="C293" s="23">
        <v>46290.45755206019</v>
      </c>
      <c r="D293" s="21" t="s">
        <v>275</v>
      </c>
      <c r="E293" s="21" t="s">
        <v>194</v>
      </c>
      <c r="F293" s="21" t="s">
        <v>226</v>
      </c>
      <c r="G293" s="17" t="s">
        <v>224</v>
      </c>
      <c r="H293" s="21" t="s">
        <v>207</v>
      </c>
      <c r="I293" s="18">
        <f>SUM(BL293:BU293)</f>
        <v>6</v>
      </c>
      <c r="J293" s="18">
        <f>IF(COUNT(BV293:CD293)=9,SUM(BV293:CD293),"")</f>
        <v>6</v>
      </c>
      <c r="K293" s="18">
        <f>SUM(BL293:CD293)</f>
        <v>12</v>
      </c>
      <c r="L293" s="18">
        <f>--(K293&gt;='Codebook'!$C$8)</f>
        <v>1</v>
      </c>
      <c r="M293" s="18">
        <f>--(COUNT(BL293:CD293)=19)</f>
        <v>1</v>
      </c>
      <c r="N293" s="18">
        <f>SUM(CE293:CL293)</f>
        <v>8</v>
      </c>
      <c r="O293" s="18">
        <f>SUM(CM293:CR293)</f>
        <v>1</v>
      </c>
      <c r="P293" s="18">
        <f>N293+O293</f>
        <v>9</v>
      </c>
      <c r="Q293" s="21" t="s">
        <v>197</v>
      </c>
      <c r="R293" s="17" t="s">
        <v>152</v>
      </c>
      <c r="S293" s="18">
        <f>--OR(Overview!$B$6="All",E293=Overview!$B$6)*--OR(Overview!$F$6="All",F293=Overview!$F$6)*--OR(Overview!$J$6="All",G293=Overview!$J$6)*--OR(Overview!$N$6="All",H293=Overview!$N$6)</f>
        <v>1</v>
      </c>
      <c r="T293" s="21" t="s">
        <v>22</v>
      </c>
      <c r="U293" s="21" t="s">
        <v>22</v>
      </c>
      <c r="V293" s="21" t="s">
        <v>22</v>
      </c>
      <c r="W293" s="21" t="s">
        <v>22</v>
      </c>
      <c r="X293" s="21" t="s">
        <v>22</v>
      </c>
      <c r="Y293" s="21" t="s">
        <v>22</v>
      </c>
      <c r="Z293" s="21" t="s">
        <v>22</v>
      </c>
      <c r="AA293" s="21" t="s">
        <v>22</v>
      </c>
      <c r="AB293" s="21" t="s">
        <v>22</v>
      </c>
      <c r="AC293" s="21" t="s">
        <v>22</v>
      </c>
      <c r="AD293" s="21" t="s">
        <v>22</v>
      </c>
      <c r="AE293" s="21" t="s">
        <v>22</v>
      </c>
      <c r="AF293" s="21" t="s">
        <v>22</v>
      </c>
      <c r="AG293" s="21" t="s">
        <v>22</v>
      </c>
      <c r="AH293" s="21" t="s">
        <v>22</v>
      </c>
      <c r="AI293" s="21" t="s">
        <v>22</v>
      </c>
      <c r="AJ293" s="21" t="s">
        <v>26</v>
      </c>
      <c r="AK293" s="21" t="s">
        <v>22</v>
      </c>
      <c r="AL293" s="21" t="s">
        <v>22</v>
      </c>
      <c r="AM293" s="21" t="s">
        <v>83</v>
      </c>
      <c r="AN293" s="21" t="s">
        <v>83</v>
      </c>
      <c r="AO293" s="21" t="s">
        <v>83</v>
      </c>
      <c r="AP293" s="21" t="s">
        <v>83</v>
      </c>
      <c r="AQ293" s="21" t="s">
        <v>83</v>
      </c>
      <c r="AR293" s="21" t="s">
        <v>83</v>
      </c>
      <c r="AS293" s="21" t="s">
        <v>83</v>
      </c>
      <c r="AT293" s="21" t="s">
        <v>83</v>
      </c>
      <c r="AU293" s="21" t="s">
        <v>109</v>
      </c>
      <c r="AV293" s="21" t="s">
        <v>83</v>
      </c>
      <c r="AW293" s="21" t="s">
        <v>83</v>
      </c>
      <c r="AX293" s="21" t="s">
        <v>83</v>
      </c>
      <c r="AY293" s="21" t="s">
        <v>83</v>
      </c>
      <c r="AZ293" s="21" t="s">
        <v>83</v>
      </c>
      <c r="BA293" s="17" t="s">
        <v>223</v>
      </c>
      <c r="BB293" s="17" t="s">
        <v>223</v>
      </c>
      <c r="BC293" s="18">
        <f>--ISNUMBER(SEARCH("Radio or television",BA293))</f>
        <v>1</v>
      </c>
      <c r="BD293" s="18">
        <f>--ISNUMBER(SEARCH("Newspapers or print media",BA293))</f>
        <v>0</v>
      </c>
      <c r="BE293" s="18">
        <f>--ISNUMBER(SEARCH("Social media (e.g. Facebook, WhatsApp, YouTube, X/Twitter)",BA293))</f>
        <v>0</v>
      </c>
      <c r="BF293" s="18">
        <f>--ISNUMBER(SEARCH("Family members",BA293))</f>
        <v>0</v>
      </c>
      <c r="BG293" s="18">
        <f>--ISNUMBER(SEARCH("Friends or fellow students",BA293))</f>
        <v>0</v>
      </c>
      <c r="BH293" s="18">
        <f>--ISNUMBER(SEARCH("School coursework or lectures",BA293))</f>
        <v>0</v>
      </c>
      <c r="BI293" s="18">
        <f>--ISNUMBER(SEARCH("NHIMA outreach activities or NHIMA offices",BA293))</f>
        <v>0</v>
      </c>
      <c r="BJ293" s="18">
        <f>--ISNUMBER(SEARCH("Health facility staff",BA293))</f>
        <v>0</v>
      </c>
      <c r="BK293" s="18">
        <f>--ISNUMBER(SEARCH("not received information",BA293))</f>
        <v>0</v>
      </c>
      <c r="BL293" s="18">
        <f>IF(T293="","",--(T293='Codebook'!$F$13))</f>
        <v>1</v>
      </c>
      <c r="BM293" s="18">
        <f>IF(U293="","",--(U293='Codebook'!$F$14))</f>
        <v>0</v>
      </c>
      <c r="BN293" s="18">
        <f>IF(V293="","",--(V293='Codebook'!$F$15))</f>
        <v>0</v>
      </c>
      <c r="BO293" s="18">
        <f>IF(W293="","",--(W293='Codebook'!$F$16))</f>
        <v>1</v>
      </c>
      <c r="BP293" s="18">
        <f>IF(X293="","",--(X293='Codebook'!$F$17))</f>
        <v>1</v>
      </c>
      <c r="BQ293" s="18">
        <f>IF(Y293="","",--(Y293='Codebook'!$F$18))</f>
        <v>0</v>
      </c>
      <c r="BR293" s="18">
        <f>IF(Z293="","",--(Z293='Codebook'!$F$19))</f>
        <v>1</v>
      </c>
      <c r="BS293" s="18">
        <f>IF(AA293="","",--(AA293='Codebook'!$F$20))</f>
        <v>1</v>
      </c>
      <c r="BT293" s="18">
        <f>IF(AB293="","",--(AB293='Codebook'!$F$21))</f>
        <v>0</v>
      </c>
      <c r="BU293" s="18">
        <f>IF(AC293="","",--(AC293='Codebook'!$F$22))</f>
        <v>1</v>
      </c>
      <c r="BV293" s="18">
        <f>IF(AD293="","",--(AD293='Codebook'!$F$23))</f>
        <v>1</v>
      </c>
      <c r="BW293" s="18">
        <f>IF(AE293="","",--(AE293='Codebook'!$F$24))</f>
        <v>1</v>
      </c>
      <c r="BX293" s="18">
        <f>IF(AF293="","",--(AF293='Codebook'!$F$25))</f>
        <v>0</v>
      </c>
      <c r="BY293" s="18">
        <f>IF(AG293="","",--(AG293='Codebook'!$F$26))</f>
        <v>1</v>
      </c>
      <c r="BZ293" s="18">
        <f>IF(AH293="","",--(AH293='Codebook'!$F$27))</f>
        <v>1</v>
      </c>
      <c r="CA293" s="18">
        <f>IF(AI293="","",--(AI293='Codebook'!$F$28))</f>
        <v>0</v>
      </c>
      <c r="CB293" s="18">
        <f>IF(AJ293="","",--(AJ293='Codebook'!$F$29))</f>
        <v>1</v>
      </c>
      <c r="CC293" s="18">
        <f>IF(AK293="","",--(AK293='Codebook'!$F$30))</f>
        <v>1</v>
      </c>
      <c r="CD293" s="18">
        <f>IF(AL293="","",--(AL293='Codebook'!$F$31))</f>
        <v>0</v>
      </c>
      <c r="CE293" s="18">
        <f>IF(AM293="","",--(AM293='Codebook'!$F$32))</f>
        <v>1</v>
      </c>
      <c r="CF293" s="18">
        <f>IF(AN293="","",--(AN293='Codebook'!$F$33))</f>
        <v>1</v>
      </c>
      <c r="CG293" s="18">
        <f>IF(AO293="","",--(AO293='Codebook'!$F$34))</f>
        <v>1</v>
      </c>
      <c r="CH293" s="18">
        <f>IF(AP293="","",--(AP293='Codebook'!$F$35))</f>
        <v>1</v>
      </c>
      <c r="CI293" s="18">
        <f>IF(AQ293="","",--(AQ293='Codebook'!$F$36))</f>
        <v>1</v>
      </c>
      <c r="CJ293" s="18">
        <f>IF(AR293="","",--(AR293='Codebook'!$F$37))</f>
        <v>1</v>
      </c>
      <c r="CK293" s="18">
        <f>IF(AS293="","",--(AS293='Codebook'!$F$38))</f>
        <v>1</v>
      </c>
      <c r="CL293" s="18">
        <f>IF(AT293="","",--(AT293='Codebook'!$F$39))</f>
        <v>1</v>
      </c>
      <c r="CM293" s="18">
        <f>IF(AU293="","",--(AU293='Codebook'!$F$40))</f>
        <v>1</v>
      </c>
      <c r="CN293" s="18">
        <f>IF(AV293="","",--(AV293='Codebook'!$F$41))</f>
        <v>0</v>
      </c>
      <c r="CO293" s="18">
        <f>IF(AW293="","",--(AW293='Codebook'!$F$42))</f>
        <v>0</v>
      </c>
      <c r="CP293" s="18">
        <f>IF(AX293="","",--(AX293='Codebook'!$F$43))</f>
        <v>0</v>
      </c>
      <c r="CQ293" s="18">
        <f>IF(AY293="","",--(AY293='Codebook'!$F$44))</f>
        <v>0</v>
      </c>
      <c r="CR293" s="18">
        <f>IF(AZ293="","",--(AZ293='Codebook'!$F$45))</f>
        <v>0</v>
      </c>
    </row>
    <row r="294" spans="2:96" ht="24" customHeight="1">
      <c r="B294" s="18">
        <v>289</v>
      </c>
      <c r="C294" s="23">
        <v>46290.45826282408</v>
      </c>
      <c r="D294" s="21" t="s">
        <v>275</v>
      </c>
      <c r="E294" s="21" t="s">
        <v>206</v>
      </c>
      <c r="F294" s="21" t="s">
        <v>212</v>
      </c>
      <c r="G294" s="17" t="s">
        <v>224</v>
      </c>
      <c r="H294" s="21" t="s">
        <v>197</v>
      </c>
      <c r="I294" s="18">
        <f>SUM(BL294:BU294)</f>
        <v>5</v>
      </c>
      <c r="J294" s="18">
        <f>IF(COUNT(BV294:CD294)=9,SUM(BV294:CD294),"")</f>
        <v>4</v>
      </c>
      <c r="K294" s="18">
        <f>SUM(BL294:CD294)</f>
        <v>9</v>
      </c>
      <c r="L294" s="18">
        <f>--(K294&gt;='Codebook'!$C$8)</f>
        <v>0</v>
      </c>
      <c r="M294" s="18">
        <f>--(COUNT(BL294:CD294)=19)</f>
        <v>1</v>
      </c>
      <c r="N294" s="18">
        <f>SUM(CE294:CL294)</f>
        <v>8</v>
      </c>
      <c r="O294" s="18">
        <f>SUM(CM294:CR294)</f>
        <v>1</v>
      </c>
      <c r="P294" s="18">
        <f>N294+O294</f>
        <v>9</v>
      </c>
      <c r="Q294" s="21" t="s">
        <v>197</v>
      </c>
      <c r="R294" s="17" t="s">
        <v>152</v>
      </c>
      <c r="S294" s="18">
        <f>--OR(Overview!$B$6="All",E294=Overview!$B$6)*--OR(Overview!$F$6="All",F294=Overview!$F$6)*--OR(Overview!$J$6="All",G294=Overview!$J$6)*--OR(Overview!$N$6="All",H294=Overview!$N$6)</f>
        <v>1</v>
      </c>
      <c r="T294" s="21" t="s">
        <v>22</v>
      </c>
      <c r="U294" s="21" t="s">
        <v>22</v>
      </c>
      <c r="V294" s="21" t="s">
        <v>22</v>
      </c>
      <c r="W294" s="21" t="s">
        <v>22</v>
      </c>
      <c r="X294" s="21" t="s">
        <v>22</v>
      </c>
      <c r="Y294" s="21" t="s">
        <v>26</v>
      </c>
      <c r="Z294" s="21" t="s">
        <v>198</v>
      </c>
      <c r="AA294" s="21" t="s">
        <v>22</v>
      </c>
      <c r="AB294" s="21" t="s">
        <v>22</v>
      </c>
      <c r="AC294" s="21" t="s">
        <v>198</v>
      </c>
      <c r="AD294" s="21" t="s">
        <v>22</v>
      </c>
      <c r="AE294" s="21" t="s">
        <v>22</v>
      </c>
      <c r="AF294" s="21" t="s">
        <v>22</v>
      </c>
      <c r="AG294" s="21" t="s">
        <v>26</v>
      </c>
      <c r="AH294" s="21" t="s">
        <v>22</v>
      </c>
      <c r="AI294" s="21" t="s">
        <v>22</v>
      </c>
      <c r="AJ294" s="21" t="s">
        <v>22</v>
      </c>
      <c r="AK294" s="21" t="s">
        <v>22</v>
      </c>
      <c r="AL294" s="21" t="s">
        <v>22</v>
      </c>
      <c r="AM294" s="21" t="s">
        <v>83</v>
      </c>
      <c r="AN294" s="21" t="s">
        <v>83</v>
      </c>
      <c r="AO294" s="21" t="s">
        <v>83</v>
      </c>
      <c r="AP294" s="21" t="s">
        <v>83</v>
      </c>
      <c r="AQ294" s="21" t="s">
        <v>83</v>
      </c>
      <c r="AR294" s="21" t="s">
        <v>83</v>
      </c>
      <c r="AS294" s="21" t="s">
        <v>83</v>
      </c>
      <c r="AT294" s="21" t="s">
        <v>83</v>
      </c>
      <c r="AU294" s="21" t="s">
        <v>109</v>
      </c>
      <c r="AV294" s="21" t="s">
        <v>83</v>
      </c>
      <c r="AW294" s="21" t="s">
        <v>83</v>
      </c>
      <c r="AX294" s="21" t="s">
        <v>83</v>
      </c>
      <c r="AY294" s="21" t="s">
        <v>83</v>
      </c>
      <c r="AZ294" s="21" t="s">
        <v>83</v>
      </c>
      <c r="BA294" s="17" t="s">
        <v>223</v>
      </c>
      <c r="BB294" s="17" t="s">
        <v>223</v>
      </c>
      <c r="BC294" s="18">
        <f>--ISNUMBER(SEARCH("Radio or television",BA294))</f>
        <v>1</v>
      </c>
      <c r="BD294" s="18">
        <f>--ISNUMBER(SEARCH("Newspapers or print media",BA294))</f>
        <v>0</v>
      </c>
      <c r="BE294" s="18">
        <f>--ISNUMBER(SEARCH("Social media (e.g. Facebook, WhatsApp, YouTube, X/Twitter)",BA294))</f>
        <v>0</v>
      </c>
      <c r="BF294" s="18">
        <f>--ISNUMBER(SEARCH("Family members",BA294))</f>
        <v>0</v>
      </c>
      <c r="BG294" s="18">
        <f>--ISNUMBER(SEARCH("Friends or fellow students",BA294))</f>
        <v>0</v>
      </c>
      <c r="BH294" s="18">
        <f>--ISNUMBER(SEARCH("School coursework or lectures",BA294))</f>
        <v>0</v>
      </c>
      <c r="BI294" s="18">
        <f>--ISNUMBER(SEARCH("NHIMA outreach activities or NHIMA offices",BA294))</f>
        <v>0</v>
      </c>
      <c r="BJ294" s="18">
        <f>--ISNUMBER(SEARCH("Health facility staff",BA294))</f>
        <v>0</v>
      </c>
      <c r="BK294" s="18">
        <f>--ISNUMBER(SEARCH("not received information",BA294))</f>
        <v>0</v>
      </c>
      <c r="BL294" s="18">
        <f>IF(T294="","",--(T294='Codebook'!$F$13))</f>
        <v>1</v>
      </c>
      <c r="BM294" s="18">
        <f>IF(U294="","",--(U294='Codebook'!$F$14))</f>
        <v>0</v>
      </c>
      <c r="BN294" s="18">
        <f>IF(V294="","",--(V294='Codebook'!$F$15))</f>
        <v>0</v>
      </c>
      <c r="BO294" s="18">
        <f>IF(W294="","",--(W294='Codebook'!$F$16))</f>
        <v>1</v>
      </c>
      <c r="BP294" s="18">
        <f>IF(X294="","",--(X294='Codebook'!$F$17))</f>
        <v>1</v>
      </c>
      <c r="BQ294" s="18">
        <f>IF(Y294="","",--(Y294='Codebook'!$F$18))</f>
        <v>1</v>
      </c>
      <c r="BR294" s="18">
        <f>IF(Z294="","",--(Z294='Codebook'!$F$19))</f>
        <v>0</v>
      </c>
      <c r="BS294" s="18">
        <f>IF(AA294="","",--(AA294='Codebook'!$F$20))</f>
        <v>1</v>
      </c>
      <c r="BT294" s="18">
        <f>IF(AB294="","",--(AB294='Codebook'!$F$21))</f>
        <v>0</v>
      </c>
      <c r="BU294" s="18">
        <f>IF(AC294="","",--(AC294='Codebook'!$F$22))</f>
        <v>0</v>
      </c>
      <c r="BV294" s="18">
        <f>IF(AD294="","",--(AD294='Codebook'!$F$23))</f>
        <v>1</v>
      </c>
      <c r="BW294" s="18">
        <f>IF(AE294="","",--(AE294='Codebook'!$F$24))</f>
        <v>1</v>
      </c>
      <c r="BX294" s="18">
        <f>IF(AF294="","",--(AF294='Codebook'!$F$25))</f>
        <v>0</v>
      </c>
      <c r="BY294" s="18">
        <f>IF(AG294="","",--(AG294='Codebook'!$F$26))</f>
        <v>0</v>
      </c>
      <c r="BZ294" s="18">
        <f>IF(AH294="","",--(AH294='Codebook'!$F$27))</f>
        <v>1</v>
      </c>
      <c r="CA294" s="18">
        <f>IF(AI294="","",--(AI294='Codebook'!$F$28))</f>
        <v>0</v>
      </c>
      <c r="CB294" s="18">
        <f>IF(AJ294="","",--(AJ294='Codebook'!$F$29))</f>
        <v>0</v>
      </c>
      <c r="CC294" s="18">
        <f>IF(AK294="","",--(AK294='Codebook'!$F$30))</f>
        <v>1</v>
      </c>
      <c r="CD294" s="18">
        <f>IF(AL294="","",--(AL294='Codebook'!$F$31))</f>
        <v>0</v>
      </c>
      <c r="CE294" s="18">
        <f>IF(AM294="","",--(AM294='Codebook'!$F$32))</f>
        <v>1</v>
      </c>
      <c r="CF294" s="18">
        <f>IF(AN294="","",--(AN294='Codebook'!$F$33))</f>
        <v>1</v>
      </c>
      <c r="CG294" s="18">
        <f>IF(AO294="","",--(AO294='Codebook'!$F$34))</f>
        <v>1</v>
      </c>
      <c r="CH294" s="18">
        <f>IF(AP294="","",--(AP294='Codebook'!$F$35))</f>
        <v>1</v>
      </c>
      <c r="CI294" s="18">
        <f>IF(AQ294="","",--(AQ294='Codebook'!$F$36))</f>
        <v>1</v>
      </c>
      <c r="CJ294" s="18">
        <f>IF(AR294="","",--(AR294='Codebook'!$F$37))</f>
        <v>1</v>
      </c>
      <c r="CK294" s="18">
        <f>IF(AS294="","",--(AS294='Codebook'!$F$38))</f>
        <v>1</v>
      </c>
      <c r="CL294" s="18">
        <f>IF(AT294="","",--(AT294='Codebook'!$F$39))</f>
        <v>1</v>
      </c>
      <c r="CM294" s="18">
        <f>IF(AU294="","",--(AU294='Codebook'!$F$40))</f>
        <v>1</v>
      </c>
      <c r="CN294" s="18">
        <f>IF(AV294="","",--(AV294='Codebook'!$F$41))</f>
        <v>0</v>
      </c>
      <c r="CO294" s="18">
        <f>IF(AW294="","",--(AW294='Codebook'!$F$42))</f>
        <v>0</v>
      </c>
      <c r="CP294" s="18">
        <f>IF(AX294="","",--(AX294='Codebook'!$F$43))</f>
        <v>0</v>
      </c>
      <c r="CQ294" s="18">
        <f>IF(AY294="","",--(AY294='Codebook'!$F$44))</f>
        <v>0</v>
      </c>
      <c r="CR294" s="18">
        <f>IF(AZ294="","",--(AZ294='Codebook'!$F$45))</f>
        <v>0</v>
      </c>
    </row>
    <row r="295" spans="2:96" ht="24" customHeight="1">
      <c r="B295" s="18">
        <v>290</v>
      </c>
      <c r="C295" s="23">
        <v>46290.45887297454</v>
      </c>
      <c r="D295" s="21" t="s">
        <v>275</v>
      </c>
      <c r="E295" s="21" t="s">
        <v>206</v>
      </c>
      <c r="F295" s="21" t="s">
        <v>201</v>
      </c>
      <c r="G295" s="17" t="s">
        <v>215</v>
      </c>
      <c r="H295" s="21" t="s">
        <v>197</v>
      </c>
      <c r="I295" s="18">
        <f>SUM(BL295:BU295)</f>
        <v>6</v>
      </c>
      <c r="J295" s="18">
        <f>IF(COUNT(BV295:CD295)=9,SUM(BV295:CD295),"")</f>
        <v>5</v>
      </c>
      <c r="K295" s="18">
        <f>SUM(BL295:CD295)</f>
        <v>11</v>
      </c>
      <c r="L295" s="18">
        <f>--(K295&gt;='Codebook'!$C$8)</f>
        <v>0</v>
      </c>
      <c r="M295" s="18">
        <f>--(COUNT(BL295:CD295)=19)</f>
        <v>1</v>
      </c>
      <c r="N295" s="18">
        <f>SUM(CE295:CL295)</f>
        <v>3</v>
      </c>
      <c r="O295" s="18">
        <f>SUM(CM295:CR295)</f>
        <v>0</v>
      </c>
      <c r="P295" s="18">
        <f>N295+O295</f>
        <v>3</v>
      </c>
      <c r="Q295" s="21" t="s">
        <v>197</v>
      </c>
      <c r="R295" s="17" t="s">
        <v>152</v>
      </c>
      <c r="S295" s="18">
        <f>--OR(Overview!$B$6="All",E295=Overview!$B$6)*--OR(Overview!$F$6="All",F295=Overview!$F$6)*--OR(Overview!$J$6="All",G295=Overview!$J$6)*--OR(Overview!$N$6="All",H295=Overview!$N$6)</f>
        <v>1</v>
      </c>
      <c r="T295" s="21" t="s">
        <v>22</v>
      </c>
      <c r="U295" s="21" t="s">
        <v>22</v>
      </c>
      <c r="V295" s="21" t="s">
        <v>22</v>
      </c>
      <c r="W295" s="21" t="s">
        <v>22</v>
      </c>
      <c r="X295" s="21" t="s">
        <v>22</v>
      </c>
      <c r="Y295" s="21" t="s">
        <v>22</v>
      </c>
      <c r="Z295" s="21" t="s">
        <v>22</v>
      </c>
      <c r="AA295" s="21" t="s">
        <v>22</v>
      </c>
      <c r="AB295" s="21" t="s">
        <v>22</v>
      </c>
      <c r="AC295" s="21" t="s">
        <v>22</v>
      </c>
      <c r="AD295" s="21" t="s">
        <v>22</v>
      </c>
      <c r="AE295" s="21" t="s">
        <v>22</v>
      </c>
      <c r="AF295" s="21" t="s">
        <v>22</v>
      </c>
      <c r="AG295" s="21" t="s">
        <v>22</v>
      </c>
      <c r="AH295" s="21" t="s">
        <v>22</v>
      </c>
      <c r="AI295" s="21" t="s">
        <v>22</v>
      </c>
      <c r="AJ295" s="21" t="s">
        <v>22</v>
      </c>
      <c r="AK295" s="21" t="s">
        <v>22</v>
      </c>
      <c r="AL295" s="21" t="s">
        <v>22</v>
      </c>
      <c r="AM295" s="21" t="s">
        <v>83</v>
      </c>
      <c r="AN295" s="21" t="s">
        <v>109</v>
      </c>
      <c r="AO295" s="21" t="s">
        <v>83</v>
      </c>
      <c r="AP295" s="21" t="s">
        <v>198</v>
      </c>
      <c r="AQ295" s="21" t="s">
        <v>198</v>
      </c>
      <c r="AR295" s="21" t="s">
        <v>83</v>
      </c>
      <c r="AS295" s="21" t="s">
        <v>198</v>
      </c>
      <c r="AT295" s="21" t="s">
        <v>198</v>
      </c>
      <c r="AU295" s="21" t="s">
        <v>83</v>
      </c>
      <c r="AV295" s="21" t="s">
        <v>198</v>
      </c>
      <c r="AW295" s="21" t="s">
        <v>83</v>
      </c>
      <c r="AX295" s="21" t="s">
        <v>198</v>
      </c>
      <c r="AY295" s="21" t="s">
        <v>198</v>
      </c>
      <c r="AZ295" s="21" t="s">
        <v>83</v>
      </c>
      <c r="BA295" s="17" t="s">
        <v>223</v>
      </c>
      <c r="BB295" s="17" t="s">
        <v>223</v>
      </c>
      <c r="BC295" s="18">
        <f>--ISNUMBER(SEARCH("Radio or television",BA295))</f>
        <v>1</v>
      </c>
      <c r="BD295" s="18">
        <f>--ISNUMBER(SEARCH("Newspapers or print media",BA295))</f>
        <v>0</v>
      </c>
      <c r="BE295" s="18">
        <f>--ISNUMBER(SEARCH("Social media (e.g. Facebook, WhatsApp, YouTube, X/Twitter)",BA295))</f>
        <v>0</v>
      </c>
      <c r="BF295" s="18">
        <f>--ISNUMBER(SEARCH("Family members",BA295))</f>
        <v>0</v>
      </c>
      <c r="BG295" s="18">
        <f>--ISNUMBER(SEARCH("Friends or fellow students",BA295))</f>
        <v>0</v>
      </c>
      <c r="BH295" s="18">
        <f>--ISNUMBER(SEARCH("School coursework or lectures",BA295))</f>
        <v>0</v>
      </c>
      <c r="BI295" s="18">
        <f>--ISNUMBER(SEARCH("NHIMA outreach activities or NHIMA offices",BA295))</f>
        <v>0</v>
      </c>
      <c r="BJ295" s="18">
        <f>--ISNUMBER(SEARCH("Health facility staff",BA295))</f>
        <v>0</v>
      </c>
      <c r="BK295" s="18">
        <f>--ISNUMBER(SEARCH("not received information",BA295))</f>
        <v>0</v>
      </c>
      <c r="BL295" s="18">
        <f>IF(T295="","",--(T295='Codebook'!$F$13))</f>
        <v>1</v>
      </c>
      <c r="BM295" s="18">
        <f>IF(U295="","",--(U295='Codebook'!$F$14))</f>
        <v>0</v>
      </c>
      <c r="BN295" s="18">
        <f>IF(V295="","",--(V295='Codebook'!$F$15))</f>
        <v>0</v>
      </c>
      <c r="BO295" s="18">
        <f>IF(W295="","",--(W295='Codebook'!$F$16))</f>
        <v>1</v>
      </c>
      <c r="BP295" s="18">
        <f>IF(X295="","",--(X295='Codebook'!$F$17))</f>
        <v>1</v>
      </c>
      <c r="BQ295" s="18">
        <f>IF(Y295="","",--(Y295='Codebook'!$F$18))</f>
        <v>0</v>
      </c>
      <c r="BR295" s="18">
        <f>IF(Z295="","",--(Z295='Codebook'!$F$19))</f>
        <v>1</v>
      </c>
      <c r="BS295" s="18">
        <f>IF(AA295="","",--(AA295='Codebook'!$F$20))</f>
        <v>1</v>
      </c>
      <c r="BT295" s="18">
        <f>IF(AB295="","",--(AB295='Codebook'!$F$21))</f>
        <v>0</v>
      </c>
      <c r="BU295" s="18">
        <f>IF(AC295="","",--(AC295='Codebook'!$F$22))</f>
        <v>1</v>
      </c>
      <c r="BV295" s="18">
        <f>IF(AD295="","",--(AD295='Codebook'!$F$23))</f>
        <v>1</v>
      </c>
      <c r="BW295" s="18">
        <f>IF(AE295="","",--(AE295='Codebook'!$F$24))</f>
        <v>1</v>
      </c>
      <c r="BX295" s="18">
        <f>IF(AF295="","",--(AF295='Codebook'!$F$25))</f>
        <v>0</v>
      </c>
      <c r="BY295" s="18">
        <f>IF(AG295="","",--(AG295='Codebook'!$F$26))</f>
        <v>1</v>
      </c>
      <c r="BZ295" s="18">
        <f>IF(AH295="","",--(AH295='Codebook'!$F$27))</f>
        <v>1</v>
      </c>
      <c r="CA295" s="18">
        <f>IF(AI295="","",--(AI295='Codebook'!$F$28))</f>
        <v>0</v>
      </c>
      <c r="CB295" s="18">
        <f>IF(AJ295="","",--(AJ295='Codebook'!$F$29))</f>
        <v>0</v>
      </c>
      <c r="CC295" s="18">
        <f>IF(AK295="","",--(AK295='Codebook'!$F$30))</f>
        <v>1</v>
      </c>
      <c r="CD295" s="18">
        <f>IF(AL295="","",--(AL295='Codebook'!$F$31))</f>
        <v>0</v>
      </c>
      <c r="CE295" s="18">
        <f>IF(AM295="","",--(AM295='Codebook'!$F$32))</f>
        <v>1</v>
      </c>
      <c r="CF295" s="18">
        <f>IF(AN295="","",--(AN295='Codebook'!$F$33))</f>
        <v>0</v>
      </c>
      <c r="CG295" s="18">
        <f>IF(AO295="","",--(AO295='Codebook'!$F$34))</f>
        <v>1</v>
      </c>
      <c r="CH295" s="18">
        <f>IF(AP295="","",--(AP295='Codebook'!$F$35))</f>
        <v>0</v>
      </c>
      <c r="CI295" s="18">
        <f>IF(AQ295="","",--(AQ295='Codebook'!$F$36))</f>
        <v>0</v>
      </c>
      <c r="CJ295" s="18">
        <f>IF(AR295="","",--(AR295='Codebook'!$F$37))</f>
        <v>1</v>
      </c>
      <c r="CK295" s="18">
        <f>IF(AS295="","",--(AS295='Codebook'!$F$38))</f>
        <v>0</v>
      </c>
      <c r="CL295" s="18">
        <f>IF(AT295="","",--(AT295='Codebook'!$F$39))</f>
        <v>0</v>
      </c>
      <c r="CM295" s="18">
        <f>IF(AU295="","",--(AU295='Codebook'!$F$40))</f>
        <v>0</v>
      </c>
      <c r="CN295" s="18">
        <f>IF(AV295="","",--(AV295='Codebook'!$F$41))</f>
        <v>0</v>
      </c>
      <c r="CO295" s="18">
        <f>IF(AW295="","",--(AW295='Codebook'!$F$42))</f>
        <v>0</v>
      </c>
      <c r="CP295" s="18">
        <f>IF(AX295="","",--(AX295='Codebook'!$F$43))</f>
        <v>0</v>
      </c>
      <c r="CQ295" s="18">
        <f>IF(AY295="","",--(AY295='Codebook'!$F$44))</f>
        <v>0</v>
      </c>
      <c r="CR295" s="18">
        <f>IF(AZ295="","",--(AZ295='Codebook'!$F$45))</f>
        <v>0</v>
      </c>
    </row>
    <row r="296" spans="2:96" ht="24" customHeight="1">
      <c r="B296" s="18">
        <v>291</v>
      </c>
      <c r="C296" s="23">
        <v>46290.49491372685</v>
      </c>
      <c r="D296" s="21" t="s">
        <v>275</v>
      </c>
      <c r="E296" s="21" t="s">
        <v>206</v>
      </c>
      <c r="F296" s="21" t="s">
        <v>212</v>
      </c>
      <c r="G296" s="17" t="s">
        <v>224</v>
      </c>
      <c r="H296" s="21" t="s">
        <v>197</v>
      </c>
      <c r="I296" s="18">
        <f>SUM(BL296:BU296)</f>
        <v>6</v>
      </c>
      <c r="J296" s="18">
        <f>IF(COUNT(BV296:CD296)=9,SUM(BV296:CD296),"")</f>
        <v>5</v>
      </c>
      <c r="K296" s="18">
        <f>SUM(BL296:CD296)</f>
        <v>11</v>
      </c>
      <c r="L296" s="18">
        <f>--(K296&gt;='Codebook'!$C$8)</f>
        <v>0</v>
      </c>
      <c r="M296" s="18">
        <f>--(COUNT(BL296:CD296)=19)</f>
        <v>1</v>
      </c>
      <c r="N296" s="18">
        <f>SUM(CE296:CL296)</f>
        <v>8</v>
      </c>
      <c r="O296" s="18">
        <f>SUM(CM296:CR296)</f>
        <v>2</v>
      </c>
      <c r="P296" s="18">
        <f>N296+O296</f>
        <v>10</v>
      </c>
      <c r="Q296" s="21" t="s">
        <v>207</v>
      </c>
      <c r="R296" s="17" t="s">
        <v>152</v>
      </c>
      <c r="S296" s="18">
        <f>--OR(Overview!$B$6="All",E296=Overview!$B$6)*--OR(Overview!$F$6="All",F296=Overview!$F$6)*--OR(Overview!$J$6="All",G296=Overview!$J$6)*--OR(Overview!$N$6="All",H296=Overview!$N$6)</f>
        <v>1</v>
      </c>
      <c r="T296" s="21" t="s">
        <v>22</v>
      </c>
      <c r="U296" s="21" t="s">
        <v>22</v>
      </c>
      <c r="V296" s="21" t="s">
        <v>22</v>
      </c>
      <c r="W296" s="21" t="s">
        <v>22</v>
      </c>
      <c r="X296" s="21" t="s">
        <v>22</v>
      </c>
      <c r="Y296" s="21" t="s">
        <v>22</v>
      </c>
      <c r="Z296" s="21" t="s">
        <v>22</v>
      </c>
      <c r="AA296" s="21" t="s">
        <v>22</v>
      </c>
      <c r="AB296" s="21" t="s">
        <v>22</v>
      </c>
      <c r="AC296" s="21" t="s">
        <v>22</v>
      </c>
      <c r="AD296" s="21" t="s">
        <v>22</v>
      </c>
      <c r="AE296" s="21" t="s">
        <v>22</v>
      </c>
      <c r="AF296" s="21" t="s">
        <v>22</v>
      </c>
      <c r="AG296" s="21" t="s">
        <v>22</v>
      </c>
      <c r="AH296" s="21" t="s">
        <v>22</v>
      </c>
      <c r="AI296" s="21" t="s">
        <v>22</v>
      </c>
      <c r="AJ296" s="21" t="s">
        <v>22</v>
      </c>
      <c r="AK296" s="21" t="s">
        <v>22</v>
      </c>
      <c r="AL296" s="21" t="s">
        <v>22</v>
      </c>
      <c r="AM296" s="21" t="s">
        <v>83</v>
      </c>
      <c r="AN296" s="21" t="s">
        <v>83</v>
      </c>
      <c r="AO296" s="21" t="s">
        <v>83</v>
      </c>
      <c r="AP296" s="21" t="s">
        <v>83</v>
      </c>
      <c r="AQ296" s="21" t="s">
        <v>83</v>
      </c>
      <c r="AR296" s="21" t="s">
        <v>83</v>
      </c>
      <c r="AS296" s="21" t="s">
        <v>83</v>
      </c>
      <c r="AT296" s="21" t="s">
        <v>83</v>
      </c>
      <c r="AU296" s="21" t="s">
        <v>198</v>
      </c>
      <c r="AV296" s="21" t="s">
        <v>109</v>
      </c>
      <c r="AW296" s="21" t="s">
        <v>198</v>
      </c>
      <c r="AX296" s="21" t="s">
        <v>83</v>
      </c>
      <c r="AY296" s="21" t="s">
        <v>198</v>
      </c>
      <c r="AZ296" s="21" t="s">
        <v>109</v>
      </c>
      <c r="BA296" s="17" t="s">
        <v>246</v>
      </c>
      <c r="BB296" s="17" t="s">
        <v>223</v>
      </c>
      <c r="BC296" s="18">
        <f>--ISNUMBER(SEARCH("Radio or television",BA296))</f>
        <v>1</v>
      </c>
      <c r="BD296" s="18">
        <f>--ISNUMBER(SEARCH("Newspapers or print media",BA296))</f>
        <v>0</v>
      </c>
      <c r="BE296" s="18">
        <f>--ISNUMBER(SEARCH("Social media (e.g. Facebook, WhatsApp, YouTube, X/Twitter)",BA296))</f>
        <v>1</v>
      </c>
      <c r="BF296" s="18">
        <f>--ISNUMBER(SEARCH("Family members",BA296))</f>
        <v>0</v>
      </c>
      <c r="BG296" s="18">
        <f>--ISNUMBER(SEARCH("Friends or fellow students",BA296))</f>
        <v>0</v>
      </c>
      <c r="BH296" s="18">
        <f>--ISNUMBER(SEARCH("School coursework or lectures",BA296))</f>
        <v>0</v>
      </c>
      <c r="BI296" s="18">
        <f>--ISNUMBER(SEARCH("NHIMA outreach activities or NHIMA offices",BA296))</f>
        <v>0</v>
      </c>
      <c r="BJ296" s="18">
        <f>--ISNUMBER(SEARCH("Health facility staff",BA296))</f>
        <v>0</v>
      </c>
      <c r="BK296" s="18">
        <f>--ISNUMBER(SEARCH("not received information",BA296))</f>
        <v>0</v>
      </c>
      <c r="BL296" s="18">
        <f>IF(T296="","",--(T296='Codebook'!$F$13))</f>
        <v>1</v>
      </c>
      <c r="BM296" s="18">
        <f>IF(U296="","",--(U296='Codebook'!$F$14))</f>
        <v>0</v>
      </c>
      <c r="BN296" s="18">
        <f>IF(V296="","",--(V296='Codebook'!$F$15))</f>
        <v>0</v>
      </c>
      <c r="BO296" s="18">
        <f>IF(W296="","",--(W296='Codebook'!$F$16))</f>
        <v>1</v>
      </c>
      <c r="BP296" s="18">
        <f>IF(X296="","",--(X296='Codebook'!$F$17))</f>
        <v>1</v>
      </c>
      <c r="BQ296" s="18">
        <f>IF(Y296="","",--(Y296='Codebook'!$F$18))</f>
        <v>0</v>
      </c>
      <c r="BR296" s="18">
        <f>IF(Z296="","",--(Z296='Codebook'!$F$19))</f>
        <v>1</v>
      </c>
      <c r="BS296" s="18">
        <f>IF(AA296="","",--(AA296='Codebook'!$F$20))</f>
        <v>1</v>
      </c>
      <c r="BT296" s="18">
        <f>IF(AB296="","",--(AB296='Codebook'!$F$21))</f>
        <v>0</v>
      </c>
      <c r="BU296" s="18">
        <f>IF(AC296="","",--(AC296='Codebook'!$F$22))</f>
        <v>1</v>
      </c>
      <c r="BV296" s="18">
        <f>IF(AD296="","",--(AD296='Codebook'!$F$23))</f>
        <v>1</v>
      </c>
      <c r="BW296" s="18">
        <f>IF(AE296="","",--(AE296='Codebook'!$F$24))</f>
        <v>1</v>
      </c>
      <c r="BX296" s="18">
        <f>IF(AF296="","",--(AF296='Codebook'!$F$25))</f>
        <v>0</v>
      </c>
      <c r="BY296" s="18">
        <f>IF(AG296="","",--(AG296='Codebook'!$F$26))</f>
        <v>1</v>
      </c>
      <c r="BZ296" s="18">
        <f>IF(AH296="","",--(AH296='Codebook'!$F$27))</f>
        <v>1</v>
      </c>
      <c r="CA296" s="18">
        <f>IF(AI296="","",--(AI296='Codebook'!$F$28))</f>
        <v>0</v>
      </c>
      <c r="CB296" s="18">
        <f>IF(AJ296="","",--(AJ296='Codebook'!$F$29))</f>
        <v>0</v>
      </c>
      <c r="CC296" s="18">
        <f>IF(AK296="","",--(AK296='Codebook'!$F$30))</f>
        <v>1</v>
      </c>
      <c r="CD296" s="18">
        <f>IF(AL296="","",--(AL296='Codebook'!$F$31))</f>
        <v>0</v>
      </c>
      <c r="CE296" s="18">
        <f>IF(AM296="","",--(AM296='Codebook'!$F$32))</f>
        <v>1</v>
      </c>
      <c r="CF296" s="18">
        <f>IF(AN296="","",--(AN296='Codebook'!$F$33))</f>
        <v>1</v>
      </c>
      <c r="CG296" s="18">
        <f>IF(AO296="","",--(AO296='Codebook'!$F$34))</f>
        <v>1</v>
      </c>
      <c r="CH296" s="18">
        <f>IF(AP296="","",--(AP296='Codebook'!$F$35))</f>
        <v>1</v>
      </c>
      <c r="CI296" s="18">
        <f>IF(AQ296="","",--(AQ296='Codebook'!$F$36))</f>
        <v>1</v>
      </c>
      <c r="CJ296" s="18">
        <f>IF(AR296="","",--(AR296='Codebook'!$F$37))</f>
        <v>1</v>
      </c>
      <c r="CK296" s="18">
        <f>IF(AS296="","",--(AS296='Codebook'!$F$38))</f>
        <v>1</v>
      </c>
      <c r="CL296" s="18">
        <f>IF(AT296="","",--(AT296='Codebook'!$F$39))</f>
        <v>1</v>
      </c>
      <c r="CM296" s="18">
        <f>IF(AU296="","",--(AU296='Codebook'!$F$40))</f>
        <v>0</v>
      </c>
      <c r="CN296" s="18">
        <f>IF(AV296="","",--(AV296='Codebook'!$F$41))</f>
        <v>1</v>
      </c>
      <c r="CO296" s="18">
        <f>IF(AW296="","",--(AW296='Codebook'!$F$42))</f>
        <v>0</v>
      </c>
      <c r="CP296" s="18">
        <f>IF(AX296="","",--(AX296='Codebook'!$F$43))</f>
        <v>0</v>
      </c>
      <c r="CQ296" s="18">
        <f>IF(AY296="","",--(AY296='Codebook'!$F$44))</f>
        <v>0</v>
      </c>
      <c r="CR296" s="18">
        <f>IF(AZ296="","",--(AZ296='Codebook'!$F$45))</f>
        <v>1</v>
      </c>
    </row>
    <row r="297" spans="2:96" ht="24" customHeight="1">
      <c r="B297" s="18">
        <v>292</v>
      </c>
      <c r="C297" s="23">
        <v>46290.4955021875</v>
      </c>
      <c r="D297" s="21" t="s">
        <v>275</v>
      </c>
      <c r="E297" s="21" t="s">
        <v>194</v>
      </c>
      <c r="F297" s="21" t="s">
        <v>201</v>
      </c>
      <c r="G297" s="17" t="s">
        <v>224</v>
      </c>
      <c r="H297" s="21" t="s">
        <v>198</v>
      </c>
      <c r="I297" s="18">
        <f>SUM(BL297:BU297)</f>
        <v>7</v>
      </c>
      <c r="J297" s="18">
        <f>IF(COUNT(BV297:CD297)=9,SUM(BV297:CD297),"")</f>
        <v>6</v>
      </c>
      <c r="K297" s="18">
        <f>SUM(BL297:CD297)</f>
        <v>13</v>
      </c>
      <c r="L297" s="18">
        <f>--(K297&gt;='Codebook'!$C$8)</f>
        <v>1</v>
      </c>
      <c r="M297" s="18">
        <f>--(COUNT(BL297:CD297)=19)</f>
        <v>1</v>
      </c>
      <c r="N297" s="18">
        <f>SUM(CE297:CL297)</f>
        <v>6</v>
      </c>
      <c r="O297" s="18">
        <f>SUM(CM297:CR297)</f>
        <v>1</v>
      </c>
      <c r="P297" s="18">
        <f>N297+O297</f>
        <v>7</v>
      </c>
      <c r="Q297" s="21" t="s">
        <v>197</v>
      </c>
      <c r="R297" s="17" t="s">
        <v>154</v>
      </c>
      <c r="S297" s="18">
        <f>--OR(Overview!$B$6="All",E297=Overview!$B$6)*--OR(Overview!$F$6="All",F297=Overview!$F$6)*--OR(Overview!$J$6="All",G297=Overview!$J$6)*--OR(Overview!$N$6="All",H297=Overview!$N$6)</f>
        <v>1</v>
      </c>
      <c r="T297" s="21" t="s">
        <v>22</v>
      </c>
      <c r="U297" s="21" t="s">
        <v>22</v>
      </c>
      <c r="V297" s="21" t="s">
        <v>22</v>
      </c>
      <c r="W297" s="21" t="s">
        <v>22</v>
      </c>
      <c r="X297" s="21" t="s">
        <v>22</v>
      </c>
      <c r="Y297" s="21" t="s">
        <v>26</v>
      </c>
      <c r="Z297" s="21" t="s">
        <v>22</v>
      </c>
      <c r="AA297" s="21" t="s">
        <v>22</v>
      </c>
      <c r="AB297" s="21" t="s">
        <v>22</v>
      </c>
      <c r="AC297" s="21" t="s">
        <v>22</v>
      </c>
      <c r="AD297" s="21" t="s">
        <v>22</v>
      </c>
      <c r="AE297" s="21" t="s">
        <v>22</v>
      </c>
      <c r="AF297" s="21" t="s">
        <v>22</v>
      </c>
      <c r="AG297" s="21" t="s">
        <v>22</v>
      </c>
      <c r="AH297" s="21" t="s">
        <v>22</v>
      </c>
      <c r="AI297" s="21" t="s">
        <v>26</v>
      </c>
      <c r="AJ297" s="21" t="s">
        <v>22</v>
      </c>
      <c r="AK297" s="21" t="s">
        <v>22</v>
      </c>
      <c r="AL297" s="21" t="s">
        <v>198</v>
      </c>
      <c r="AM297" s="21" t="s">
        <v>109</v>
      </c>
      <c r="AN297" s="21" t="s">
        <v>83</v>
      </c>
      <c r="AO297" s="21" t="s">
        <v>198</v>
      </c>
      <c r="AP297" s="21" t="s">
        <v>83</v>
      </c>
      <c r="AQ297" s="21" t="s">
        <v>83</v>
      </c>
      <c r="AR297" s="21" t="s">
        <v>83</v>
      </c>
      <c r="AS297" s="21" t="s">
        <v>83</v>
      </c>
      <c r="AT297" s="21" t="s">
        <v>83</v>
      </c>
      <c r="AU297" s="21" t="s">
        <v>109</v>
      </c>
      <c r="AV297" s="21" t="s">
        <v>198</v>
      </c>
      <c r="AW297" s="21" t="s">
        <v>83</v>
      </c>
      <c r="AX297" s="21" t="s">
        <v>198</v>
      </c>
      <c r="AY297" s="21" t="s">
        <v>198</v>
      </c>
      <c r="AZ297" s="21" t="s">
        <v>198</v>
      </c>
      <c r="BA297" s="17" t="s">
        <v>246</v>
      </c>
      <c r="BB297" s="17" t="s">
        <v>250</v>
      </c>
      <c r="BC297" s="18">
        <f>--ISNUMBER(SEARCH("Radio or television",BA297))</f>
        <v>1</v>
      </c>
      <c r="BD297" s="18">
        <f>--ISNUMBER(SEARCH("Newspapers or print media",BA297))</f>
        <v>0</v>
      </c>
      <c r="BE297" s="18">
        <f>--ISNUMBER(SEARCH("Social media (e.g. Facebook, WhatsApp, YouTube, X/Twitter)",BA297))</f>
        <v>1</v>
      </c>
      <c r="BF297" s="18">
        <f>--ISNUMBER(SEARCH("Family members",BA297))</f>
        <v>0</v>
      </c>
      <c r="BG297" s="18">
        <f>--ISNUMBER(SEARCH("Friends or fellow students",BA297))</f>
        <v>0</v>
      </c>
      <c r="BH297" s="18">
        <f>--ISNUMBER(SEARCH("School coursework or lectures",BA297))</f>
        <v>0</v>
      </c>
      <c r="BI297" s="18">
        <f>--ISNUMBER(SEARCH("NHIMA outreach activities or NHIMA offices",BA297))</f>
        <v>0</v>
      </c>
      <c r="BJ297" s="18">
        <f>--ISNUMBER(SEARCH("Health facility staff",BA297))</f>
        <v>0</v>
      </c>
      <c r="BK297" s="18">
        <f>--ISNUMBER(SEARCH("not received information",BA297))</f>
        <v>0</v>
      </c>
      <c r="BL297" s="18">
        <f>IF(T297="","",--(T297='Codebook'!$F$13))</f>
        <v>1</v>
      </c>
      <c r="BM297" s="18">
        <f>IF(U297="","",--(U297='Codebook'!$F$14))</f>
        <v>0</v>
      </c>
      <c r="BN297" s="18">
        <f>IF(V297="","",--(V297='Codebook'!$F$15))</f>
        <v>0</v>
      </c>
      <c r="BO297" s="18">
        <f>IF(W297="","",--(W297='Codebook'!$F$16))</f>
        <v>1</v>
      </c>
      <c r="BP297" s="18">
        <f>IF(X297="","",--(X297='Codebook'!$F$17))</f>
        <v>1</v>
      </c>
      <c r="BQ297" s="18">
        <f>IF(Y297="","",--(Y297='Codebook'!$F$18))</f>
        <v>1</v>
      </c>
      <c r="BR297" s="18">
        <f>IF(Z297="","",--(Z297='Codebook'!$F$19))</f>
        <v>1</v>
      </c>
      <c r="BS297" s="18">
        <f>IF(AA297="","",--(AA297='Codebook'!$F$20))</f>
        <v>1</v>
      </c>
      <c r="BT297" s="18">
        <f>IF(AB297="","",--(AB297='Codebook'!$F$21))</f>
        <v>0</v>
      </c>
      <c r="BU297" s="18">
        <f>IF(AC297="","",--(AC297='Codebook'!$F$22))</f>
        <v>1</v>
      </c>
      <c r="BV297" s="18">
        <f>IF(AD297="","",--(AD297='Codebook'!$F$23))</f>
        <v>1</v>
      </c>
      <c r="BW297" s="18">
        <f>IF(AE297="","",--(AE297='Codebook'!$F$24))</f>
        <v>1</v>
      </c>
      <c r="BX297" s="18">
        <f>IF(AF297="","",--(AF297='Codebook'!$F$25))</f>
        <v>0</v>
      </c>
      <c r="BY297" s="18">
        <f>IF(AG297="","",--(AG297='Codebook'!$F$26))</f>
        <v>1</v>
      </c>
      <c r="BZ297" s="18">
        <f>IF(AH297="","",--(AH297='Codebook'!$F$27))</f>
        <v>1</v>
      </c>
      <c r="CA297" s="18">
        <f>IF(AI297="","",--(AI297='Codebook'!$F$28))</f>
        <v>1</v>
      </c>
      <c r="CB297" s="18">
        <f>IF(AJ297="","",--(AJ297='Codebook'!$F$29))</f>
        <v>0</v>
      </c>
      <c r="CC297" s="18">
        <f>IF(AK297="","",--(AK297='Codebook'!$F$30))</f>
        <v>1</v>
      </c>
      <c r="CD297" s="18">
        <f>IF(AL297="","",--(AL297='Codebook'!$F$31))</f>
        <v>0</v>
      </c>
      <c r="CE297" s="18">
        <f>IF(AM297="","",--(AM297='Codebook'!$F$32))</f>
        <v>0</v>
      </c>
      <c r="CF297" s="18">
        <f>IF(AN297="","",--(AN297='Codebook'!$F$33))</f>
        <v>1</v>
      </c>
      <c r="CG297" s="18">
        <f>IF(AO297="","",--(AO297='Codebook'!$F$34))</f>
        <v>0</v>
      </c>
      <c r="CH297" s="18">
        <f>IF(AP297="","",--(AP297='Codebook'!$F$35))</f>
        <v>1</v>
      </c>
      <c r="CI297" s="18">
        <f>IF(AQ297="","",--(AQ297='Codebook'!$F$36))</f>
        <v>1</v>
      </c>
      <c r="CJ297" s="18">
        <f>IF(AR297="","",--(AR297='Codebook'!$F$37))</f>
        <v>1</v>
      </c>
      <c r="CK297" s="18">
        <f>IF(AS297="","",--(AS297='Codebook'!$F$38))</f>
        <v>1</v>
      </c>
      <c r="CL297" s="18">
        <f>IF(AT297="","",--(AT297='Codebook'!$F$39))</f>
        <v>1</v>
      </c>
      <c r="CM297" s="18">
        <f>IF(AU297="","",--(AU297='Codebook'!$F$40))</f>
        <v>1</v>
      </c>
      <c r="CN297" s="18">
        <f>IF(AV297="","",--(AV297='Codebook'!$F$41))</f>
        <v>0</v>
      </c>
      <c r="CO297" s="18">
        <f>IF(AW297="","",--(AW297='Codebook'!$F$42))</f>
        <v>0</v>
      </c>
      <c r="CP297" s="18">
        <f>IF(AX297="","",--(AX297='Codebook'!$F$43))</f>
        <v>0</v>
      </c>
      <c r="CQ297" s="18">
        <f>IF(AY297="","",--(AY297='Codebook'!$F$44))</f>
        <v>0</v>
      </c>
      <c r="CR297" s="18">
        <f>IF(AZ297="","",--(AZ297='Codebook'!$F$45))</f>
        <v>0</v>
      </c>
    </row>
    <row r="298" spans="2:96" ht="24" customHeight="1">
      <c r="B298" s="18">
        <v>293</v>
      </c>
      <c r="C298" s="23">
        <v>46290.49610814815</v>
      </c>
      <c r="D298" s="21" t="s">
        <v>275</v>
      </c>
      <c r="E298" s="21" t="s">
        <v>194</v>
      </c>
      <c r="F298" s="21" t="s">
        <v>226</v>
      </c>
      <c r="G298" s="17" t="s">
        <v>196</v>
      </c>
      <c r="H298" s="21" t="s">
        <v>198</v>
      </c>
      <c r="I298" s="18">
        <f>SUM(BL298:BU298)</f>
        <v>6</v>
      </c>
      <c r="J298" s="18">
        <f>IF(COUNT(BV298:CD298)=9,SUM(BV298:CD298),"")</f>
        <v>5</v>
      </c>
      <c r="K298" s="18">
        <f>SUM(BL298:CD298)</f>
        <v>11</v>
      </c>
      <c r="L298" s="18">
        <f>--(K298&gt;='Codebook'!$C$8)</f>
        <v>0</v>
      </c>
      <c r="M298" s="18">
        <f>--(COUNT(BL298:CD298)=19)</f>
        <v>1</v>
      </c>
      <c r="N298" s="18">
        <f>SUM(CE298:CL298)</f>
        <v>8</v>
      </c>
      <c r="O298" s="18">
        <f>SUM(CM298:CR298)</f>
        <v>0</v>
      </c>
      <c r="P298" s="18">
        <f>N298+O298</f>
        <v>8</v>
      </c>
      <c r="Q298" s="21" t="s">
        <v>197</v>
      </c>
      <c r="R298" s="17" t="s">
        <v>154</v>
      </c>
      <c r="S298" s="18">
        <f>--OR(Overview!$B$6="All",E298=Overview!$B$6)*--OR(Overview!$F$6="All",F298=Overview!$F$6)*--OR(Overview!$J$6="All",G298=Overview!$J$6)*--OR(Overview!$N$6="All",H298=Overview!$N$6)</f>
        <v>1</v>
      </c>
      <c r="T298" s="21" t="s">
        <v>22</v>
      </c>
      <c r="U298" s="21" t="s">
        <v>22</v>
      </c>
      <c r="V298" s="21" t="s">
        <v>22</v>
      </c>
      <c r="W298" s="21" t="s">
        <v>22</v>
      </c>
      <c r="X298" s="21" t="s">
        <v>22</v>
      </c>
      <c r="Y298" s="21" t="s">
        <v>22</v>
      </c>
      <c r="Z298" s="21" t="s">
        <v>22</v>
      </c>
      <c r="AA298" s="21" t="s">
        <v>22</v>
      </c>
      <c r="AB298" s="21" t="s">
        <v>22</v>
      </c>
      <c r="AC298" s="21" t="s">
        <v>22</v>
      </c>
      <c r="AD298" s="21" t="s">
        <v>22</v>
      </c>
      <c r="AE298" s="21" t="s">
        <v>22</v>
      </c>
      <c r="AF298" s="21" t="s">
        <v>22</v>
      </c>
      <c r="AG298" s="21" t="s">
        <v>22</v>
      </c>
      <c r="AH298" s="21" t="s">
        <v>22</v>
      </c>
      <c r="AI298" s="21" t="s">
        <v>22</v>
      </c>
      <c r="AJ298" s="21" t="s">
        <v>22</v>
      </c>
      <c r="AK298" s="21" t="s">
        <v>22</v>
      </c>
      <c r="AL298" s="21" t="s">
        <v>22</v>
      </c>
      <c r="AM298" s="21" t="s">
        <v>83</v>
      </c>
      <c r="AN298" s="21" t="s">
        <v>83</v>
      </c>
      <c r="AO298" s="21" t="s">
        <v>83</v>
      </c>
      <c r="AP298" s="21" t="s">
        <v>83</v>
      </c>
      <c r="AQ298" s="21" t="s">
        <v>83</v>
      </c>
      <c r="AR298" s="21" t="s">
        <v>83</v>
      </c>
      <c r="AS298" s="21" t="s">
        <v>83</v>
      </c>
      <c r="AT298" s="21" t="s">
        <v>83</v>
      </c>
      <c r="AU298" s="21" t="s">
        <v>83</v>
      </c>
      <c r="AV298" s="21" t="s">
        <v>83</v>
      </c>
      <c r="AW298" s="21" t="s">
        <v>83</v>
      </c>
      <c r="AX298" s="21" t="s">
        <v>83</v>
      </c>
      <c r="AY298" s="21" t="s">
        <v>83</v>
      </c>
      <c r="AZ298" s="21" t="s">
        <v>198</v>
      </c>
      <c r="BA298" s="17" t="s">
        <v>246</v>
      </c>
      <c r="BB298" s="17" t="s">
        <v>250</v>
      </c>
      <c r="BC298" s="18">
        <f>--ISNUMBER(SEARCH("Radio or television",BA298))</f>
        <v>1</v>
      </c>
      <c r="BD298" s="18">
        <f>--ISNUMBER(SEARCH("Newspapers or print media",BA298))</f>
        <v>0</v>
      </c>
      <c r="BE298" s="18">
        <f>--ISNUMBER(SEARCH("Social media (e.g. Facebook, WhatsApp, YouTube, X/Twitter)",BA298))</f>
        <v>1</v>
      </c>
      <c r="BF298" s="18">
        <f>--ISNUMBER(SEARCH("Family members",BA298))</f>
        <v>0</v>
      </c>
      <c r="BG298" s="18">
        <f>--ISNUMBER(SEARCH("Friends or fellow students",BA298))</f>
        <v>0</v>
      </c>
      <c r="BH298" s="18">
        <f>--ISNUMBER(SEARCH("School coursework or lectures",BA298))</f>
        <v>0</v>
      </c>
      <c r="BI298" s="18">
        <f>--ISNUMBER(SEARCH("NHIMA outreach activities or NHIMA offices",BA298))</f>
        <v>0</v>
      </c>
      <c r="BJ298" s="18">
        <f>--ISNUMBER(SEARCH("Health facility staff",BA298))</f>
        <v>0</v>
      </c>
      <c r="BK298" s="18">
        <f>--ISNUMBER(SEARCH("not received information",BA298))</f>
        <v>0</v>
      </c>
      <c r="BL298" s="18">
        <f>IF(T298="","",--(T298='Codebook'!$F$13))</f>
        <v>1</v>
      </c>
      <c r="BM298" s="18">
        <f>IF(U298="","",--(U298='Codebook'!$F$14))</f>
        <v>0</v>
      </c>
      <c r="BN298" s="18">
        <f>IF(V298="","",--(V298='Codebook'!$F$15))</f>
        <v>0</v>
      </c>
      <c r="BO298" s="18">
        <f>IF(W298="","",--(W298='Codebook'!$F$16))</f>
        <v>1</v>
      </c>
      <c r="BP298" s="18">
        <f>IF(X298="","",--(X298='Codebook'!$F$17))</f>
        <v>1</v>
      </c>
      <c r="BQ298" s="18">
        <f>IF(Y298="","",--(Y298='Codebook'!$F$18))</f>
        <v>0</v>
      </c>
      <c r="BR298" s="18">
        <f>IF(Z298="","",--(Z298='Codebook'!$F$19))</f>
        <v>1</v>
      </c>
      <c r="BS298" s="18">
        <f>IF(AA298="","",--(AA298='Codebook'!$F$20))</f>
        <v>1</v>
      </c>
      <c r="BT298" s="18">
        <f>IF(AB298="","",--(AB298='Codebook'!$F$21))</f>
        <v>0</v>
      </c>
      <c r="BU298" s="18">
        <f>IF(AC298="","",--(AC298='Codebook'!$F$22))</f>
        <v>1</v>
      </c>
      <c r="BV298" s="18">
        <f>IF(AD298="","",--(AD298='Codebook'!$F$23))</f>
        <v>1</v>
      </c>
      <c r="BW298" s="18">
        <f>IF(AE298="","",--(AE298='Codebook'!$F$24))</f>
        <v>1</v>
      </c>
      <c r="BX298" s="18">
        <f>IF(AF298="","",--(AF298='Codebook'!$F$25))</f>
        <v>0</v>
      </c>
      <c r="BY298" s="18">
        <f>IF(AG298="","",--(AG298='Codebook'!$F$26))</f>
        <v>1</v>
      </c>
      <c r="BZ298" s="18">
        <f>IF(AH298="","",--(AH298='Codebook'!$F$27))</f>
        <v>1</v>
      </c>
      <c r="CA298" s="18">
        <f>IF(AI298="","",--(AI298='Codebook'!$F$28))</f>
        <v>0</v>
      </c>
      <c r="CB298" s="18">
        <f>IF(AJ298="","",--(AJ298='Codebook'!$F$29))</f>
        <v>0</v>
      </c>
      <c r="CC298" s="18">
        <f>IF(AK298="","",--(AK298='Codebook'!$F$30))</f>
        <v>1</v>
      </c>
      <c r="CD298" s="18">
        <f>IF(AL298="","",--(AL298='Codebook'!$F$31))</f>
        <v>0</v>
      </c>
      <c r="CE298" s="18">
        <f>IF(AM298="","",--(AM298='Codebook'!$F$32))</f>
        <v>1</v>
      </c>
      <c r="CF298" s="18">
        <f>IF(AN298="","",--(AN298='Codebook'!$F$33))</f>
        <v>1</v>
      </c>
      <c r="CG298" s="18">
        <f>IF(AO298="","",--(AO298='Codebook'!$F$34))</f>
        <v>1</v>
      </c>
      <c r="CH298" s="18">
        <f>IF(AP298="","",--(AP298='Codebook'!$F$35))</f>
        <v>1</v>
      </c>
      <c r="CI298" s="18">
        <f>IF(AQ298="","",--(AQ298='Codebook'!$F$36))</f>
        <v>1</v>
      </c>
      <c r="CJ298" s="18">
        <f>IF(AR298="","",--(AR298='Codebook'!$F$37))</f>
        <v>1</v>
      </c>
      <c r="CK298" s="18">
        <f>IF(AS298="","",--(AS298='Codebook'!$F$38))</f>
        <v>1</v>
      </c>
      <c r="CL298" s="18">
        <f>IF(AT298="","",--(AT298='Codebook'!$F$39))</f>
        <v>1</v>
      </c>
      <c r="CM298" s="18">
        <f>IF(AU298="","",--(AU298='Codebook'!$F$40))</f>
        <v>0</v>
      </c>
      <c r="CN298" s="18">
        <f>IF(AV298="","",--(AV298='Codebook'!$F$41))</f>
        <v>0</v>
      </c>
      <c r="CO298" s="18">
        <f>IF(AW298="","",--(AW298='Codebook'!$F$42))</f>
        <v>0</v>
      </c>
      <c r="CP298" s="18">
        <f>IF(AX298="","",--(AX298='Codebook'!$F$43))</f>
        <v>0</v>
      </c>
      <c r="CQ298" s="18">
        <f>IF(AY298="","",--(AY298='Codebook'!$F$44))</f>
        <v>0</v>
      </c>
      <c r="CR298" s="18">
        <f>IF(AZ298="","",--(AZ298='Codebook'!$F$45))</f>
        <v>0</v>
      </c>
    </row>
    <row r="299" spans="2:96" ht="24" customHeight="1">
      <c r="B299" s="18">
        <v>294</v>
      </c>
      <c r="C299" s="23">
        <v>46290.49672144676</v>
      </c>
      <c r="D299" s="21" t="s">
        <v>275</v>
      </c>
      <c r="E299" s="21" t="s">
        <v>194</v>
      </c>
      <c r="F299" s="21" t="s">
        <v>195</v>
      </c>
      <c r="G299" s="17" t="s">
        <v>215</v>
      </c>
      <c r="H299" s="21" t="s">
        <v>198</v>
      </c>
      <c r="I299" s="18">
        <f>SUM(BL299:BU299)</f>
        <v>5</v>
      </c>
      <c r="J299" s="18">
        <f>IF(COUNT(BV299:CD299)=9,SUM(BV299:CD299),"")</f>
        <v>3</v>
      </c>
      <c r="K299" s="18">
        <f>SUM(BL299:CD299)</f>
        <v>8</v>
      </c>
      <c r="L299" s="18">
        <f>--(K299&gt;='Codebook'!$C$8)</f>
        <v>0</v>
      </c>
      <c r="M299" s="18">
        <f>--(COUNT(BL299:CD299)=19)</f>
        <v>1</v>
      </c>
      <c r="N299" s="18">
        <f>SUM(CE299:CL299)</f>
        <v>7</v>
      </c>
      <c r="O299" s="18">
        <f>SUM(CM299:CR299)</f>
        <v>0</v>
      </c>
      <c r="P299" s="18">
        <f>N299+O299</f>
        <v>7</v>
      </c>
      <c r="Q299" s="21" t="s">
        <v>197</v>
      </c>
      <c r="R299" s="17" t="s">
        <v>154</v>
      </c>
      <c r="S299" s="18">
        <f>--OR(Overview!$B$6="All",E299=Overview!$B$6)*--OR(Overview!$F$6="All",F299=Overview!$F$6)*--OR(Overview!$J$6="All",G299=Overview!$J$6)*--OR(Overview!$N$6="All",H299=Overview!$N$6)</f>
        <v>1</v>
      </c>
      <c r="T299" s="21" t="s">
        <v>22</v>
      </c>
      <c r="U299" s="21" t="s">
        <v>26</v>
      </c>
      <c r="V299" s="21" t="s">
        <v>22</v>
      </c>
      <c r="W299" s="21" t="s">
        <v>22</v>
      </c>
      <c r="X299" s="21" t="s">
        <v>198</v>
      </c>
      <c r="Y299" s="21" t="s">
        <v>22</v>
      </c>
      <c r="Z299" s="21" t="s">
        <v>22</v>
      </c>
      <c r="AA299" s="21" t="s">
        <v>198</v>
      </c>
      <c r="AB299" s="21" t="s">
        <v>22</v>
      </c>
      <c r="AC299" s="21" t="s">
        <v>22</v>
      </c>
      <c r="AD299" s="21" t="s">
        <v>198</v>
      </c>
      <c r="AE299" s="21" t="s">
        <v>198</v>
      </c>
      <c r="AF299" s="21" t="s">
        <v>22</v>
      </c>
      <c r="AG299" s="21" t="s">
        <v>198</v>
      </c>
      <c r="AH299" s="21" t="s">
        <v>22</v>
      </c>
      <c r="AI299" s="21" t="s">
        <v>26</v>
      </c>
      <c r="AJ299" s="21" t="s">
        <v>22</v>
      </c>
      <c r="AK299" s="21" t="s">
        <v>22</v>
      </c>
      <c r="AL299" s="21" t="s">
        <v>22</v>
      </c>
      <c r="AM299" s="21" t="s">
        <v>83</v>
      </c>
      <c r="AN299" s="21" t="s">
        <v>83</v>
      </c>
      <c r="AO299" s="21" t="s">
        <v>83</v>
      </c>
      <c r="AP299" s="21" t="s">
        <v>198</v>
      </c>
      <c r="AQ299" s="21" t="s">
        <v>83</v>
      </c>
      <c r="AR299" s="21" t="s">
        <v>83</v>
      </c>
      <c r="AS299" s="21" t="s">
        <v>83</v>
      </c>
      <c r="AT299" s="21" t="s">
        <v>83</v>
      </c>
      <c r="AU299" s="21" t="s">
        <v>83</v>
      </c>
      <c r="AV299" s="21" t="s">
        <v>83</v>
      </c>
      <c r="AW299" s="21" t="s">
        <v>83</v>
      </c>
      <c r="AX299" s="21" t="s">
        <v>83</v>
      </c>
      <c r="AY299" s="21" t="s">
        <v>83</v>
      </c>
      <c r="AZ299" s="21" t="s">
        <v>198</v>
      </c>
      <c r="BA299" s="17" t="s">
        <v>246</v>
      </c>
      <c r="BB299" s="17" t="s">
        <v>250</v>
      </c>
      <c r="BC299" s="18">
        <f>--ISNUMBER(SEARCH("Radio or television",BA299))</f>
        <v>1</v>
      </c>
      <c r="BD299" s="18">
        <f>--ISNUMBER(SEARCH("Newspapers or print media",BA299))</f>
        <v>0</v>
      </c>
      <c r="BE299" s="18">
        <f>--ISNUMBER(SEARCH("Social media (e.g. Facebook, WhatsApp, YouTube, X/Twitter)",BA299))</f>
        <v>1</v>
      </c>
      <c r="BF299" s="18">
        <f>--ISNUMBER(SEARCH("Family members",BA299))</f>
        <v>0</v>
      </c>
      <c r="BG299" s="18">
        <f>--ISNUMBER(SEARCH("Friends or fellow students",BA299))</f>
        <v>0</v>
      </c>
      <c r="BH299" s="18">
        <f>--ISNUMBER(SEARCH("School coursework or lectures",BA299))</f>
        <v>0</v>
      </c>
      <c r="BI299" s="18">
        <f>--ISNUMBER(SEARCH("NHIMA outreach activities or NHIMA offices",BA299))</f>
        <v>0</v>
      </c>
      <c r="BJ299" s="18">
        <f>--ISNUMBER(SEARCH("Health facility staff",BA299))</f>
        <v>0</v>
      </c>
      <c r="BK299" s="18">
        <f>--ISNUMBER(SEARCH("not received information",BA299))</f>
        <v>0</v>
      </c>
      <c r="BL299" s="18">
        <f>IF(T299="","",--(T299='Codebook'!$F$13))</f>
        <v>1</v>
      </c>
      <c r="BM299" s="18">
        <f>IF(U299="","",--(U299='Codebook'!$F$14))</f>
        <v>1</v>
      </c>
      <c r="BN299" s="18">
        <f>IF(V299="","",--(V299='Codebook'!$F$15))</f>
        <v>0</v>
      </c>
      <c r="BO299" s="18">
        <f>IF(W299="","",--(W299='Codebook'!$F$16))</f>
        <v>1</v>
      </c>
      <c r="BP299" s="18">
        <f>IF(X299="","",--(X299='Codebook'!$F$17))</f>
        <v>0</v>
      </c>
      <c r="BQ299" s="18">
        <f>IF(Y299="","",--(Y299='Codebook'!$F$18))</f>
        <v>0</v>
      </c>
      <c r="BR299" s="18">
        <f>IF(Z299="","",--(Z299='Codebook'!$F$19))</f>
        <v>1</v>
      </c>
      <c r="BS299" s="18">
        <f>IF(AA299="","",--(AA299='Codebook'!$F$20))</f>
        <v>0</v>
      </c>
      <c r="BT299" s="18">
        <f>IF(AB299="","",--(AB299='Codebook'!$F$21))</f>
        <v>0</v>
      </c>
      <c r="BU299" s="18">
        <f>IF(AC299="","",--(AC299='Codebook'!$F$22))</f>
        <v>1</v>
      </c>
      <c r="BV299" s="18">
        <f>IF(AD299="","",--(AD299='Codebook'!$F$23))</f>
        <v>0</v>
      </c>
      <c r="BW299" s="18">
        <f>IF(AE299="","",--(AE299='Codebook'!$F$24))</f>
        <v>0</v>
      </c>
      <c r="BX299" s="18">
        <f>IF(AF299="","",--(AF299='Codebook'!$F$25))</f>
        <v>0</v>
      </c>
      <c r="BY299" s="18">
        <f>IF(AG299="","",--(AG299='Codebook'!$F$26))</f>
        <v>0</v>
      </c>
      <c r="BZ299" s="18">
        <f>IF(AH299="","",--(AH299='Codebook'!$F$27))</f>
        <v>1</v>
      </c>
      <c r="CA299" s="18">
        <f>IF(AI299="","",--(AI299='Codebook'!$F$28))</f>
        <v>1</v>
      </c>
      <c r="CB299" s="18">
        <f>IF(AJ299="","",--(AJ299='Codebook'!$F$29))</f>
        <v>0</v>
      </c>
      <c r="CC299" s="18">
        <f>IF(AK299="","",--(AK299='Codebook'!$F$30))</f>
        <v>1</v>
      </c>
      <c r="CD299" s="18">
        <f>IF(AL299="","",--(AL299='Codebook'!$F$31))</f>
        <v>0</v>
      </c>
      <c r="CE299" s="18">
        <f>IF(AM299="","",--(AM299='Codebook'!$F$32))</f>
        <v>1</v>
      </c>
      <c r="CF299" s="18">
        <f>IF(AN299="","",--(AN299='Codebook'!$F$33))</f>
        <v>1</v>
      </c>
      <c r="CG299" s="18">
        <f>IF(AO299="","",--(AO299='Codebook'!$F$34))</f>
        <v>1</v>
      </c>
      <c r="CH299" s="18">
        <f>IF(AP299="","",--(AP299='Codebook'!$F$35))</f>
        <v>0</v>
      </c>
      <c r="CI299" s="18">
        <f>IF(AQ299="","",--(AQ299='Codebook'!$F$36))</f>
        <v>1</v>
      </c>
      <c r="CJ299" s="18">
        <f>IF(AR299="","",--(AR299='Codebook'!$F$37))</f>
        <v>1</v>
      </c>
      <c r="CK299" s="18">
        <f>IF(AS299="","",--(AS299='Codebook'!$F$38))</f>
        <v>1</v>
      </c>
      <c r="CL299" s="18">
        <f>IF(AT299="","",--(AT299='Codebook'!$F$39))</f>
        <v>1</v>
      </c>
      <c r="CM299" s="18">
        <f>IF(AU299="","",--(AU299='Codebook'!$F$40))</f>
        <v>0</v>
      </c>
      <c r="CN299" s="18">
        <f>IF(AV299="","",--(AV299='Codebook'!$F$41))</f>
        <v>0</v>
      </c>
      <c r="CO299" s="18">
        <f>IF(AW299="","",--(AW299='Codebook'!$F$42))</f>
        <v>0</v>
      </c>
      <c r="CP299" s="18">
        <f>IF(AX299="","",--(AX299='Codebook'!$F$43))</f>
        <v>0</v>
      </c>
      <c r="CQ299" s="18">
        <f>IF(AY299="","",--(AY299='Codebook'!$F$44))</f>
        <v>0</v>
      </c>
      <c r="CR299" s="18">
        <f>IF(AZ299="","",--(AZ299='Codebook'!$F$45))</f>
        <v>0</v>
      </c>
    </row>
    <row r="300" spans="2:96" ht="24" customHeight="1">
      <c r="B300" s="18">
        <v>295</v>
      </c>
      <c r="C300" s="23">
        <v>46290.49735300926</v>
      </c>
      <c r="D300" s="21" t="s">
        <v>275</v>
      </c>
      <c r="E300" s="21" t="s">
        <v>206</v>
      </c>
      <c r="F300" s="21" t="s">
        <v>201</v>
      </c>
      <c r="G300" s="17" t="s">
        <v>215</v>
      </c>
      <c r="H300" s="21" t="s">
        <v>198</v>
      </c>
      <c r="I300" s="18">
        <f>SUM(BL300:BU300)</f>
        <v>5</v>
      </c>
      <c r="J300" s="18">
        <f>IF(COUNT(BV300:CD300)=9,SUM(BV300:CD300),"")</f>
        <v>4</v>
      </c>
      <c r="K300" s="18">
        <f>SUM(BL300:CD300)</f>
        <v>9</v>
      </c>
      <c r="L300" s="18">
        <f>--(K300&gt;='Codebook'!$C$8)</f>
        <v>0</v>
      </c>
      <c r="M300" s="18">
        <f>--(COUNT(BL300:CD300)=19)</f>
        <v>1</v>
      </c>
      <c r="N300" s="18">
        <f>SUM(CE300:CL300)</f>
        <v>3</v>
      </c>
      <c r="O300" s="18">
        <f>SUM(CM300:CR300)</f>
        <v>1</v>
      </c>
      <c r="P300" s="18">
        <f>N300+O300</f>
        <v>4</v>
      </c>
      <c r="Q300" s="21" t="s">
        <v>197</v>
      </c>
      <c r="R300" s="17" t="s">
        <v>154</v>
      </c>
      <c r="S300" s="18">
        <f>--OR(Overview!$B$6="All",E300=Overview!$B$6)*--OR(Overview!$F$6="All",F300=Overview!$F$6)*--OR(Overview!$J$6="All",G300=Overview!$J$6)*--OR(Overview!$N$6="All",H300=Overview!$N$6)</f>
        <v>1</v>
      </c>
      <c r="T300" s="21" t="s">
        <v>26</v>
      </c>
      <c r="U300" s="21" t="s">
        <v>22</v>
      </c>
      <c r="V300" s="21" t="s">
        <v>22</v>
      </c>
      <c r="W300" s="21" t="s">
        <v>22</v>
      </c>
      <c r="X300" s="21" t="s">
        <v>22</v>
      </c>
      <c r="Y300" s="21" t="s">
        <v>22</v>
      </c>
      <c r="Z300" s="21" t="s">
        <v>22</v>
      </c>
      <c r="AA300" s="21" t="s">
        <v>22</v>
      </c>
      <c r="AB300" s="21" t="s">
        <v>22</v>
      </c>
      <c r="AC300" s="21" t="s">
        <v>22</v>
      </c>
      <c r="AD300" s="21" t="s">
        <v>22</v>
      </c>
      <c r="AE300" s="21" t="s">
        <v>26</v>
      </c>
      <c r="AF300" s="21" t="s">
        <v>22</v>
      </c>
      <c r="AG300" s="21" t="s">
        <v>22</v>
      </c>
      <c r="AH300" s="21" t="s">
        <v>22</v>
      </c>
      <c r="AI300" s="21" t="s">
        <v>198</v>
      </c>
      <c r="AJ300" s="21" t="s">
        <v>198</v>
      </c>
      <c r="AK300" s="21" t="s">
        <v>22</v>
      </c>
      <c r="AL300" s="21" t="s">
        <v>198</v>
      </c>
      <c r="AM300" s="21" t="s">
        <v>83</v>
      </c>
      <c r="AN300" s="21" t="s">
        <v>198</v>
      </c>
      <c r="AO300" s="21" t="s">
        <v>83</v>
      </c>
      <c r="AP300" s="21" t="s">
        <v>83</v>
      </c>
      <c r="AQ300" s="21" t="s">
        <v>109</v>
      </c>
      <c r="AR300" s="21" t="s">
        <v>109</v>
      </c>
      <c r="AS300" s="21" t="s">
        <v>109</v>
      </c>
      <c r="AT300" s="21" t="s">
        <v>198</v>
      </c>
      <c r="AU300" s="21" t="s">
        <v>83</v>
      </c>
      <c r="AV300" s="21" t="s">
        <v>83</v>
      </c>
      <c r="AW300" s="21" t="s">
        <v>109</v>
      </c>
      <c r="AX300" s="21" t="s">
        <v>83</v>
      </c>
      <c r="AY300" s="21" t="s">
        <v>83</v>
      </c>
      <c r="AZ300" s="21" t="s">
        <v>83</v>
      </c>
      <c r="BA300" s="17" t="s">
        <v>246</v>
      </c>
      <c r="BB300" s="17" t="s">
        <v>250</v>
      </c>
      <c r="BC300" s="18">
        <f>--ISNUMBER(SEARCH("Radio or television",BA300))</f>
        <v>1</v>
      </c>
      <c r="BD300" s="18">
        <f>--ISNUMBER(SEARCH("Newspapers or print media",BA300))</f>
        <v>0</v>
      </c>
      <c r="BE300" s="18">
        <f>--ISNUMBER(SEARCH("Social media (e.g. Facebook, WhatsApp, YouTube, X/Twitter)",BA300))</f>
        <v>1</v>
      </c>
      <c r="BF300" s="18">
        <f>--ISNUMBER(SEARCH("Family members",BA300))</f>
        <v>0</v>
      </c>
      <c r="BG300" s="18">
        <f>--ISNUMBER(SEARCH("Friends or fellow students",BA300))</f>
        <v>0</v>
      </c>
      <c r="BH300" s="18">
        <f>--ISNUMBER(SEARCH("School coursework or lectures",BA300))</f>
        <v>0</v>
      </c>
      <c r="BI300" s="18">
        <f>--ISNUMBER(SEARCH("NHIMA outreach activities or NHIMA offices",BA300))</f>
        <v>0</v>
      </c>
      <c r="BJ300" s="18">
        <f>--ISNUMBER(SEARCH("Health facility staff",BA300))</f>
        <v>0</v>
      </c>
      <c r="BK300" s="18">
        <f>--ISNUMBER(SEARCH("not received information",BA300))</f>
        <v>0</v>
      </c>
      <c r="BL300" s="18">
        <f>IF(T300="","",--(T300='Codebook'!$F$13))</f>
        <v>0</v>
      </c>
      <c r="BM300" s="18">
        <f>IF(U300="","",--(U300='Codebook'!$F$14))</f>
        <v>0</v>
      </c>
      <c r="BN300" s="18">
        <f>IF(V300="","",--(V300='Codebook'!$F$15))</f>
        <v>0</v>
      </c>
      <c r="BO300" s="18">
        <f>IF(W300="","",--(W300='Codebook'!$F$16))</f>
        <v>1</v>
      </c>
      <c r="BP300" s="18">
        <f>IF(X300="","",--(X300='Codebook'!$F$17))</f>
        <v>1</v>
      </c>
      <c r="BQ300" s="18">
        <f>IF(Y300="","",--(Y300='Codebook'!$F$18))</f>
        <v>0</v>
      </c>
      <c r="BR300" s="18">
        <f>IF(Z300="","",--(Z300='Codebook'!$F$19))</f>
        <v>1</v>
      </c>
      <c r="BS300" s="18">
        <f>IF(AA300="","",--(AA300='Codebook'!$F$20))</f>
        <v>1</v>
      </c>
      <c r="BT300" s="18">
        <f>IF(AB300="","",--(AB300='Codebook'!$F$21))</f>
        <v>0</v>
      </c>
      <c r="BU300" s="18">
        <f>IF(AC300="","",--(AC300='Codebook'!$F$22))</f>
        <v>1</v>
      </c>
      <c r="BV300" s="18">
        <f>IF(AD300="","",--(AD300='Codebook'!$F$23))</f>
        <v>1</v>
      </c>
      <c r="BW300" s="18">
        <f>IF(AE300="","",--(AE300='Codebook'!$F$24))</f>
        <v>0</v>
      </c>
      <c r="BX300" s="18">
        <f>IF(AF300="","",--(AF300='Codebook'!$F$25))</f>
        <v>0</v>
      </c>
      <c r="BY300" s="18">
        <f>IF(AG300="","",--(AG300='Codebook'!$F$26))</f>
        <v>1</v>
      </c>
      <c r="BZ300" s="18">
        <f>IF(AH300="","",--(AH300='Codebook'!$F$27))</f>
        <v>1</v>
      </c>
      <c r="CA300" s="18">
        <f>IF(AI300="","",--(AI300='Codebook'!$F$28))</f>
        <v>0</v>
      </c>
      <c r="CB300" s="18">
        <f>IF(AJ300="","",--(AJ300='Codebook'!$F$29))</f>
        <v>0</v>
      </c>
      <c r="CC300" s="18">
        <f>IF(AK300="","",--(AK300='Codebook'!$F$30))</f>
        <v>1</v>
      </c>
      <c r="CD300" s="18">
        <f>IF(AL300="","",--(AL300='Codebook'!$F$31))</f>
        <v>0</v>
      </c>
      <c r="CE300" s="18">
        <f>IF(AM300="","",--(AM300='Codebook'!$F$32))</f>
        <v>1</v>
      </c>
      <c r="CF300" s="18">
        <f>IF(AN300="","",--(AN300='Codebook'!$F$33))</f>
        <v>0</v>
      </c>
      <c r="CG300" s="18">
        <f>IF(AO300="","",--(AO300='Codebook'!$F$34))</f>
        <v>1</v>
      </c>
      <c r="CH300" s="18">
        <f>IF(AP300="","",--(AP300='Codebook'!$F$35))</f>
        <v>1</v>
      </c>
      <c r="CI300" s="18">
        <f>IF(AQ300="","",--(AQ300='Codebook'!$F$36))</f>
        <v>0</v>
      </c>
      <c r="CJ300" s="18">
        <f>IF(AR300="","",--(AR300='Codebook'!$F$37))</f>
        <v>0</v>
      </c>
      <c r="CK300" s="18">
        <f>IF(AS300="","",--(AS300='Codebook'!$F$38))</f>
        <v>0</v>
      </c>
      <c r="CL300" s="18">
        <f>IF(AT300="","",--(AT300='Codebook'!$F$39))</f>
        <v>0</v>
      </c>
      <c r="CM300" s="18">
        <f>IF(AU300="","",--(AU300='Codebook'!$F$40))</f>
        <v>0</v>
      </c>
      <c r="CN300" s="18">
        <f>IF(AV300="","",--(AV300='Codebook'!$F$41))</f>
        <v>0</v>
      </c>
      <c r="CO300" s="18">
        <f>IF(AW300="","",--(AW300='Codebook'!$F$42))</f>
        <v>1</v>
      </c>
      <c r="CP300" s="18">
        <f>IF(AX300="","",--(AX300='Codebook'!$F$43))</f>
        <v>0</v>
      </c>
      <c r="CQ300" s="18">
        <f>IF(AY300="","",--(AY300='Codebook'!$F$44))</f>
        <v>0</v>
      </c>
      <c r="CR300" s="18">
        <f>IF(AZ300="","",--(AZ300='Codebook'!$F$45))</f>
        <v>0</v>
      </c>
    </row>
    <row r="301" spans="2:96" ht="24" customHeight="1">
      <c r="B301" s="18">
        <v>296</v>
      </c>
      <c r="C301" s="23">
        <v>46290.49798097222</v>
      </c>
      <c r="D301" s="21" t="s">
        <v>268</v>
      </c>
      <c r="E301" s="21" t="s">
        <v>194</v>
      </c>
      <c r="F301" s="21" t="s">
        <v>195</v>
      </c>
      <c r="G301" s="17" t="s">
        <v>247</v>
      </c>
      <c r="H301" s="21" t="s">
        <v>198</v>
      </c>
      <c r="I301" s="18">
        <f>SUM(BL301:BU301)</f>
        <v>6</v>
      </c>
      <c r="J301" s="18">
        <f>IF(COUNT(BV301:CD301)=9,SUM(BV301:CD301),"")</f>
        <v>5</v>
      </c>
      <c r="K301" s="18">
        <f>SUM(BL301:CD301)</f>
        <v>11</v>
      </c>
      <c r="L301" s="18">
        <f>--(K301&gt;='Codebook'!$C$8)</f>
        <v>0</v>
      </c>
      <c r="M301" s="18">
        <f>--(COUNT(BL301:CD301)=19)</f>
        <v>1</v>
      </c>
      <c r="N301" s="18">
        <f>SUM(CE301:CL301)</f>
        <v>3</v>
      </c>
      <c r="O301" s="18">
        <f>SUM(CM301:CR301)</f>
        <v>1</v>
      </c>
      <c r="P301" s="18">
        <f>N301+O301</f>
        <v>4</v>
      </c>
      <c r="Q301" s="21" t="s">
        <v>207</v>
      </c>
      <c r="R301" s="17" t="s">
        <v>152</v>
      </c>
      <c r="S301" s="18">
        <f>--OR(Overview!$B$6="All",E301=Overview!$B$6)*--OR(Overview!$F$6="All",F301=Overview!$F$6)*--OR(Overview!$J$6="All",G301=Overview!$J$6)*--OR(Overview!$N$6="All",H301=Overview!$N$6)</f>
        <v>1</v>
      </c>
      <c r="T301" s="21" t="s">
        <v>22</v>
      </c>
      <c r="U301" s="21" t="s">
        <v>22</v>
      </c>
      <c r="V301" s="21" t="s">
        <v>22</v>
      </c>
      <c r="W301" s="21" t="s">
        <v>22</v>
      </c>
      <c r="X301" s="21" t="s">
        <v>22</v>
      </c>
      <c r="Y301" s="21" t="s">
        <v>22</v>
      </c>
      <c r="Z301" s="21" t="s">
        <v>22</v>
      </c>
      <c r="AA301" s="21" t="s">
        <v>22</v>
      </c>
      <c r="AB301" s="21" t="s">
        <v>22</v>
      </c>
      <c r="AC301" s="21" t="s">
        <v>22</v>
      </c>
      <c r="AD301" s="21" t="s">
        <v>22</v>
      </c>
      <c r="AE301" s="21" t="s">
        <v>22</v>
      </c>
      <c r="AF301" s="21" t="s">
        <v>22</v>
      </c>
      <c r="AG301" s="21" t="s">
        <v>22</v>
      </c>
      <c r="AH301" s="21" t="s">
        <v>22</v>
      </c>
      <c r="AI301" s="21" t="s">
        <v>22</v>
      </c>
      <c r="AJ301" s="21" t="s">
        <v>22</v>
      </c>
      <c r="AK301" s="21" t="s">
        <v>22</v>
      </c>
      <c r="AL301" s="21" t="s">
        <v>22</v>
      </c>
      <c r="AM301" s="21" t="s">
        <v>83</v>
      </c>
      <c r="AN301" s="21" t="s">
        <v>109</v>
      </c>
      <c r="AO301" s="21" t="s">
        <v>109</v>
      </c>
      <c r="AP301" s="21" t="s">
        <v>83</v>
      </c>
      <c r="AQ301" s="21" t="s">
        <v>83</v>
      </c>
      <c r="AR301" s="21" t="s">
        <v>198</v>
      </c>
      <c r="AS301" s="21" t="s">
        <v>198</v>
      </c>
      <c r="AT301" s="21" t="s">
        <v>109</v>
      </c>
      <c r="AU301" s="21" t="s">
        <v>198</v>
      </c>
      <c r="AV301" s="21" t="s">
        <v>198</v>
      </c>
      <c r="AW301" s="21" t="s">
        <v>198</v>
      </c>
      <c r="AX301" s="21" t="s">
        <v>109</v>
      </c>
      <c r="AY301" s="21" t="s">
        <v>198</v>
      </c>
      <c r="AZ301" s="21" t="s">
        <v>198</v>
      </c>
      <c r="BA301" s="17" t="s">
        <v>250</v>
      </c>
      <c r="BB301" s="17" t="s">
        <v>223</v>
      </c>
      <c r="BC301" s="18">
        <f>--ISNUMBER(SEARCH("Radio or television",BA301))</f>
        <v>0</v>
      </c>
      <c r="BD301" s="18">
        <f>--ISNUMBER(SEARCH("Newspapers or print media",BA301))</f>
        <v>0</v>
      </c>
      <c r="BE301" s="18">
        <f>--ISNUMBER(SEARCH("Social media (e.g. Facebook, WhatsApp, YouTube, X/Twitter)",BA301))</f>
        <v>1</v>
      </c>
      <c r="BF301" s="18">
        <f>--ISNUMBER(SEARCH("Family members",BA301))</f>
        <v>0</v>
      </c>
      <c r="BG301" s="18">
        <f>--ISNUMBER(SEARCH("Friends or fellow students",BA301))</f>
        <v>0</v>
      </c>
      <c r="BH301" s="18">
        <f>--ISNUMBER(SEARCH("School coursework or lectures",BA301))</f>
        <v>0</v>
      </c>
      <c r="BI301" s="18">
        <f>--ISNUMBER(SEARCH("NHIMA outreach activities or NHIMA offices",BA301))</f>
        <v>0</v>
      </c>
      <c r="BJ301" s="18">
        <f>--ISNUMBER(SEARCH("Health facility staff",BA301))</f>
        <v>0</v>
      </c>
      <c r="BK301" s="18">
        <f>--ISNUMBER(SEARCH("not received information",BA301))</f>
        <v>0</v>
      </c>
      <c r="BL301" s="18">
        <f>IF(T301="","",--(T301='Codebook'!$F$13))</f>
        <v>1</v>
      </c>
      <c r="BM301" s="18">
        <f>IF(U301="","",--(U301='Codebook'!$F$14))</f>
        <v>0</v>
      </c>
      <c r="BN301" s="18">
        <f>IF(V301="","",--(V301='Codebook'!$F$15))</f>
        <v>0</v>
      </c>
      <c r="BO301" s="18">
        <f>IF(W301="","",--(W301='Codebook'!$F$16))</f>
        <v>1</v>
      </c>
      <c r="BP301" s="18">
        <f>IF(X301="","",--(X301='Codebook'!$F$17))</f>
        <v>1</v>
      </c>
      <c r="BQ301" s="18">
        <f>IF(Y301="","",--(Y301='Codebook'!$F$18))</f>
        <v>0</v>
      </c>
      <c r="BR301" s="18">
        <f>IF(Z301="","",--(Z301='Codebook'!$F$19))</f>
        <v>1</v>
      </c>
      <c r="BS301" s="18">
        <f>IF(AA301="","",--(AA301='Codebook'!$F$20))</f>
        <v>1</v>
      </c>
      <c r="BT301" s="18">
        <f>IF(AB301="","",--(AB301='Codebook'!$F$21))</f>
        <v>0</v>
      </c>
      <c r="BU301" s="18">
        <f>IF(AC301="","",--(AC301='Codebook'!$F$22))</f>
        <v>1</v>
      </c>
      <c r="BV301" s="18">
        <f>IF(AD301="","",--(AD301='Codebook'!$F$23))</f>
        <v>1</v>
      </c>
      <c r="BW301" s="18">
        <f>IF(AE301="","",--(AE301='Codebook'!$F$24))</f>
        <v>1</v>
      </c>
      <c r="BX301" s="18">
        <f>IF(AF301="","",--(AF301='Codebook'!$F$25))</f>
        <v>0</v>
      </c>
      <c r="BY301" s="18">
        <f>IF(AG301="","",--(AG301='Codebook'!$F$26))</f>
        <v>1</v>
      </c>
      <c r="BZ301" s="18">
        <f>IF(AH301="","",--(AH301='Codebook'!$F$27))</f>
        <v>1</v>
      </c>
      <c r="CA301" s="18">
        <f>IF(AI301="","",--(AI301='Codebook'!$F$28))</f>
        <v>0</v>
      </c>
      <c r="CB301" s="18">
        <f>IF(AJ301="","",--(AJ301='Codebook'!$F$29))</f>
        <v>0</v>
      </c>
      <c r="CC301" s="18">
        <f>IF(AK301="","",--(AK301='Codebook'!$F$30))</f>
        <v>1</v>
      </c>
      <c r="CD301" s="18">
        <f>IF(AL301="","",--(AL301='Codebook'!$F$31))</f>
        <v>0</v>
      </c>
      <c r="CE301" s="18">
        <f>IF(AM301="","",--(AM301='Codebook'!$F$32))</f>
        <v>1</v>
      </c>
      <c r="CF301" s="18">
        <f>IF(AN301="","",--(AN301='Codebook'!$F$33))</f>
        <v>0</v>
      </c>
      <c r="CG301" s="18">
        <f>IF(AO301="","",--(AO301='Codebook'!$F$34))</f>
        <v>0</v>
      </c>
      <c r="CH301" s="18">
        <f>IF(AP301="","",--(AP301='Codebook'!$F$35))</f>
        <v>1</v>
      </c>
      <c r="CI301" s="18">
        <f>IF(AQ301="","",--(AQ301='Codebook'!$F$36))</f>
        <v>1</v>
      </c>
      <c r="CJ301" s="18">
        <f>IF(AR301="","",--(AR301='Codebook'!$F$37))</f>
        <v>0</v>
      </c>
      <c r="CK301" s="18">
        <f>IF(AS301="","",--(AS301='Codebook'!$F$38))</f>
        <v>0</v>
      </c>
      <c r="CL301" s="18">
        <f>IF(AT301="","",--(AT301='Codebook'!$F$39))</f>
        <v>0</v>
      </c>
      <c r="CM301" s="18">
        <f>IF(AU301="","",--(AU301='Codebook'!$F$40))</f>
        <v>0</v>
      </c>
      <c r="CN301" s="18">
        <f>IF(AV301="","",--(AV301='Codebook'!$F$41))</f>
        <v>0</v>
      </c>
      <c r="CO301" s="18">
        <f>IF(AW301="","",--(AW301='Codebook'!$F$42))</f>
        <v>0</v>
      </c>
      <c r="CP301" s="18">
        <f>IF(AX301="","",--(AX301='Codebook'!$F$43))</f>
        <v>1</v>
      </c>
      <c r="CQ301" s="18">
        <f>IF(AY301="","",--(AY301='Codebook'!$F$44))</f>
        <v>0</v>
      </c>
      <c r="CR301" s="18">
        <f>IF(AZ301="","",--(AZ301='Codebook'!$F$45))</f>
        <v>0</v>
      </c>
    </row>
    <row r="302" spans="2:96" ht="24" customHeight="1">
      <c r="B302" s="18">
        <v>297</v>
      </c>
      <c r="C302" s="23">
        <v>46290.49861954861</v>
      </c>
      <c r="D302" s="21" t="s">
        <v>275</v>
      </c>
      <c r="E302" s="21" t="s">
        <v>206</v>
      </c>
      <c r="F302" s="21" t="s">
        <v>195</v>
      </c>
      <c r="G302" s="17" t="s">
        <v>247</v>
      </c>
      <c r="H302" s="21" t="s">
        <v>197</v>
      </c>
      <c r="I302" s="18">
        <f>SUM(BL302:BU302)</f>
        <v>9</v>
      </c>
      <c r="J302" s="18">
        <f>IF(COUNT(BV302:CD302)=9,SUM(BV302:CD302),"")</f>
        <v>3</v>
      </c>
      <c r="K302" s="18">
        <f>SUM(BL302:CD302)</f>
        <v>12</v>
      </c>
      <c r="L302" s="18">
        <f>--(K302&gt;='Codebook'!$C$8)</f>
        <v>1</v>
      </c>
      <c r="M302" s="18">
        <f>--(COUNT(BL302:CD302)=19)</f>
        <v>1</v>
      </c>
      <c r="N302" s="18">
        <f>SUM(CE302:CL302)</f>
        <v>7</v>
      </c>
      <c r="O302" s="18">
        <f>SUM(CM302:CR302)</f>
        <v>1</v>
      </c>
      <c r="P302" s="18">
        <f>N302+O302</f>
        <v>8</v>
      </c>
      <c r="Q302" s="21" t="s">
        <v>198</v>
      </c>
      <c r="R302" s="17" t="s">
        <v>154</v>
      </c>
      <c r="S302" s="18">
        <f>--OR(Overview!$B$6="All",E302=Overview!$B$6)*--OR(Overview!$F$6="All",F302=Overview!$F$6)*--OR(Overview!$J$6="All",G302=Overview!$J$6)*--OR(Overview!$N$6="All",H302=Overview!$N$6)</f>
        <v>1</v>
      </c>
      <c r="T302" s="21" t="s">
        <v>22</v>
      </c>
      <c r="U302" s="21" t="s">
        <v>26</v>
      </c>
      <c r="V302" s="21" t="s">
        <v>22</v>
      </c>
      <c r="W302" s="21" t="s">
        <v>22</v>
      </c>
      <c r="X302" s="21" t="s">
        <v>22</v>
      </c>
      <c r="Y302" s="21" t="s">
        <v>26</v>
      </c>
      <c r="Z302" s="21" t="s">
        <v>22</v>
      </c>
      <c r="AA302" s="21" t="s">
        <v>22</v>
      </c>
      <c r="AB302" s="21" t="s">
        <v>26</v>
      </c>
      <c r="AC302" s="21" t="s">
        <v>22</v>
      </c>
      <c r="AD302" s="21" t="s">
        <v>22</v>
      </c>
      <c r="AE302" s="21" t="s">
        <v>26</v>
      </c>
      <c r="AF302" s="21" t="s">
        <v>198</v>
      </c>
      <c r="AG302" s="21" t="s">
        <v>22</v>
      </c>
      <c r="AH302" s="21" t="s">
        <v>22</v>
      </c>
      <c r="AI302" s="21" t="s">
        <v>22</v>
      </c>
      <c r="AJ302" s="21" t="s">
        <v>22</v>
      </c>
      <c r="AK302" s="21" t="s">
        <v>26</v>
      </c>
      <c r="AL302" s="21" t="s">
        <v>22</v>
      </c>
      <c r="AM302" s="21" t="s">
        <v>83</v>
      </c>
      <c r="AN302" s="21" t="s">
        <v>109</v>
      </c>
      <c r="AO302" s="21" t="s">
        <v>83</v>
      </c>
      <c r="AP302" s="21" t="s">
        <v>83</v>
      </c>
      <c r="AQ302" s="21" t="s">
        <v>83</v>
      </c>
      <c r="AR302" s="21" t="s">
        <v>83</v>
      </c>
      <c r="AS302" s="21" t="s">
        <v>83</v>
      </c>
      <c r="AT302" s="21" t="s">
        <v>83</v>
      </c>
      <c r="AU302" s="21" t="s">
        <v>83</v>
      </c>
      <c r="AV302" s="21" t="s">
        <v>83</v>
      </c>
      <c r="AW302" s="21" t="s">
        <v>83</v>
      </c>
      <c r="AX302" s="21" t="s">
        <v>109</v>
      </c>
      <c r="AY302" s="21" t="s">
        <v>83</v>
      </c>
      <c r="AZ302" s="21" t="s">
        <v>198</v>
      </c>
      <c r="BA302" s="17" t="s">
        <v>246</v>
      </c>
      <c r="BB302" s="17" t="s">
        <v>250</v>
      </c>
      <c r="BC302" s="18">
        <f>--ISNUMBER(SEARCH("Radio or television",BA302))</f>
        <v>1</v>
      </c>
      <c r="BD302" s="18">
        <f>--ISNUMBER(SEARCH("Newspapers or print media",BA302))</f>
        <v>0</v>
      </c>
      <c r="BE302" s="18">
        <f>--ISNUMBER(SEARCH("Social media (e.g. Facebook, WhatsApp, YouTube, X/Twitter)",BA302))</f>
        <v>1</v>
      </c>
      <c r="BF302" s="18">
        <f>--ISNUMBER(SEARCH("Family members",BA302))</f>
        <v>0</v>
      </c>
      <c r="BG302" s="18">
        <f>--ISNUMBER(SEARCH("Friends or fellow students",BA302))</f>
        <v>0</v>
      </c>
      <c r="BH302" s="18">
        <f>--ISNUMBER(SEARCH("School coursework or lectures",BA302))</f>
        <v>0</v>
      </c>
      <c r="BI302" s="18">
        <f>--ISNUMBER(SEARCH("NHIMA outreach activities or NHIMA offices",BA302))</f>
        <v>0</v>
      </c>
      <c r="BJ302" s="18">
        <f>--ISNUMBER(SEARCH("Health facility staff",BA302))</f>
        <v>0</v>
      </c>
      <c r="BK302" s="18">
        <f>--ISNUMBER(SEARCH("not received information",BA302))</f>
        <v>0</v>
      </c>
      <c r="BL302" s="18">
        <f>IF(T302="","",--(T302='Codebook'!$F$13))</f>
        <v>1</v>
      </c>
      <c r="BM302" s="18">
        <f>IF(U302="","",--(U302='Codebook'!$F$14))</f>
        <v>1</v>
      </c>
      <c r="BN302" s="18">
        <f>IF(V302="","",--(V302='Codebook'!$F$15))</f>
        <v>0</v>
      </c>
      <c r="BO302" s="18">
        <f>IF(W302="","",--(W302='Codebook'!$F$16))</f>
        <v>1</v>
      </c>
      <c r="BP302" s="18">
        <f>IF(X302="","",--(X302='Codebook'!$F$17))</f>
        <v>1</v>
      </c>
      <c r="BQ302" s="18">
        <f>IF(Y302="","",--(Y302='Codebook'!$F$18))</f>
        <v>1</v>
      </c>
      <c r="BR302" s="18">
        <f>IF(Z302="","",--(Z302='Codebook'!$F$19))</f>
        <v>1</v>
      </c>
      <c r="BS302" s="18">
        <f>IF(AA302="","",--(AA302='Codebook'!$F$20))</f>
        <v>1</v>
      </c>
      <c r="BT302" s="18">
        <f>IF(AB302="","",--(AB302='Codebook'!$F$21))</f>
        <v>1</v>
      </c>
      <c r="BU302" s="18">
        <f>IF(AC302="","",--(AC302='Codebook'!$F$22))</f>
        <v>1</v>
      </c>
      <c r="BV302" s="18">
        <f>IF(AD302="","",--(AD302='Codebook'!$F$23))</f>
        <v>1</v>
      </c>
      <c r="BW302" s="18">
        <f>IF(AE302="","",--(AE302='Codebook'!$F$24))</f>
        <v>0</v>
      </c>
      <c r="BX302" s="18">
        <f>IF(AF302="","",--(AF302='Codebook'!$F$25))</f>
        <v>0</v>
      </c>
      <c r="BY302" s="18">
        <f>IF(AG302="","",--(AG302='Codebook'!$F$26))</f>
        <v>1</v>
      </c>
      <c r="BZ302" s="18">
        <f>IF(AH302="","",--(AH302='Codebook'!$F$27))</f>
        <v>1</v>
      </c>
      <c r="CA302" s="18">
        <f>IF(AI302="","",--(AI302='Codebook'!$F$28))</f>
        <v>0</v>
      </c>
      <c r="CB302" s="18">
        <f>IF(AJ302="","",--(AJ302='Codebook'!$F$29))</f>
        <v>0</v>
      </c>
      <c r="CC302" s="18">
        <f>IF(AK302="","",--(AK302='Codebook'!$F$30))</f>
        <v>0</v>
      </c>
      <c r="CD302" s="18">
        <f>IF(AL302="","",--(AL302='Codebook'!$F$31))</f>
        <v>0</v>
      </c>
      <c r="CE302" s="18">
        <f>IF(AM302="","",--(AM302='Codebook'!$F$32))</f>
        <v>1</v>
      </c>
      <c r="CF302" s="18">
        <f>IF(AN302="","",--(AN302='Codebook'!$F$33))</f>
        <v>0</v>
      </c>
      <c r="CG302" s="18">
        <f>IF(AO302="","",--(AO302='Codebook'!$F$34))</f>
        <v>1</v>
      </c>
      <c r="CH302" s="18">
        <f>IF(AP302="","",--(AP302='Codebook'!$F$35))</f>
        <v>1</v>
      </c>
      <c r="CI302" s="18">
        <f>IF(AQ302="","",--(AQ302='Codebook'!$F$36))</f>
        <v>1</v>
      </c>
      <c r="CJ302" s="18">
        <f>IF(AR302="","",--(AR302='Codebook'!$F$37))</f>
        <v>1</v>
      </c>
      <c r="CK302" s="18">
        <f>IF(AS302="","",--(AS302='Codebook'!$F$38))</f>
        <v>1</v>
      </c>
      <c r="CL302" s="18">
        <f>IF(AT302="","",--(AT302='Codebook'!$F$39))</f>
        <v>1</v>
      </c>
      <c r="CM302" s="18">
        <f>IF(AU302="","",--(AU302='Codebook'!$F$40))</f>
        <v>0</v>
      </c>
      <c r="CN302" s="18">
        <f>IF(AV302="","",--(AV302='Codebook'!$F$41))</f>
        <v>0</v>
      </c>
      <c r="CO302" s="18">
        <f>IF(AW302="","",--(AW302='Codebook'!$F$42))</f>
        <v>0</v>
      </c>
      <c r="CP302" s="18">
        <f>IF(AX302="","",--(AX302='Codebook'!$F$43))</f>
        <v>1</v>
      </c>
      <c r="CQ302" s="18">
        <f>IF(AY302="","",--(AY302='Codebook'!$F$44))</f>
        <v>0</v>
      </c>
      <c r="CR302" s="18">
        <f>IF(AZ302="","",--(AZ302='Codebook'!$F$45))</f>
        <v>0</v>
      </c>
    </row>
    <row r="303" spans="2:96" ht="24" customHeight="1">
      <c r="B303" s="18">
        <v>298</v>
      </c>
      <c r="C303" s="23">
        <v>46290.49940418982</v>
      </c>
      <c r="D303" s="21" t="s">
        <v>275</v>
      </c>
      <c r="E303" s="21" t="s">
        <v>206</v>
      </c>
      <c r="F303" s="21" t="s">
        <v>226</v>
      </c>
      <c r="G303" s="17" t="s">
        <v>215</v>
      </c>
      <c r="H303" s="21" t="s">
        <v>198</v>
      </c>
      <c r="I303" s="18">
        <f>SUM(BL303:BU303)</f>
        <v>5</v>
      </c>
      <c r="J303" s="18">
        <f>IF(COUNT(BV303:CD303)=9,SUM(BV303:CD303),"")</f>
        <v>6</v>
      </c>
      <c r="K303" s="18">
        <f>SUM(BL303:CD303)</f>
        <v>11</v>
      </c>
      <c r="L303" s="18">
        <f>--(K303&gt;='Codebook'!$C$8)</f>
        <v>0</v>
      </c>
      <c r="M303" s="18">
        <f>--(COUNT(BL303:CD303)=19)</f>
        <v>1</v>
      </c>
      <c r="N303" s="18">
        <f>SUM(CE303:CL303)</f>
        <v>4</v>
      </c>
      <c r="O303" s="18">
        <f>SUM(CM303:CR303)</f>
        <v>0</v>
      </c>
      <c r="P303" s="18">
        <f>N303+O303</f>
        <v>4</v>
      </c>
      <c r="Q303" s="21" t="s">
        <v>197</v>
      </c>
      <c r="R303" s="17" t="s">
        <v>154</v>
      </c>
      <c r="S303" s="18">
        <f>--OR(Overview!$B$6="All",E303=Overview!$B$6)*--OR(Overview!$F$6="All",F303=Overview!$F$6)*--OR(Overview!$J$6="All",G303=Overview!$J$6)*--OR(Overview!$N$6="All",H303=Overview!$N$6)</f>
        <v>1</v>
      </c>
      <c r="T303" s="21" t="s">
        <v>22</v>
      </c>
      <c r="U303" s="21" t="s">
        <v>22</v>
      </c>
      <c r="V303" s="21" t="s">
        <v>22</v>
      </c>
      <c r="W303" s="21" t="s">
        <v>22</v>
      </c>
      <c r="X303" s="21" t="s">
        <v>22</v>
      </c>
      <c r="Y303" s="21" t="s">
        <v>22</v>
      </c>
      <c r="Z303" s="21" t="s">
        <v>26</v>
      </c>
      <c r="AA303" s="21" t="s">
        <v>22</v>
      </c>
      <c r="AB303" s="21" t="s">
        <v>22</v>
      </c>
      <c r="AC303" s="21" t="s">
        <v>22</v>
      </c>
      <c r="AD303" s="21" t="s">
        <v>22</v>
      </c>
      <c r="AE303" s="21" t="s">
        <v>22</v>
      </c>
      <c r="AF303" s="21" t="s">
        <v>198</v>
      </c>
      <c r="AG303" s="21" t="s">
        <v>22</v>
      </c>
      <c r="AH303" s="21" t="s">
        <v>22</v>
      </c>
      <c r="AI303" s="21" t="s">
        <v>26</v>
      </c>
      <c r="AJ303" s="21" t="s">
        <v>198</v>
      </c>
      <c r="AK303" s="21" t="s">
        <v>198</v>
      </c>
      <c r="AL303" s="21" t="s">
        <v>26</v>
      </c>
      <c r="AM303" s="21" t="s">
        <v>83</v>
      </c>
      <c r="AN303" s="21" t="s">
        <v>198</v>
      </c>
      <c r="AO303" s="21" t="s">
        <v>198</v>
      </c>
      <c r="AP303" s="21" t="s">
        <v>198</v>
      </c>
      <c r="AQ303" s="21" t="s">
        <v>83</v>
      </c>
      <c r="AR303" s="21" t="s">
        <v>83</v>
      </c>
      <c r="AS303" s="21" t="s">
        <v>83</v>
      </c>
      <c r="AT303" s="21" t="s">
        <v>198</v>
      </c>
      <c r="AU303" s="21" t="s">
        <v>83</v>
      </c>
      <c r="AV303" s="21" t="s">
        <v>198</v>
      </c>
      <c r="AW303" s="21" t="s">
        <v>198</v>
      </c>
      <c r="AX303" s="21" t="s">
        <v>83</v>
      </c>
      <c r="AY303" s="21" t="s">
        <v>198</v>
      </c>
      <c r="AZ303" s="21" t="s">
        <v>198</v>
      </c>
      <c r="BA303" s="17" t="s">
        <v>246</v>
      </c>
      <c r="BB303" s="17" t="s">
        <v>250</v>
      </c>
      <c r="BC303" s="18">
        <f>--ISNUMBER(SEARCH("Radio or television",BA303))</f>
        <v>1</v>
      </c>
      <c r="BD303" s="18">
        <f>--ISNUMBER(SEARCH("Newspapers or print media",BA303))</f>
        <v>0</v>
      </c>
      <c r="BE303" s="18">
        <f>--ISNUMBER(SEARCH("Social media (e.g. Facebook, WhatsApp, YouTube, X/Twitter)",BA303))</f>
        <v>1</v>
      </c>
      <c r="BF303" s="18">
        <f>--ISNUMBER(SEARCH("Family members",BA303))</f>
        <v>0</v>
      </c>
      <c r="BG303" s="18">
        <f>--ISNUMBER(SEARCH("Friends or fellow students",BA303))</f>
        <v>0</v>
      </c>
      <c r="BH303" s="18">
        <f>--ISNUMBER(SEARCH("School coursework or lectures",BA303))</f>
        <v>0</v>
      </c>
      <c r="BI303" s="18">
        <f>--ISNUMBER(SEARCH("NHIMA outreach activities or NHIMA offices",BA303))</f>
        <v>0</v>
      </c>
      <c r="BJ303" s="18">
        <f>--ISNUMBER(SEARCH("Health facility staff",BA303))</f>
        <v>0</v>
      </c>
      <c r="BK303" s="18">
        <f>--ISNUMBER(SEARCH("not received information",BA303))</f>
        <v>0</v>
      </c>
      <c r="BL303" s="18">
        <f>IF(T303="","",--(T303='Codebook'!$F$13))</f>
        <v>1</v>
      </c>
      <c r="BM303" s="18">
        <f>IF(U303="","",--(U303='Codebook'!$F$14))</f>
        <v>0</v>
      </c>
      <c r="BN303" s="18">
        <f>IF(V303="","",--(V303='Codebook'!$F$15))</f>
        <v>0</v>
      </c>
      <c r="BO303" s="18">
        <f>IF(W303="","",--(W303='Codebook'!$F$16))</f>
        <v>1</v>
      </c>
      <c r="BP303" s="18">
        <f>IF(X303="","",--(X303='Codebook'!$F$17))</f>
        <v>1</v>
      </c>
      <c r="BQ303" s="18">
        <f>IF(Y303="","",--(Y303='Codebook'!$F$18))</f>
        <v>0</v>
      </c>
      <c r="BR303" s="18">
        <f>IF(Z303="","",--(Z303='Codebook'!$F$19))</f>
        <v>0</v>
      </c>
      <c r="BS303" s="18">
        <f>IF(AA303="","",--(AA303='Codebook'!$F$20))</f>
        <v>1</v>
      </c>
      <c r="BT303" s="18">
        <f>IF(AB303="","",--(AB303='Codebook'!$F$21))</f>
        <v>0</v>
      </c>
      <c r="BU303" s="18">
        <f>IF(AC303="","",--(AC303='Codebook'!$F$22))</f>
        <v>1</v>
      </c>
      <c r="BV303" s="18">
        <f>IF(AD303="","",--(AD303='Codebook'!$F$23))</f>
        <v>1</v>
      </c>
      <c r="BW303" s="18">
        <f>IF(AE303="","",--(AE303='Codebook'!$F$24))</f>
        <v>1</v>
      </c>
      <c r="BX303" s="18">
        <f>IF(AF303="","",--(AF303='Codebook'!$F$25))</f>
        <v>0</v>
      </c>
      <c r="BY303" s="18">
        <f>IF(AG303="","",--(AG303='Codebook'!$F$26))</f>
        <v>1</v>
      </c>
      <c r="BZ303" s="18">
        <f>IF(AH303="","",--(AH303='Codebook'!$F$27))</f>
        <v>1</v>
      </c>
      <c r="CA303" s="18">
        <f>IF(AI303="","",--(AI303='Codebook'!$F$28))</f>
        <v>1</v>
      </c>
      <c r="CB303" s="18">
        <f>IF(AJ303="","",--(AJ303='Codebook'!$F$29))</f>
        <v>0</v>
      </c>
      <c r="CC303" s="18">
        <f>IF(AK303="","",--(AK303='Codebook'!$F$30))</f>
        <v>0</v>
      </c>
      <c r="CD303" s="18">
        <f>IF(AL303="","",--(AL303='Codebook'!$F$31))</f>
        <v>1</v>
      </c>
      <c r="CE303" s="18">
        <f>IF(AM303="","",--(AM303='Codebook'!$F$32))</f>
        <v>1</v>
      </c>
      <c r="CF303" s="18">
        <f>IF(AN303="","",--(AN303='Codebook'!$F$33))</f>
        <v>0</v>
      </c>
      <c r="CG303" s="18">
        <f>IF(AO303="","",--(AO303='Codebook'!$F$34))</f>
        <v>0</v>
      </c>
      <c r="CH303" s="18">
        <f>IF(AP303="","",--(AP303='Codebook'!$F$35))</f>
        <v>0</v>
      </c>
      <c r="CI303" s="18">
        <f>IF(AQ303="","",--(AQ303='Codebook'!$F$36))</f>
        <v>1</v>
      </c>
      <c r="CJ303" s="18">
        <f>IF(AR303="","",--(AR303='Codebook'!$F$37))</f>
        <v>1</v>
      </c>
      <c r="CK303" s="18">
        <f>IF(AS303="","",--(AS303='Codebook'!$F$38))</f>
        <v>1</v>
      </c>
      <c r="CL303" s="18">
        <f>IF(AT303="","",--(AT303='Codebook'!$F$39))</f>
        <v>0</v>
      </c>
      <c r="CM303" s="18">
        <f>IF(AU303="","",--(AU303='Codebook'!$F$40))</f>
        <v>0</v>
      </c>
      <c r="CN303" s="18">
        <f>IF(AV303="","",--(AV303='Codebook'!$F$41))</f>
        <v>0</v>
      </c>
      <c r="CO303" s="18">
        <f>IF(AW303="","",--(AW303='Codebook'!$F$42))</f>
        <v>0</v>
      </c>
      <c r="CP303" s="18">
        <f>IF(AX303="","",--(AX303='Codebook'!$F$43))</f>
        <v>0</v>
      </c>
      <c r="CQ303" s="18">
        <f>IF(AY303="","",--(AY303='Codebook'!$F$44))</f>
        <v>0</v>
      </c>
      <c r="CR303" s="18">
        <f>IF(AZ303="","",--(AZ303='Codebook'!$F$45))</f>
        <v>0</v>
      </c>
    </row>
    <row r="304" spans="2:96" ht="24" customHeight="1">
      <c r="B304" s="18">
        <v>299</v>
      </c>
      <c r="C304" s="23">
        <v>46290.5386050926</v>
      </c>
      <c r="D304" s="21" t="s">
        <v>275</v>
      </c>
      <c r="E304" s="21" t="s">
        <v>206</v>
      </c>
      <c r="F304" s="21" t="s">
        <v>195</v>
      </c>
      <c r="G304" s="17" t="s">
        <v>196</v>
      </c>
      <c r="H304" s="21" t="s">
        <v>207</v>
      </c>
      <c r="I304" s="18">
        <f>SUM(BL304:BU304)</f>
        <v>7</v>
      </c>
      <c r="J304" s="18">
        <f>IF(COUNT(BV304:CD304)=9,SUM(BV304:CD304),"")</f>
        <v>5</v>
      </c>
      <c r="K304" s="18">
        <f>SUM(BL304:CD304)</f>
        <v>12</v>
      </c>
      <c r="L304" s="18">
        <f>--(K304&gt;='Codebook'!$C$8)</f>
        <v>1</v>
      </c>
      <c r="M304" s="18">
        <f>--(COUNT(BL304:CD304)=19)</f>
        <v>1</v>
      </c>
      <c r="N304" s="18">
        <f>SUM(CE304:CL304)</f>
        <v>8</v>
      </c>
      <c r="O304" s="18">
        <f>SUM(CM304:CR304)</f>
        <v>0</v>
      </c>
      <c r="P304" s="18">
        <f>N304+O304</f>
        <v>8</v>
      </c>
      <c r="Q304" s="21" t="s">
        <v>197</v>
      </c>
      <c r="R304" s="17" t="s">
        <v>216</v>
      </c>
      <c r="S304" s="18">
        <f>--OR(Overview!$B$6="All",E304=Overview!$B$6)*--OR(Overview!$F$6="All",F304=Overview!$F$6)*--OR(Overview!$J$6="All",G304=Overview!$J$6)*--OR(Overview!$N$6="All",H304=Overview!$N$6)</f>
        <v>1</v>
      </c>
      <c r="T304" s="21" t="s">
        <v>22</v>
      </c>
      <c r="U304" s="21" t="s">
        <v>22</v>
      </c>
      <c r="V304" s="21" t="s">
        <v>22</v>
      </c>
      <c r="W304" s="21" t="s">
        <v>22</v>
      </c>
      <c r="X304" s="21" t="s">
        <v>22</v>
      </c>
      <c r="Y304" s="21" t="s">
        <v>22</v>
      </c>
      <c r="Z304" s="21" t="s">
        <v>22</v>
      </c>
      <c r="AA304" s="21" t="s">
        <v>22</v>
      </c>
      <c r="AB304" s="21" t="s">
        <v>26</v>
      </c>
      <c r="AC304" s="21" t="s">
        <v>22</v>
      </c>
      <c r="AD304" s="21" t="s">
        <v>22</v>
      </c>
      <c r="AE304" s="21" t="s">
        <v>22</v>
      </c>
      <c r="AF304" s="21" t="s">
        <v>22</v>
      </c>
      <c r="AG304" s="21" t="s">
        <v>22</v>
      </c>
      <c r="AH304" s="21" t="s">
        <v>22</v>
      </c>
      <c r="AI304" s="21" t="s">
        <v>22</v>
      </c>
      <c r="AJ304" s="21" t="s">
        <v>22</v>
      </c>
      <c r="AK304" s="21" t="s">
        <v>22</v>
      </c>
      <c r="AL304" s="21" t="s">
        <v>22</v>
      </c>
      <c r="AM304" s="21" t="s">
        <v>83</v>
      </c>
      <c r="AN304" s="21" t="s">
        <v>83</v>
      </c>
      <c r="AO304" s="21" t="s">
        <v>83</v>
      </c>
      <c r="AP304" s="21" t="s">
        <v>83</v>
      </c>
      <c r="AQ304" s="21" t="s">
        <v>83</v>
      </c>
      <c r="AR304" s="21" t="s">
        <v>83</v>
      </c>
      <c r="AS304" s="21" t="s">
        <v>83</v>
      </c>
      <c r="AT304" s="21" t="s">
        <v>83</v>
      </c>
      <c r="AU304" s="21" t="s">
        <v>83</v>
      </c>
      <c r="AV304" s="21" t="s">
        <v>83</v>
      </c>
      <c r="AW304" s="21" t="s">
        <v>83</v>
      </c>
      <c r="AX304" s="21" t="s">
        <v>83</v>
      </c>
      <c r="AY304" s="21" t="s">
        <v>83</v>
      </c>
      <c r="AZ304" s="21" t="s">
        <v>83</v>
      </c>
      <c r="BA304" s="17" t="s">
        <v>246</v>
      </c>
      <c r="BB304" s="17" t="s">
        <v>246</v>
      </c>
      <c r="BC304" s="18">
        <f>--ISNUMBER(SEARCH("Radio or television",BA304))</f>
        <v>1</v>
      </c>
      <c r="BD304" s="18">
        <f>--ISNUMBER(SEARCH("Newspapers or print media",BA304))</f>
        <v>0</v>
      </c>
      <c r="BE304" s="18">
        <f>--ISNUMBER(SEARCH("Social media (e.g. Facebook, WhatsApp, YouTube, X/Twitter)",BA304))</f>
        <v>1</v>
      </c>
      <c r="BF304" s="18">
        <f>--ISNUMBER(SEARCH("Family members",BA304))</f>
        <v>0</v>
      </c>
      <c r="BG304" s="18">
        <f>--ISNUMBER(SEARCH("Friends or fellow students",BA304))</f>
        <v>0</v>
      </c>
      <c r="BH304" s="18">
        <f>--ISNUMBER(SEARCH("School coursework or lectures",BA304))</f>
        <v>0</v>
      </c>
      <c r="BI304" s="18">
        <f>--ISNUMBER(SEARCH("NHIMA outreach activities or NHIMA offices",BA304))</f>
        <v>0</v>
      </c>
      <c r="BJ304" s="18">
        <f>--ISNUMBER(SEARCH("Health facility staff",BA304))</f>
        <v>0</v>
      </c>
      <c r="BK304" s="18">
        <f>--ISNUMBER(SEARCH("not received information",BA304))</f>
        <v>0</v>
      </c>
      <c r="BL304" s="18">
        <f>IF(T304="","",--(T304='Codebook'!$F$13))</f>
        <v>1</v>
      </c>
      <c r="BM304" s="18">
        <f>IF(U304="","",--(U304='Codebook'!$F$14))</f>
        <v>0</v>
      </c>
      <c r="BN304" s="18">
        <f>IF(V304="","",--(V304='Codebook'!$F$15))</f>
        <v>0</v>
      </c>
      <c r="BO304" s="18">
        <f>IF(W304="","",--(W304='Codebook'!$F$16))</f>
        <v>1</v>
      </c>
      <c r="BP304" s="18">
        <f>IF(X304="","",--(X304='Codebook'!$F$17))</f>
        <v>1</v>
      </c>
      <c r="BQ304" s="18">
        <f>IF(Y304="","",--(Y304='Codebook'!$F$18))</f>
        <v>0</v>
      </c>
      <c r="BR304" s="18">
        <f>IF(Z304="","",--(Z304='Codebook'!$F$19))</f>
        <v>1</v>
      </c>
      <c r="BS304" s="18">
        <f>IF(AA304="","",--(AA304='Codebook'!$F$20))</f>
        <v>1</v>
      </c>
      <c r="BT304" s="18">
        <f>IF(AB304="","",--(AB304='Codebook'!$F$21))</f>
        <v>1</v>
      </c>
      <c r="BU304" s="18">
        <f>IF(AC304="","",--(AC304='Codebook'!$F$22))</f>
        <v>1</v>
      </c>
      <c r="BV304" s="18">
        <f>IF(AD304="","",--(AD304='Codebook'!$F$23))</f>
        <v>1</v>
      </c>
      <c r="BW304" s="18">
        <f>IF(AE304="","",--(AE304='Codebook'!$F$24))</f>
        <v>1</v>
      </c>
      <c r="BX304" s="18">
        <f>IF(AF304="","",--(AF304='Codebook'!$F$25))</f>
        <v>0</v>
      </c>
      <c r="BY304" s="18">
        <f>IF(AG304="","",--(AG304='Codebook'!$F$26))</f>
        <v>1</v>
      </c>
      <c r="BZ304" s="18">
        <f>IF(AH304="","",--(AH304='Codebook'!$F$27))</f>
        <v>1</v>
      </c>
      <c r="CA304" s="18">
        <f>IF(AI304="","",--(AI304='Codebook'!$F$28))</f>
        <v>0</v>
      </c>
      <c r="CB304" s="18">
        <f>IF(AJ304="","",--(AJ304='Codebook'!$F$29))</f>
        <v>0</v>
      </c>
      <c r="CC304" s="18">
        <f>IF(AK304="","",--(AK304='Codebook'!$F$30))</f>
        <v>1</v>
      </c>
      <c r="CD304" s="18">
        <f>IF(AL304="","",--(AL304='Codebook'!$F$31))</f>
        <v>0</v>
      </c>
      <c r="CE304" s="18">
        <f>IF(AM304="","",--(AM304='Codebook'!$F$32))</f>
        <v>1</v>
      </c>
      <c r="CF304" s="18">
        <f>IF(AN304="","",--(AN304='Codebook'!$F$33))</f>
        <v>1</v>
      </c>
      <c r="CG304" s="18">
        <f>IF(AO304="","",--(AO304='Codebook'!$F$34))</f>
        <v>1</v>
      </c>
      <c r="CH304" s="18">
        <f>IF(AP304="","",--(AP304='Codebook'!$F$35))</f>
        <v>1</v>
      </c>
      <c r="CI304" s="18">
        <f>IF(AQ304="","",--(AQ304='Codebook'!$F$36))</f>
        <v>1</v>
      </c>
      <c r="CJ304" s="18">
        <f>IF(AR304="","",--(AR304='Codebook'!$F$37))</f>
        <v>1</v>
      </c>
      <c r="CK304" s="18">
        <f>IF(AS304="","",--(AS304='Codebook'!$F$38))</f>
        <v>1</v>
      </c>
      <c r="CL304" s="18">
        <f>IF(AT304="","",--(AT304='Codebook'!$F$39))</f>
        <v>1</v>
      </c>
      <c r="CM304" s="18">
        <f>IF(AU304="","",--(AU304='Codebook'!$F$40))</f>
        <v>0</v>
      </c>
      <c r="CN304" s="18">
        <f>IF(AV304="","",--(AV304='Codebook'!$F$41))</f>
        <v>0</v>
      </c>
      <c r="CO304" s="18">
        <f>IF(AW304="","",--(AW304='Codebook'!$F$42))</f>
        <v>0</v>
      </c>
      <c r="CP304" s="18">
        <f>IF(AX304="","",--(AX304='Codebook'!$F$43))</f>
        <v>0</v>
      </c>
      <c r="CQ304" s="18">
        <f>IF(AY304="","",--(AY304='Codebook'!$F$44))</f>
        <v>0</v>
      </c>
      <c r="CR304" s="18">
        <f>IF(AZ304="","",--(AZ304='Codebook'!$F$45))</f>
        <v>0</v>
      </c>
    </row>
    <row r="305" spans="2:96" ht="24" customHeight="1">
      <c r="B305" s="18">
        <v>300</v>
      </c>
      <c r="C305" s="23">
        <v>46290.53922008102</v>
      </c>
      <c r="D305" s="21" t="s">
        <v>275</v>
      </c>
      <c r="E305" s="21" t="s">
        <v>194</v>
      </c>
      <c r="F305" s="21" t="s">
        <v>201</v>
      </c>
      <c r="G305" s="17" t="s">
        <v>196</v>
      </c>
      <c r="H305" s="21" t="s">
        <v>198</v>
      </c>
      <c r="I305" s="18">
        <f>SUM(BL305:BU305)</f>
        <v>5</v>
      </c>
      <c r="J305" s="18">
        <f>IF(COUNT(BV305:CD305)=9,SUM(BV305:CD305),"")</f>
        <v>4</v>
      </c>
      <c r="K305" s="18">
        <f>SUM(BL305:CD305)</f>
        <v>9</v>
      </c>
      <c r="L305" s="18">
        <f>--(K305&gt;='Codebook'!$C$8)</f>
        <v>0</v>
      </c>
      <c r="M305" s="18">
        <f>--(COUNT(BL305:CD305)=19)</f>
        <v>1</v>
      </c>
      <c r="N305" s="18">
        <f>SUM(CE305:CL305)</f>
        <v>4</v>
      </c>
      <c r="O305" s="18">
        <f>SUM(CM305:CR305)</f>
        <v>1</v>
      </c>
      <c r="P305" s="18">
        <f>N305+O305</f>
        <v>5</v>
      </c>
      <c r="Q305" s="21" t="s">
        <v>197</v>
      </c>
      <c r="R305" s="17" t="s">
        <v>154</v>
      </c>
      <c r="S305" s="18">
        <f>--OR(Overview!$B$6="All",E305=Overview!$B$6)*--OR(Overview!$F$6="All",F305=Overview!$F$6)*--OR(Overview!$J$6="All",G305=Overview!$J$6)*--OR(Overview!$N$6="All",H305=Overview!$N$6)</f>
        <v>1</v>
      </c>
      <c r="T305" s="21" t="s">
        <v>22</v>
      </c>
      <c r="U305" s="21" t="s">
        <v>22</v>
      </c>
      <c r="V305" s="21" t="s">
        <v>22</v>
      </c>
      <c r="W305" s="21" t="s">
        <v>26</v>
      </c>
      <c r="X305" s="21" t="s">
        <v>22</v>
      </c>
      <c r="Y305" s="21" t="s">
        <v>22</v>
      </c>
      <c r="Z305" s="21" t="s">
        <v>22</v>
      </c>
      <c r="AA305" s="21" t="s">
        <v>22</v>
      </c>
      <c r="AB305" s="21" t="s">
        <v>22</v>
      </c>
      <c r="AC305" s="21" t="s">
        <v>22</v>
      </c>
      <c r="AD305" s="21" t="s">
        <v>22</v>
      </c>
      <c r="AE305" s="21" t="s">
        <v>22</v>
      </c>
      <c r="AF305" s="21" t="s">
        <v>22</v>
      </c>
      <c r="AG305" s="21" t="s">
        <v>22</v>
      </c>
      <c r="AH305" s="21" t="s">
        <v>26</v>
      </c>
      <c r="AI305" s="21" t="s">
        <v>22</v>
      </c>
      <c r="AJ305" s="21" t="s">
        <v>22</v>
      </c>
      <c r="AK305" s="21" t="s">
        <v>22</v>
      </c>
      <c r="AL305" s="21" t="s">
        <v>22</v>
      </c>
      <c r="AM305" s="21" t="s">
        <v>198</v>
      </c>
      <c r="AN305" s="21" t="s">
        <v>109</v>
      </c>
      <c r="AO305" s="21" t="s">
        <v>83</v>
      </c>
      <c r="AP305" s="21" t="s">
        <v>198</v>
      </c>
      <c r="AQ305" s="21" t="s">
        <v>83</v>
      </c>
      <c r="AR305" s="21" t="s">
        <v>83</v>
      </c>
      <c r="AS305" s="21" t="s">
        <v>109</v>
      </c>
      <c r="AT305" s="21" t="s">
        <v>83</v>
      </c>
      <c r="AU305" s="21" t="s">
        <v>109</v>
      </c>
      <c r="AV305" s="21" t="s">
        <v>83</v>
      </c>
      <c r="AW305" s="21" t="s">
        <v>198</v>
      </c>
      <c r="AX305" s="21" t="s">
        <v>83</v>
      </c>
      <c r="AY305" s="21" t="s">
        <v>83</v>
      </c>
      <c r="AZ305" s="21" t="s">
        <v>198</v>
      </c>
      <c r="BA305" s="17" t="s">
        <v>269</v>
      </c>
      <c r="BB305" s="17" t="s">
        <v>250</v>
      </c>
      <c r="BC305" s="18">
        <f>--ISNUMBER(SEARCH("Radio or television",BA305))</f>
        <v>1</v>
      </c>
      <c r="BD305" s="18">
        <f>--ISNUMBER(SEARCH("Newspapers or print media",BA305))</f>
        <v>1</v>
      </c>
      <c r="BE305" s="18">
        <f>--ISNUMBER(SEARCH("Social media (e.g. Facebook, WhatsApp, YouTube, X/Twitter)",BA305))</f>
        <v>1</v>
      </c>
      <c r="BF305" s="18">
        <f>--ISNUMBER(SEARCH("Family members",BA305))</f>
        <v>0</v>
      </c>
      <c r="BG305" s="18">
        <f>--ISNUMBER(SEARCH("Friends or fellow students",BA305))</f>
        <v>0</v>
      </c>
      <c r="BH305" s="18">
        <f>--ISNUMBER(SEARCH("School coursework or lectures",BA305))</f>
        <v>0</v>
      </c>
      <c r="BI305" s="18">
        <f>--ISNUMBER(SEARCH("NHIMA outreach activities or NHIMA offices",BA305))</f>
        <v>0</v>
      </c>
      <c r="BJ305" s="18">
        <f>--ISNUMBER(SEARCH("Health facility staff",BA305))</f>
        <v>0</v>
      </c>
      <c r="BK305" s="18">
        <f>--ISNUMBER(SEARCH("not received information",BA305))</f>
        <v>0</v>
      </c>
      <c r="BL305" s="18">
        <f>IF(T305="","",--(T305='Codebook'!$F$13))</f>
        <v>1</v>
      </c>
      <c r="BM305" s="18">
        <f>IF(U305="","",--(U305='Codebook'!$F$14))</f>
        <v>0</v>
      </c>
      <c r="BN305" s="18">
        <f>IF(V305="","",--(V305='Codebook'!$F$15))</f>
        <v>0</v>
      </c>
      <c r="BO305" s="18">
        <f>IF(W305="","",--(W305='Codebook'!$F$16))</f>
        <v>0</v>
      </c>
      <c r="BP305" s="18">
        <f>IF(X305="","",--(X305='Codebook'!$F$17))</f>
        <v>1</v>
      </c>
      <c r="BQ305" s="18">
        <f>IF(Y305="","",--(Y305='Codebook'!$F$18))</f>
        <v>0</v>
      </c>
      <c r="BR305" s="18">
        <f>IF(Z305="","",--(Z305='Codebook'!$F$19))</f>
        <v>1</v>
      </c>
      <c r="BS305" s="18">
        <f>IF(AA305="","",--(AA305='Codebook'!$F$20))</f>
        <v>1</v>
      </c>
      <c r="BT305" s="18">
        <f>IF(AB305="","",--(AB305='Codebook'!$F$21))</f>
        <v>0</v>
      </c>
      <c r="BU305" s="18">
        <f>IF(AC305="","",--(AC305='Codebook'!$F$22))</f>
        <v>1</v>
      </c>
      <c r="BV305" s="18">
        <f>IF(AD305="","",--(AD305='Codebook'!$F$23))</f>
        <v>1</v>
      </c>
      <c r="BW305" s="18">
        <f>IF(AE305="","",--(AE305='Codebook'!$F$24))</f>
        <v>1</v>
      </c>
      <c r="BX305" s="18">
        <f>IF(AF305="","",--(AF305='Codebook'!$F$25))</f>
        <v>0</v>
      </c>
      <c r="BY305" s="18">
        <f>IF(AG305="","",--(AG305='Codebook'!$F$26))</f>
        <v>1</v>
      </c>
      <c r="BZ305" s="18">
        <f>IF(AH305="","",--(AH305='Codebook'!$F$27))</f>
        <v>0</v>
      </c>
      <c r="CA305" s="18">
        <f>IF(AI305="","",--(AI305='Codebook'!$F$28))</f>
        <v>0</v>
      </c>
      <c r="CB305" s="18">
        <f>IF(AJ305="","",--(AJ305='Codebook'!$F$29))</f>
        <v>0</v>
      </c>
      <c r="CC305" s="18">
        <f>IF(AK305="","",--(AK305='Codebook'!$F$30))</f>
        <v>1</v>
      </c>
      <c r="CD305" s="18">
        <f>IF(AL305="","",--(AL305='Codebook'!$F$31))</f>
        <v>0</v>
      </c>
      <c r="CE305" s="18">
        <f>IF(AM305="","",--(AM305='Codebook'!$F$32))</f>
        <v>0</v>
      </c>
      <c r="CF305" s="18">
        <f>IF(AN305="","",--(AN305='Codebook'!$F$33))</f>
        <v>0</v>
      </c>
      <c r="CG305" s="18">
        <f>IF(AO305="","",--(AO305='Codebook'!$F$34))</f>
        <v>1</v>
      </c>
      <c r="CH305" s="18">
        <f>IF(AP305="","",--(AP305='Codebook'!$F$35))</f>
        <v>0</v>
      </c>
      <c r="CI305" s="18">
        <f>IF(AQ305="","",--(AQ305='Codebook'!$F$36))</f>
        <v>1</v>
      </c>
      <c r="CJ305" s="18">
        <f>IF(AR305="","",--(AR305='Codebook'!$F$37))</f>
        <v>1</v>
      </c>
      <c r="CK305" s="18">
        <f>IF(AS305="","",--(AS305='Codebook'!$F$38))</f>
        <v>0</v>
      </c>
      <c r="CL305" s="18">
        <f>IF(AT305="","",--(AT305='Codebook'!$F$39))</f>
        <v>1</v>
      </c>
      <c r="CM305" s="18">
        <f>IF(AU305="","",--(AU305='Codebook'!$F$40))</f>
        <v>1</v>
      </c>
      <c r="CN305" s="18">
        <f>IF(AV305="","",--(AV305='Codebook'!$F$41))</f>
        <v>0</v>
      </c>
      <c r="CO305" s="18">
        <f>IF(AW305="","",--(AW305='Codebook'!$F$42))</f>
        <v>0</v>
      </c>
      <c r="CP305" s="18">
        <f>IF(AX305="","",--(AX305='Codebook'!$F$43))</f>
        <v>0</v>
      </c>
      <c r="CQ305" s="18">
        <f>IF(AY305="","",--(AY305='Codebook'!$F$44))</f>
        <v>0</v>
      </c>
      <c r="CR305" s="18">
        <f>IF(AZ305="","",--(AZ305='Codebook'!$F$45))</f>
        <v>0</v>
      </c>
    </row>
    <row r="306" spans="2:96" ht="24" customHeight="1">
      <c r="B306" s="18">
        <v>301</v>
      </c>
      <c r="C306" s="23">
        <v>46290.53991017361</v>
      </c>
      <c r="D306" s="21" t="s">
        <v>275</v>
      </c>
      <c r="E306" s="21" t="s">
        <v>194</v>
      </c>
      <c r="F306" s="21" t="s">
        <v>212</v>
      </c>
      <c r="G306" s="17" t="s">
        <v>215</v>
      </c>
      <c r="H306" s="21" t="s">
        <v>198</v>
      </c>
      <c r="I306" s="18">
        <f>SUM(BL306:BU306)</f>
        <v>6</v>
      </c>
      <c r="J306" s="18">
        <f>IF(COUNT(BV306:CD306)=9,SUM(BV306:CD306),"")</f>
        <v>6</v>
      </c>
      <c r="K306" s="18">
        <f>SUM(BL306:CD306)</f>
        <v>12</v>
      </c>
      <c r="L306" s="18">
        <f>--(K306&gt;='Codebook'!$C$8)</f>
        <v>1</v>
      </c>
      <c r="M306" s="18">
        <f>--(COUNT(BL306:CD306)=19)</f>
        <v>1</v>
      </c>
      <c r="N306" s="18">
        <f>SUM(CE306:CL306)</f>
        <v>6</v>
      </c>
      <c r="O306" s="18">
        <f>SUM(CM306:CR306)</f>
        <v>1</v>
      </c>
      <c r="P306" s="18">
        <f>N306+O306</f>
        <v>7</v>
      </c>
      <c r="Q306" s="21" t="s">
        <v>207</v>
      </c>
      <c r="R306" s="17" t="s">
        <v>154</v>
      </c>
      <c r="S306" s="18">
        <f>--OR(Overview!$B$6="All",E306=Overview!$B$6)*--OR(Overview!$F$6="All",F306=Overview!$F$6)*--OR(Overview!$J$6="All",G306=Overview!$J$6)*--OR(Overview!$N$6="All",H306=Overview!$N$6)</f>
        <v>1</v>
      </c>
      <c r="T306" s="21" t="s">
        <v>22</v>
      </c>
      <c r="U306" s="21" t="s">
        <v>22</v>
      </c>
      <c r="V306" s="21" t="s">
        <v>22</v>
      </c>
      <c r="W306" s="21" t="s">
        <v>22</v>
      </c>
      <c r="X306" s="21" t="s">
        <v>22</v>
      </c>
      <c r="Y306" s="21" t="s">
        <v>22</v>
      </c>
      <c r="Z306" s="21" t="s">
        <v>22</v>
      </c>
      <c r="AA306" s="21" t="s">
        <v>22</v>
      </c>
      <c r="AB306" s="21" t="s">
        <v>22</v>
      </c>
      <c r="AC306" s="21" t="s">
        <v>22</v>
      </c>
      <c r="AD306" s="21" t="s">
        <v>22</v>
      </c>
      <c r="AE306" s="21" t="s">
        <v>22</v>
      </c>
      <c r="AF306" s="21" t="s">
        <v>22</v>
      </c>
      <c r="AG306" s="21" t="s">
        <v>22</v>
      </c>
      <c r="AH306" s="21" t="s">
        <v>22</v>
      </c>
      <c r="AI306" s="21" t="s">
        <v>22</v>
      </c>
      <c r="AJ306" s="21" t="s">
        <v>22</v>
      </c>
      <c r="AK306" s="21" t="s">
        <v>22</v>
      </c>
      <c r="AL306" s="21" t="s">
        <v>26</v>
      </c>
      <c r="AM306" s="21" t="s">
        <v>83</v>
      </c>
      <c r="AN306" s="21" t="s">
        <v>83</v>
      </c>
      <c r="AO306" s="21" t="s">
        <v>198</v>
      </c>
      <c r="AP306" s="21" t="s">
        <v>109</v>
      </c>
      <c r="AQ306" s="21" t="s">
        <v>83</v>
      </c>
      <c r="AR306" s="21" t="s">
        <v>83</v>
      </c>
      <c r="AS306" s="21" t="s">
        <v>83</v>
      </c>
      <c r="AT306" s="21" t="s">
        <v>83</v>
      </c>
      <c r="AU306" s="21" t="s">
        <v>109</v>
      </c>
      <c r="AV306" s="21" t="s">
        <v>83</v>
      </c>
      <c r="AW306" s="21" t="s">
        <v>83</v>
      </c>
      <c r="AX306" s="21" t="s">
        <v>83</v>
      </c>
      <c r="AY306" s="21" t="s">
        <v>83</v>
      </c>
      <c r="AZ306" s="21" t="s">
        <v>198</v>
      </c>
      <c r="BA306" s="17" t="s">
        <v>223</v>
      </c>
      <c r="BB306" s="17" t="s">
        <v>250</v>
      </c>
      <c r="BC306" s="18">
        <f>--ISNUMBER(SEARCH("Radio or television",BA306))</f>
        <v>1</v>
      </c>
      <c r="BD306" s="18">
        <f>--ISNUMBER(SEARCH("Newspapers or print media",BA306))</f>
        <v>0</v>
      </c>
      <c r="BE306" s="18">
        <f>--ISNUMBER(SEARCH("Social media (e.g. Facebook, WhatsApp, YouTube, X/Twitter)",BA306))</f>
        <v>0</v>
      </c>
      <c r="BF306" s="18">
        <f>--ISNUMBER(SEARCH("Family members",BA306))</f>
        <v>0</v>
      </c>
      <c r="BG306" s="18">
        <f>--ISNUMBER(SEARCH("Friends or fellow students",BA306))</f>
        <v>0</v>
      </c>
      <c r="BH306" s="18">
        <f>--ISNUMBER(SEARCH("School coursework or lectures",BA306))</f>
        <v>0</v>
      </c>
      <c r="BI306" s="18">
        <f>--ISNUMBER(SEARCH("NHIMA outreach activities or NHIMA offices",BA306))</f>
        <v>0</v>
      </c>
      <c r="BJ306" s="18">
        <f>--ISNUMBER(SEARCH("Health facility staff",BA306))</f>
        <v>0</v>
      </c>
      <c r="BK306" s="18">
        <f>--ISNUMBER(SEARCH("not received information",BA306))</f>
        <v>0</v>
      </c>
      <c r="BL306" s="18">
        <f>IF(T306="","",--(T306='Codebook'!$F$13))</f>
        <v>1</v>
      </c>
      <c r="BM306" s="18">
        <f>IF(U306="","",--(U306='Codebook'!$F$14))</f>
        <v>0</v>
      </c>
      <c r="BN306" s="18">
        <f>IF(V306="","",--(V306='Codebook'!$F$15))</f>
        <v>0</v>
      </c>
      <c r="BO306" s="18">
        <f>IF(W306="","",--(W306='Codebook'!$F$16))</f>
        <v>1</v>
      </c>
      <c r="BP306" s="18">
        <f>IF(X306="","",--(X306='Codebook'!$F$17))</f>
        <v>1</v>
      </c>
      <c r="BQ306" s="18">
        <f>IF(Y306="","",--(Y306='Codebook'!$F$18))</f>
        <v>0</v>
      </c>
      <c r="BR306" s="18">
        <f>IF(Z306="","",--(Z306='Codebook'!$F$19))</f>
        <v>1</v>
      </c>
      <c r="BS306" s="18">
        <f>IF(AA306="","",--(AA306='Codebook'!$F$20))</f>
        <v>1</v>
      </c>
      <c r="BT306" s="18">
        <f>IF(AB306="","",--(AB306='Codebook'!$F$21))</f>
        <v>0</v>
      </c>
      <c r="BU306" s="18">
        <f>IF(AC306="","",--(AC306='Codebook'!$F$22))</f>
        <v>1</v>
      </c>
      <c r="BV306" s="18">
        <f>IF(AD306="","",--(AD306='Codebook'!$F$23))</f>
        <v>1</v>
      </c>
      <c r="BW306" s="18">
        <f>IF(AE306="","",--(AE306='Codebook'!$F$24))</f>
        <v>1</v>
      </c>
      <c r="BX306" s="18">
        <f>IF(AF306="","",--(AF306='Codebook'!$F$25))</f>
        <v>0</v>
      </c>
      <c r="BY306" s="18">
        <f>IF(AG306="","",--(AG306='Codebook'!$F$26))</f>
        <v>1</v>
      </c>
      <c r="BZ306" s="18">
        <f>IF(AH306="","",--(AH306='Codebook'!$F$27))</f>
        <v>1</v>
      </c>
      <c r="CA306" s="18">
        <f>IF(AI306="","",--(AI306='Codebook'!$F$28))</f>
        <v>0</v>
      </c>
      <c r="CB306" s="18">
        <f>IF(AJ306="","",--(AJ306='Codebook'!$F$29))</f>
        <v>0</v>
      </c>
      <c r="CC306" s="18">
        <f>IF(AK306="","",--(AK306='Codebook'!$F$30))</f>
        <v>1</v>
      </c>
      <c r="CD306" s="18">
        <f>IF(AL306="","",--(AL306='Codebook'!$F$31))</f>
        <v>1</v>
      </c>
      <c r="CE306" s="18">
        <f>IF(AM306="","",--(AM306='Codebook'!$F$32))</f>
        <v>1</v>
      </c>
      <c r="CF306" s="18">
        <f>IF(AN306="","",--(AN306='Codebook'!$F$33))</f>
        <v>1</v>
      </c>
      <c r="CG306" s="18">
        <f>IF(AO306="","",--(AO306='Codebook'!$F$34))</f>
        <v>0</v>
      </c>
      <c r="CH306" s="18">
        <f>IF(AP306="","",--(AP306='Codebook'!$F$35))</f>
        <v>0</v>
      </c>
      <c r="CI306" s="18">
        <f>IF(AQ306="","",--(AQ306='Codebook'!$F$36))</f>
        <v>1</v>
      </c>
      <c r="CJ306" s="18">
        <f>IF(AR306="","",--(AR306='Codebook'!$F$37))</f>
        <v>1</v>
      </c>
      <c r="CK306" s="18">
        <f>IF(AS306="","",--(AS306='Codebook'!$F$38))</f>
        <v>1</v>
      </c>
      <c r="CL306" s="18">
        <f>IF(AT306="","",--(AT306='Codebook'!$F$39))</f>
        <v>1</v>
      </c>
      <c r="CM306" s="18">
        <f>IF(AU306="","",--(AU306='Codebook'!$F$40))</f>
        <v>1</v>
      </c>
      <c r="CN306" s="18">
        <f>IF(AV306="","",--(AV306='Codebook'!$F$41))</f>
        <v>0</v>
      </c>
      <c r="CO306" s="18">
        <f>IF(AW306="","",--(AW306='Codebook'!$F$42))</f>
        <v>0</v>
      </c>
      <c r="CP306" s="18">
        <f>IF(AX306="","",--(AX306='Codebook'!$F$43))</f>
        <v>0</v>
      </c>
      <c r="CQ306" s="18">
        <f>IF(AY306="","",--(AY306='Codebook'!$F$44))</f>
        <v>0</v>
      </c>
      <c r="CR306" s="18">
        <f>IF(AZ306="","",--(AZ306='Codebook'!$F$45))</f>
        <v>0</v>
      </c>
    </row>
    <row r="307" spans="2:96" ht="24" customHeight="1">
      <c r="B307" s="18">
        <v>302</v>
      </c>
      <c r="C307" s="23">
        <v>46290.54048641204</v>
      </c>
      <c r="D307" s="21" t="s">
        <v>275</v>
      </c>
      <c r="E307" s="21" t="s">
        <v>194</v>
      </c>
      <c r="F307" s="21" t="s">
        <v>226</v>
      </c>
      <c r="G307" s="17" t="s">
        <v>215</v>
      </c>
      <c r="H307" s="21" t="s">
        <v>198</v>
      </c>
      <c r="I307" s="18">
        <f>SUM(BL307:BU307)</f>
        <v>6</v>
      </c>
      <c r="J307" s="18">
        <f>IF(COUNT(BV307:CD307)=9,SUM(BV307:CD307),"")</f>
        <v>5</v>
      </c>
      <c r="K307" s="18">
        <f>SUM(BL307:CD307)</f>
        <v>11</v>
      </c>
      <c r="L307" s="18">
        <f>--(K307&gt;='Codebook'!$C$8)</f>
        <v>0</v>
      </c>
      <c r="M307" s="18">
        <f>--(COUNT(BL307:CD307)=19)</f>
        <v>1</v>
      </c>
      <c r="N307" s="18">
        <f>SUM(CE307:CL307)</f>
        <v>7</v>
      </c>
      <c r="O307" s="18">
        <f>SUM(CM307:CR307)</f>
        <v>0</v>
      </c>
      <c r="P307" s="18">
        <f>N307+O307</f>
        <v>7</v>
      </c>
      <c r="Q307" s="21" t="s">
        <v>198</v>
      </c>
      <c r="R307" s="17" t="s">
        <v>154</v>
      </c>
      <c r="S307" s="18">
        <f>--OR(Overview!$B$6="All",E307=Overview!$B$6)*--OR(Overview!$F$6="All",F307=Overview!$F$6)*--OR(Overview!$J$6="All",G307=Overview!$J$6)*--OR(Overview!$N$6="All",H307=Overview!$N$6)</f>
        <v>1</v>
      </c>
      <c r="T307" s="21" t="s">
        <v>22</v>
      </c>
      <c r="U307" s="21" t="s">
        <v>22</v>
      </c>
      <c r="V307" s="21" t="s">
        <v>22</v>
      </c>
      <c r="W307" s="21" t="s">
        <v>22</v>
      </c>
      <c r="X307" s="21" t="s">
        <v>22</v>
      </c>
      <c r="Y307" s="21" t="s">
        <v>22</v>
      </c>
      <c r="Z307" s="21" t="s">
        <v>22</v>
      </c>
      <c r="AA307" s="21" t="s">
        <v>22</v>
      </c>
      <c r="AB307" s="21" t="s">
        <v>198</v>
      </c>
      <c r="AC307" s="21" t="s">
        <v>22</v>
      </c>
      <c r="AD307" s="21" t="s">
        <v>22</v>
      </c>
      <c r="AE307" s="21" t="s">
        <v>22</v>
      </c>
      <c r="AF307" s="21" t="s">
        <v>22</v>
      </c>
      <c r="AG307" s="21" t="s">
        <v>22</v>
      </c>
      <c r="AH307" s="21" t="s">
        <v>22</v>
      </c>
      <c r="AI307" s="21" t="s">
        <v>22</v>
      </c>
      <c r="AJ307" s="21" t="s">
        <v>22</v>
      </c>
      <c r="AK307" s="21" t="s">
        <v>22</v>
      </c>
      <c r="AL307" s="21" t="s">
        <v>22</v>
      </c>
      <c r="AM307" s="21" t="s">
        <v>83</v>
      </c>
      <c r="AN307" s="21" t="s">
        <v>83</v>
      </c>
      <c r="AO307" s="21" t="s">
        <v>83</v>
      </c>
      <c r="AP307" s="21" t="s">
        <v>83</v>
      </c>
      <c r="AQ307" s="21" t="s">
        <v>83</v>
      </c>
      <c r="AR307" s="21" t="s">
        <v>109</v>
      </c>
      <c r="AS307" s="21" t="s">
        <v>83</v>
      </c>
      <c r="AT307" s="21" t="s">
        <v>83</v>
      </c>
      <c r="AU307" s="21" t="s">
        <v>83</v>
      </c>
      <c r="AV307" s="21" t="s">
        <v>83</v>
      </c>
      <c r="AW307" s="21" t="s">
        <v>83</v>
      </c>
      <c r="AX307" s="21" t="s">
        <v>83</v>
      </c>
      <c r="AY307" s="21" t="s">
        <v>83</v>
      </c>
      <c r="AZ307" s="21" t="s">
        <v>83</v>
      </c>
      <c r="BA307" s="17" t="s">
        <v>246</v>
      </c>
      <c r="BB307" s="17" t="s">
        <v>250</v>
      </c>
      <c r="BC307" s="18">
        <f>--ISNUMBER(SEARCH("Radio or television",BA307))</f>
        <v>1</v>
      </c>
      <c r="BD307" s="18">
        <f>--ISNUMBER(SEARCH("Newspapers or print media",BA307))</f>
        <v>0</v>
      </c>
      <c r="BE307" s="18">
        <f>--ISNUMBER(SEARCH("Social media (e.g. Facebook, WhatsApp, YouTube, X/Twitter)",BA307))</f>
        <v>1</v>
      </c>
      <c r="BF307" s="18">
        <f>--ISNUMBER(SEARCH("Family members",BA307))</f>
        <v>0</v>
      </c>
      <c r="BG307" s="18">
        <f>--ISNUMBER(SEARCH("Friends or fellow students",BA307))</f>
        <v>0</v>
      </c>
      <c r="BH307" s="18">
        <f>--ISNUMBER(SEARCH("School coursework or lectures",BA307))</f>
        <v>0</v>
      </c>
      <c r="BI307" s="18">
        <f>--ISNUMBER(SEARCH("NHIMA outreach activities or NHIMA offices",BA307))</f>
        <v>0</v>
      </c>
      <c r="BJ307" s="18">
        <f>--ISNUMBER(SEARCH("Health facility staff",BA307))</f>
        <v>0</v>
      </c>
      <c r="BK307" s="18">
        <f>--ISNUMBER(SEARCH("not received information",BA307))</f>
        <v>0</v>
      </c>
      <c r="BL307" s="18">
        <f>IF(T307="","",--(T307='Codebook'!$F$13))</f>
        <v>1</v>
      </c>
      <c r="BM307" s="18">
        <f>IF(U307="","",--(U307='Codebook'!$F$14))</f>
        <v>0</v>
      </c>
      <c r="BN307" s="18">
        <f>IF(V307="","",--(V307='Codebook'!$F$15))</f>
        <v>0</v>
      </c>
      <c r="BO307" s="18">
        <f>IF(W307="","",--(W307='Codebook'!$F$16))</f>
        <v>1</v>
      </c>
      <c r="BP307" s="18">
        <f>IF(X307="","",--(X307='Codebook'!$F$17))</f>
        <v>1</v>
      </c>
      <c r="BQ307" s="18">
        <f>IF(Y307="","",--(Y307='Codebook'!$F$18))</f>
        <v>0</v>
      </c>
      <c r="BR307" s="18">
        <f>IF(Z307="","",--(Z307='Codebook'!$F$19))</f>
        <v>1</v>
      </c>
      <c r="BS307" s="18">
        <f>IF(AA307="","",--(AA307='Codebook'!$F$20))</f>
        <v>1</v>
      </c>
      <c r="BT307" s="18">
        <f>IF(AB307="","",--(AB307='Codebook'!$F$21))</f>
        <v>0</v>
      </c>
      <c r="BU307" s="18">
        <f>IF(AC307="","",--(AC307='Codebook'!$F$22))</f>
        <v>1</v>
      </c>
      <c r="BV307" s="18">
        <f>IF(AD307="","",--(AD307='Codebook'!$F$23))</f>
        <v>1</v>
      </c>
      <c r="BW307" s="18">
        <f>IF(AE307="","",--(AE307='Codebook'!$F$24))</f>
        <v>1</v>
      </c>
      <c r="BX307" s="18">
        <f>IF(AF307="","",--(AF307='Codebook'!$F$25))</f>
        <v>0</v>
      </c>
      <c r="BY307" s="18">
        <f>IF(AG307="","",--(AG307='Codebook'!$F$26))</f>
        <v>1</v>
      </c>
      <c r="BZ307" s="18">
        <f>IF(AH307="","",--(AH307='Codebook'!$F$27))</f>
        <v>1</v>
      </c>
      <c r="CA307" s="18">
        <f>IF(AI307="","",--(AI307='Codebook'!$F$28))</f>
        <v>0</v>
      </c>
      <c r="CB307" s="18">
        <f>IF(AJ307="","",--(AJ307='Codebook'!$F$29))</f>
        <v>0</v>
      </c>
      <c r="CC307" s="18">
        <f>IF(AK307="","",--(AK307='Codebook'!$F$30))</f>
        <v>1</v>
      </c>
      <c r="CD307" s="18">
        <f>IF(AL307="","",--(AL307='Codebook'!$F$31))</f>
        <v>0</v>
      </c>
      <c r="CE307" s="18">
        <f>IF(AM307="","",--(AM307='Codebook'!$F$32))</f>
        <v>1</v>
      </c>
      <c r="CF307" s="18">
        <f>IF(AN307="","",--(AN307='Codebook'!$F$33))</f>
        <v>1</v>
      </c>
      <c r="CG307" s="18">
        <f>IF(AO307="","",--(AO307='Codebook'!$F$34))</f>
        <v>1</v>
      </c>
      <c r="CH307" s="18">
        <f>IF(AP307="","",--(AP307='Codebook'!$F$35))</f>
        <v>1</v>
      </c>
      <c r="CI307" s="18">
        <f>IF(AQ307="","",--(AQ307='Codebook'!$F$36))</f>
        <v>1</v>
      </c>
      <c r="CJ307" s="18">
        <f>IF(AR307="","",--(AR307='Codebook'!$F$37))</f>
        <v>0</v>
      </c>
      <c r="CK307" s="18">
        <f>IF(AS307="","",--(AS307='Codebook'!$F$38))</f>
        <v>1</v>
      </c>
      <c r="CL307" s="18">
        <f>IF(AT307="","",--(AT307='Codebook'!$F$39))</f>
        <v>1</v>
      </c>
      <c r="CM307" s="18">
        <f>IF(AU307="","",--(AU307='Codebook'!$F$40))</f>
        <v>0</v>
      </c>
      <c r="CN307" s="18">
        <f>IF(AV307="","",--(AV307='Codebook'!$F$41))</f>
        <v>0</v>
      </c>
      <c r="CO307" s="18">
        <f>IF(AW307="","",--(AW307='Codebook'!$F$42))</f>
        <v>0</v>
      </c>
      <c r="CP307" s="18">
        <f>IF(AX307="","",--(AX307='Codebook'!$F$43))</f>
        <v>0</v>
      </c>
      <c r="CQ307" s="18">
        <f>IF(AY307="","",--(AY307='Codebook'!$F$44))</f>
        <v>0</v>
      </c>
      <c r="CR307" s="18">
        <f>IF(AZ307="","",--(AZ307='Codebook'!$F$45))</f>
        <v>0</v>
      </c>
    </row>
    <row r="308" spans="2:96" ht="24" customHeight="1">
      <c r="B308" s="18">
        <v>303</v>
      </c>
      <c r="C308" s="23">
        <v>46290.54106839121</v>
      </c>
      <c r="D308" s="21" t="s">
        <v>268</v>
      </c>
      <c r="E308" s="21" t="s">
        <v>194</v>
      </c>
      <c r="F308" s="21" t="s">
        <v>201</v>
      </c>
      <c r="G308" s="17" t="s">
        <v>247</v>
      </c>
      <c r="H308" s="21" t="s">
        <v>198</v>
      </c>
      <c r="I308" s="18">
        <f>SUM(BL308:BU308)</f>
        <v>3</v>
      </c>
      <c r="J308" s="18">
        <f>IF(COUNT(BV308:CD308)=9,SUM(BV308:CD308),"")</f>
        <v>3</v>
      </c>
      <c r="K308" s="18">
        <f>SUM(BL308:CD308)</f>
        <v>6</v>
      </c>
      <c r="L308" s="18">
        <f>--(K308&gt;='Codebook'!$C$8)</f>
        <v>0</v>
      </c>
      <c r="M308" s="18">
        <f>--(COUNT(BL308:CD308)=19)</f>
        <v>1</v>
      </c>
      <c r="N308" s="18">
        <f>SUM(CE308:CL308)</f>
        <v>2</v>
      </c>
      <c r="O308" s="18">
        <f>SUM(CM308:CR308)</f>
        <v>1</v>
      </c>
      <c r="P308" s="18">
        <f>N308+O308</f>
        <v>3</v>
      </c>
      <c r="Q308" s="21" t="s">
        <v>197</v>
      </c>
      <c r="R308" s="17" t="s">
        <v>154</v>
      </c>
      <c r="S308" s="18">
        <f>--OR(Overview!$B$6="All",E308=Overview!$B$6)*--OR(Overview!$F$6="All",F308=Overview!$F$6)*--OR(Overview!$J$6="All",G308=Overview!$J$6)*--OR(Overview!$N$6="All",H308=Overview!$N$6)</f>
        <v>1</v>
      </c>
      <c r="T308" s="21" t="s">
        <v>22</v>
      </c>
      <c r="U308" s="21" t="s">
        <v>22</v>
      </c>
      <c r="V308" s="21" t="s">
        <v>198</v>
      </c>
      <c r="W308" s="21" t="s">
        <v>22</v>
      </c>
      <c r="X308" s="21" t="s">
        <v>26</v>
      </c>
      <c r="Y308" s="21" t="s">
        <v>198</v>
      </c>
      <c r="Z308" s="21" t="s">
        <v>26</v>
      </c>
      <c r="AA308" s="21" t="s">
        <v>198</v>
      </c>
      <c r="AB308" s="21" t="s">
        <v>22</v>
      </c>
      <c r="AC308" s="21" t="s">
        <v>22</v>
      </c>
      <c r="AD308" s="21" t="s">
        <v>26</v>
      </c>
      <c r="AE308" s="21" t="s">
        <v>22</v>
      </c>
      <c r="AF308" s="21" t="s">
        <v>198</v>
      </c>
      <c r="AG308" s="21" t="s">
        <v>198</v>
      </c>
      <c r="AH308" s="21" t="s">
        <v>22</v>
      </c>
      <c r="AI308" s="21" t="s">
        <v>26</v>
      </c>
      <c r="AJ308" s="21" t="s">
        <v>22</v>
      </c>
      <c r="AK308" s="21" t="s">
        <v>198</v>
      </c>
      <c r="AL308" s="21" t="s">
        <v>22</v>
      </c>
      <c r="AM308" s="21" t="s">
        <v>198</v>
      </c>
      <c r="AN308" s="21" t="s">
        <v>109</v>
      </c>
      <c r="AO308" s="21" t="s">
        <v>83</v>
      </c>
      <c r="AP308" s="21" t="s">
        <v>109</v>
      </c>
      <c r="AQ308" s="21" t="s">
        <v>109</v>
      </c>
      <c r="AR308" s="21" t="s">
        <v>83</v>
      </c>
      <c r="AS308" s="21" t="s">
        <v>109</v>
      </c>
      <c r="AT308" s="21" t="s">
        <v>198</v>
      </c>
      <c r="AU308" s="21" t="s">
        <v>198</v>
      </c>
      <c r="AV308" s="21" t="s">
        <v>83</v>
      </c>
      <c r="AW308" s="21" t="s">
        <v>83</v>
      </c>
      <c r="AX308" s="21" t="s">
        <v>198</v>
      </c>
      <c r="AY308" s="21" t="s">
        <v>83</v>
      </c>
      <c r="AZ308" s="21" t="s">
        <v>109</v>
      </c>
      <c r="BA308" s="17" t="s">
        <v>269</v>
      </c>
      <c r="BB308" s="17" t="s">
        <v>250</v>
      </c>
      <c r="BC308" s="18">
        <f>--ISNUMBER(SEARCH("Radio or television",BA308))</f>
        <v>1</v>
      </c>
      <c r="BD308" s="18">
        <f>--ISNUMBER(SEARCH("Newspapers or print media",BA308))</f>
        <v>1</v>
      </c>
      <c r="BE308" s="18">
        <f>--ISNUMBER(SEARCH("Social media (e.g. Facebook, WhatsApp, YouTube, X/Twitter)",BA308))</f>
        <v>1</v>
      </c>
      <c r="BF308" s="18">
        <f>--ISNUMBER(SEARCH("Family members",BA308))</f>
        <v>0</v>
      </c>
      <c r="BG308" s="18">
        <f>--ISNUMBER(SEARCH("Friends or fellow students",BA308))</f>
        <v>0</v>
      </c>
      <c r="BH308" s="18">
        <f>--ISNUMBER(SEARCH("School coursework or lectures",BA308))</f>
        <v>0</v>
      </c>
      <c r="BI308" s="18">
        <f>--ISNUMBER(SEARCH("NHIMA outreach activities or NHIMA offices",BA308))</f>
        <v>0</v>
      </c>
      <c r="BJ308" s="18">
        <f>--ISNUMBER(SEARCH("Health facility staff",BA308))</f>
        <v>0</v>
      </c>
      <c r="BK308" s="18">
        <f>--ISNUMBER(SEARCH("not received information",BA308))</f>
        <v>0</v>
      </c>
      <c r="BL308" s="18">
        <f>IF(T308="","",--(T308='Codebook'!$F$13))</f>
        <v>1</v>
      </c>
      <c r="BM308" s="18">
        <f>IF(U308="","",--(U308='Codebook'!$F$14))</f>
        <v>0</v>
      </c>
      <c r="BN308" s="18">
        <f>IF(V308="","",--(V308='Codebook'!$F$15))</f>
        <v>0</v>
      </c>
      <c r="BO308" s="18">
        <f>IF(W308="","",--(W308='Codebook'!$F$16))</f>
        <v>1</v>
      </c>
      <c r="BP308" s="18">
        <f>IF(X308="","",--(X308='Codebook'!$F$17))</f>
        <v>0</v>
      </c>
      <c r="BQ308" s="18">
        <f>IF(Y308="","",--(Y308='Codebook'!$F$18))</f>
        <v>0</v>
      </c>
      <c r="BR308" s="18">
        <f>IF(Z308="","",--(Z308='Codebook'!$F$19))</f>
        <v>0</v>
      </c>
      <c r="BS308" s="18">
        <f>IF(AA308="","",--(AA308='Codebook'!$F$20))</f>
        <v>0</v>
      </c>
      <c r="BT308" s="18">
        <f>IF(AB308="","",--(AB308='Codebook'!$F$21))</f>
        <v>0</v>
      </c>
      <c r="BU308" s="18">
        <f>IF(AC308="","",--(AC308='Codebook'!$F$22))</f>
        <v>1</v>
      </c>
      <c r="BV308" s="18">
        <f>IF(AD308="","",--(AD308='Codebook'!$F$23))</f>
        <v>0</v>
      </c>
      <c r="BW308" s="18">
        <f>IF(AE308="","",--(AE308='Codebook'!$F$24))</f>
        <v>1</v>
      </c>
      <c r="BX308" s="18">
        <f>IF(AF308="","",--(AF308='Codebook'!$F$25))</f>
        <v>0</v>
      </c>
      <c r="BY308" s="18">
        <f>IF(AG308="","",--(AG308='Codebook'!$F$26))</f>
        <v>0</v>
      </c>
      <c r="BZ308" s="18">
        <f>IF(AH308="","",--(AH308='Codebook'!$F$27))</f>
        <v>1</v>
      </c>
      <c r="CA308" s="18">
        <f>IF(AI308="","",--(AI308='Codebook'!$F$28))</f>
        <v>1</v>
      </c>
      <c r="CB308" s="18">
        <f>IF(AJ308="","",--(AJ308='Codebook'!$F$29))</f>
        <v>0</v>
      </c>
      <c r="CC308" s="18">
        <f>IF(AK308="","",--(AK308='Codebook'!$F$30))</f>
        <v>0</v>
      </c>
      <c r="CD308" s="18">
        <f>IF(AL308="","",--(AL308='Codebook'!$F$31))</f>
        <v>0</v>
      </c>
      <c r="CE308" s="18">
        <f>IF(AM308="","",--(AM308='Codebook'!$F$32))</f>
        <v>0</v>
      </c>
      <c r="CF308" s="18">
        <f>IF(AN308="","",--(AN308='Codebook'!$F$33))</f>
        <v>0</v>
      </c>
      <c r="CG308" s="18">
        <f>IF(AO308="","",--(AO308='Codebook'!$F$34))</f>
        <v>1</v>
      </c>
      <c r="CH308" s="18">
        <f>IF(AP308="","",--(AP308='Codebook'!$F$35))</f>
        <v>0</v>
      </c>
      <c r="CI308" s="18">
        <f>IF(AQ308="","",--(AQ308='Codebook'!$F$36))</f>
        <v>0</v>
      </c>
      <c r="CJ308" s="18">
        <f>IF(AR308="","",--(AR308='Codebook'!$F$37))</f>
        <v>1</v>
      </c>
      <c r="CK308" s="18">
        <f>IF(AS308="","",--(AS308='Codebook'!$F$38))</f>
        <v>0</v>
      </c>
      <c r="CL308" s="18">
        <f>IF(AT308="","",--(AT308='Codebook'!$F$39))</f>
        <v>0</v>
      </c>
      <c r="CM308" s="18">
        <f>IF(AU308="","",--(AU308='Codebook'!$F$40))</f>
        <v>0</v>
      </c>
      <c r="CN308" s="18">
        <f>IF(AV308="","",--(AV308='Codebook'!$F$41))</f>
        <v>0</v>
      </c>
      <c r="CO308" s="18">
        <f>IF(AW308="","",--(AW308='Codebook'!$F$42))</f>
        <v>0</v>
      </c>
      <c r="CP308" s="18">
        <f>IF(AX308="","",--(AX308='Codebook'!$F$43))</f>
        <v>0</v>
      </c>
      <c r="CQ308" s="18">
        <f>IF(AY308="","",--(AY308='Codebook'!$F$44))</f>
        <v>0</v>
      </c>
      <c r="CR308" s="18">
        <f>IF(AZ308="","",--(AZ308='Codebook'!$F$45))</f>
        <v>1</v>
      </c>
    </row>
    <row r="309" spans="2:96" ht="24" customHeight="1">
      <c r="B309" s="18">
        <v>304</v>
      </c>
      <c r="C309" s="23">
        <v>46290.54163391203</v>
      </c>
      <c r="D309" s="21" t="s">
        <v>275</v>
      </c>
      <c r="E309" s="21" t="s">
        <v>194</v>
      </c>
      <c r="F309" s="21" t="s">
        <v>195</v>
      </c>
      <c r="G309" s="17" t="s">
        <v>196</v>
      </c>
      <c r="H309" s="21" t="s">
        <v>207</v>
      </c>
      <c r="I309" s="18">
        <f>SUM(BL309:BU309)</f>
        <v>7</v>
      </c>
      <c r="J309" s="18">
        <f>IF(COUNT(BV309:CD309)=9,SUM(BV309:CD309),"")</f>
        <v>5</v>
      </c>
      <c r="K309" s="18">
        <f>SUM(BL309:CD309)</f>
        <v>12</v>
      </c>
      <c r="L309" s="18">
        <f>--(K309&gt;='Codebook'!$C$8)</f>
        <v>1</v>
      </c>
      <c r="M309" s="18">
        <f>--(COUNT(BL309:CD309)=19)</f>
        <v>1</v>
      </c>
      <c r="N309" s="18">
        <f>SUM(CE309:CL309)</f>
        <v>6</v>
      </c>
      <c r="O309" s="18">
        <f>SUM(CM309:CR309)</f>
        <v>1</v>
      </c>
      <c r="P309" s="18">
        <f>N309+O309</f>
        <v>7</v>
      </c>
      <c r="Q309" s="21" t="s">
        <v>197</v>
      </c>
      <c r="R309" s="17" t="s">
        <v>154</v>
      </c>
      <c r="S309" s="18">
        <f>--OR(Overview!$B$6="All",E309=Overview!$B$6)*--OR(Overview!$F$6="All",F309=Overview!$F$6)*--OR(Overview!$J$6="All",G309=Overview!$J$6)*--OR(Overview!$N$6="All",H309=Overview!$N$6)</f>
        <v>1</v>
      </c>
      <c r="T309" s="21" t="s">
        <v>22</v>
      </c>
      <c r="U309" s="21" t="s">
        <v>22</v>
      </c>
      <c r="V309" s="21" t="s">
        <v>22</v>
      </c>
      <c r="W309" s="21" t="s">
        <v>22</v>
      </c>
      <c r="X309" s="21" t="s">
        <v>22</v>
      </c>
      <c r="Y309" s="21" t="s">
        <v>26</v>
      </c>
      <c r="Z309" s="21" t="s">
        <v>22</v>
      </c>
      <c r="AA309" s="21" t="s">
        <v>22</v>
      </c>
      <c r="AB309" s="21" t="s">
        <v>198</v>
      </c>
      <c r="AC309" s="21" t="s">
        <v>22</v>
      </c>
      <c r="AD309" s="21" t="s">
        <v>22</v>
      </c>
      <c r="AE309" s="21" t="s">
        <v>22</v>
      </c>
      <c r="AF309" s="21" t="s">
        <v>22</v>
      </c>
      <c r="AG309" s="21" t="s">
        <v>22</v>
      </c>
      <c r="AH309" s="21" t="s">
        <v>26</v>
      </c>
      <c r="AI309" s="21" t="s">
        <v>22</v>
      </c>
      <c r="AJ309" s="21" t="s">
        <v>26</v>
      </c>
      <c r="AK309" s="21" t="s">
        <v>22</v>
      </c>
      <c r="AL309" s="21" t="s">
        <v>22</v>
      </c>
      <c r="AM309" s="21" t="s">
        <v>83</v>
      </c>
      <c r="AN309" s="21" t="s">
        <v>83</v>
      </c>
      <c r="AO309" s="21" t="s">
        <v>83</v>
      </c>
      <c r="AP309" s="21" t="s">
        <v>83</v>
      </c>
      <c r="AQ309" s="21" t="s">
        <v>83</v>
      </c>
      <c r="AR309" s="21" t="s">
        <v>83</v>
      </c>
      <c r="AS309" s="21" t="s">
        <v>109</v>
      </c>
      <c r="AT309" s="21" t="s">
        <v>198</v>
      </c>
      <c r="AU309" s="21" t="s">
        <v>83</v>
      </c>
      <c r="AV309" s="21" t="s">
        <v>109</v>
      </c>
      <c r="AW309" s="21" t="s">
        <v>83</v>
      </c>
      <c r="AX309" s="21" t="s">
        <v>198</v>
      </c>
      <c r="AY309" s="21" t="s">
        <v>83</v>
      </c>
      <c r="AZ309" s="21" t="s">
        <v>83</v>
      </c>
      <c r="BA309" s="17" t="s">
        <v>246</v>
      </c>
      <c r="BB309" s="17" t="s">
        <v>250</v>
      </c>
      <c r="BC309" s="18">
        <f>--ISNUMBER(SEARCH("Radio or television",BA309))</f>
        <v>1</v>
      </c>
      <c r="BD309" s="18">
        <f>--ISNUMBER(SEARCH("Newspapers or print media",BA309))</f>
        <v>0</v>
      </c>
      <c r="BE309" s="18">
        <f>--ISNUMBER(SEARCH("Social media (e.g. Facebook, WhatsApp, YouTube, X/Twitter)",BA309))</f>
        <v>1</v>
      </c>
      <c r="BF309" s="18">
        <f>--ISNUMBER(SEARCH("Family members",BA309))</f>
        <v>0</v>
      </c>
      <c r="BG309" s="18">
        <f>--ISNUMBER(SEARCH("Friends or fellow students",BA309))</f>
        <v>0</v>
      </c>
      <c r="BH309" s="18">
        <f>--ISNUMBER(SEARCH("School coursework or lectures",BA309))</f>
        <v>0</v>
      </c>
      <c r="BI309" s="18">
        <f>--ISNUMBER(SEARCH("NHIMA outreach activities or NHIMA offices",BA309))</f>
        <v>0</v>
      </c>
      <c r="BJ309" s="18">
        <f>--ISNUMBER(SEARCH("Health facility staff",BA309))</f>
        <v>0</v>
      </c>
      <c r="BK309" s="18">
        <f>--ISNUMBER(SEARCH("not received information",BA309))</f>
        <v>0</v>
      </c>
      <c r="BL309" s="18">
        <f>IF(T309="","",--(T309='Codebook'!$F$13))</f>
        <v>1</v>
      </c>
      <c r="BM309" s="18">
        <f>IF(U309="","",--(U309='Codebook'!$F$14))</f>
        <v>0</v>
      </c>
      <c r="BN309" s="18">
        <f>IF(V309="","",--(V309='Codebook'!$F$15))</f>
        <v>0</v>
      </c>
      <c r="BO309" s="18">
        <f>IF(W309="","",--(W309='Codebook'!$F$16))</f>
        <v>1</v>
      </c>
      <c r="BP309" s="18">
        <f>IF(X309="","",--(X309='Codebook'!$F$17))</f>
        <v>1</v>
      </c>
      <c r="BQ309" s="18">
        <f>IF(Y309="","",--(Y309='Codebook'!$F$18))</f>
        <v>1</v>
      </c>
      <c r="BR309" s="18">
        <f>IF(Z309="","",--(Z309='Codebook'!$F$19))</f>
        <v>1</v>
      </c>
      <c r="BS309" s="18">
        <f>IF(AA309="","",--(AA309='Codebook'!$F$20))</f>
        <v>1</v>
      </c>
      <c r="BT309" s="18">
        <f>IF(AB309="","",--(AB309='Codebook'!$F$21))</f>
        <v>0</v>
      </c>
      <c r="BU309" s="18">
        <f>IF(AC309="","",--(AC309='Codebook'!$F$22))</f>
        <v>1</v>
      </c>
      <c r="BV309" s="18">
        <f>IF(AD309="","",--(AD309='Codebook'!$F$23))</f>
        <v>1</v>
      </c>
      <c r="BW309" s="18">
        <f>IF(AE309="","",--(AE309='Codebook'!$F$24))</f>
        <v>1</v>
      </c>
      <c r="BX309" s="18">
        <f>IF(AF309="","",--(AF309='Codebook'!$F$25))</f>
        <v>0</v>
      </c>
      <c r="BY309" s="18">
        <f>IF(AG309="","",--(AG309='Codebook'!$F$26))</f>
        <v>1</v>
      </c>
      <c r="BZ309" s="18">
        <f>IF(AH309="","",--(AH309='Codebook'!$F$27))</f>
        <v>0</v>
      </c>
      <c r="CA309" s="18">
        <f>IF(AI309="","",--(AI309='Codebook'!$F$28))</f>
        <v>0</v>
      </c>
      <c r="CB309" s="18">
        <f>IF(AJ309="","",--(AJ309='Codebook'!$F$29))</f>
        <v>1</v>
      </c>
      <c r="CC309" s="18">
        <f>IF(AK309="","",--(AK309='Codebook'!$F$30))</f>
        <v>1</v>
      </c>
      <c r="CD309" s="18">
        <f>IF(AL309="","",--(AL309='Codebook'!$F$31))</f>
        <v>0</v>
      </c>
      <c r="CE309" s="18">
        <f>IF(AM309="","",--(AM309='Codebook'!$F$32))</f>
        <v>1</v>
      </c>
      <c r="CF309" s="18">
        <f>IF(AN309="","",--(AN309='Codebook'!$F$33))</f>
        <v>1</v>
      </c>
      <c r="CG309" s="18">
        <f>IF(AO309="","",--(AO309='Codebook'!$F$34))</f>
        <v>1</v>
      </c>
      <c r="CH309" s="18">
        <f>IF(AP309="","",--(AP309='Codebook'!$F$35))</f>
        <v>1</v>
      </c>
      <c r="CI309" s="18">
        <f>IF(AQ309="","",--(AQ309='Codebook'!$F$36))</f>
        <v>1</v>
      </c>
      <c r="CJ309" s="18">
        <f>IF(AR309="","",--(AR309='Codebook'!$F$37))</f>
        <v>1</v>
      </c>
      <c r="CK309" s="18">
        <f>IF(AS309="","",--(AS309='Codebook'!$F$38))</f>
        <v>0</v>
      </c>
      <c r="CL309" s="18">
        <f>IF(AT309="","",--(AT309='Codebook'!$F$39))</f>
        <v>0</v>
      </c>
      <c r="CM309" s="18">
        <f>IF(AU309="","",--(AU309='Codebook'!$F$40))</f>
        <v>0</v>
      </c>
      <c r="CN309" s="18">
        <f>IF(AV309="","",--(AV309='Codebook'!$F$41))</f>
        <v>1</v>
      </c>
      <c r="CO309" s="18">
        <f>IF(AW309="","",--(AW309='Codebook'!$F$42))</f>
        <v>0</v>
      </c>
      <c r="CP309" s="18">
        <f>IF(AX309="","",--(AX309='Codebook'!$F$43))</f>
        <v>0</v>
      </c>
      <c r="CQ309" s="18">
        <f>IF(AY309="","",--(AY309='Codebook'!$F$44))</f>
        <v>0</v>
      </c>
      <c r="CR309" s="18">
        <f>IF(AZ309="","",--(AZ309='Codebook'!$F$45))</f>
        <v>0</v>
      </c>
    </row>
    <row r="310" spans="2:96" ht="24" customHeight="1">
      <c r="B310" s="18">
        <v>305</v>
      </c>
      <c r="C310" s="23">
        <v>46290.74467028935</v>
      </c>
      <c r="D310" s="21" t="s">
        <v>275</v>
      </c>
      <c r="E310" s="21" t="s">
        <v>194</v>
      </c>
      <c r="F310" s="21" t="s">
        <v>212</v>
      </c>
      <c r="G310" s="17" t="s">
        <v>224</v>
      </c>
      <c r="H310" s="21" t="s">
        <v>197</v>
      </c>
      <c r="I310" s="18">
        <f>SUM(BL310:BU310)</f>
        <v>7</v>
      </c>
      <c r="J310" s="18">
        <f>IF(COUNT(BV310:CD310)=9,SUM(BV310:CD310),"")</f>
        <v>5</v>
      </c>
      <c r="K310" s="18">
        <f>SUM(BL310:CD310)</f>
        <v>12</v>
      </c>
      <c r="L310" s="18">
        <f>--(K310&gt;='Codebook'!$C$8)</f>
        <v>1</v>
      </c>
      <c r="M310" s="18">
        <f>--(COUNT(BL310:CD310)=19)</f>
        <v>1</v>
      </c>
      <c r="N310" s="18">
        <f>SUM(CE310:CL310)</f>
        <v>7</v>
      </c>
      <c r="O310" s="18">
        <f>SUM(CM310:CR310)</f>
        <v>0</v>
      </c>
      <c r="P310" s="18">
        <f>N310+O310</f>
        <v>7</v>
      </c>
      <c r="Q310" s="21" t="s">
        <v>198</v>
      </c>
      <c r="R310" s="17" t="s">
        <v>216</v>
      </c>
      <c r="S310" s="18">
        <f>--OR(Overview!$B$6="All",E310=Overview!$B$6)*--OR(Overview!$F$6="All",F310=Overview!$F$6)*--OR(Overview!$J$6="All",G310=Overview!$J$6)*--OR(Overview!$N$6="All",H310=Overview!$N$6)</f>
        <v>1</v>
      </c>
      <c r="T310" s="21" t="s">
        <v>22</v>
      </c>
      <c r="U310" s="21" t="s">
        <v>22</v>
      </c>
      <c r="V310" s="21" t="s">
        <v>22</v>
      </c>
      <c r="W310" s="21" t="s">
        <v>22</v>
      </c>
      <c r="X310" s="21" t="s">
        <v>22</v>
      </c>
      <c r="Y310" s="21" t="s">
        <v>26</v>
      </c>
      <c r="Z310" s="21" t="s">
        <v>22</v>
      </c>
      <c r="AA310" s="21" t="s">
        <v>22</v>
      </c>
      <c r="AB310" s="21" t="s">
        <v>22</v>
      </c>
      <c r="AC310" s="21" t="s">
        <v>22</v>
      </c>
      <c r="AD310" s="21" t="s">
        <v>22</v>
      </c>
      <c r="AE310" s="21" t="s">
        <v>22</v>
      </c>
      <c r="AF310" s="21" t="s">
        <v>22</v>
      </c>
      <c r="AG310" s="21" t="s">
        <v>22</v>
      </c>
      <c r="AH310" s="21" t="s">
        <v>22</v>
      </c>
      <c r="AI310" s="21" t="s">
        <v>198</v>
      </c>
      <c r="AJ310" s="21" t="s">
        <v>22</v>
      </c>
      <c r="AK310" s="21" t="s">
        <v>22</v>
      </c>
      <c r="AL310" s="21" t="s">
        <v>22</v>
      </c>
      <c r="AM310" s="21" t="s">
        <v>83</v>
      </c>
      <c r="AN310" s="21" t="s">
        <v>83</v>
      </c>
      <c r="AO310" s="21" t="s">
        <v>83</v>
      </c>
      <c r="AP310" s="21" t="s">
        <v>83</v>
      </c>
      <c r="AQ310" s="21" t="s">
        <v>109</v>
      </c>
      <c r="AR310" s="21" t="s">
        <v>83</v>
      </c>
      <c r="AS310" s="21" t="s">
        <v>83</v>
      </c>
      <c r="AT310" s="21" t="s">
        <v>83</v>
      </c>
      <c r="AU310" s="21" t="s">
        <v>83</v>
      </c>
      <c r="AV310" s="21" t="s">
        <v>83</v>
      </c>
      <c r="AW310" s="21" t="s">
        <v>83</v>
      </c>
      <c r="AX310" s="21" t="s">
        <v>83</v>
      </c>
      <c r="AY310" s="21" t="s">
        <v>83</v>
      </c>
      <c r="AZ310" s="21" t="s">
        <v>83</v>
      </c>
      <c r="BA310" s="17" t="s">
        <v>292</v>
      </c>
      <c r="BB310" s="17" t="s">
        <v>269</v>
      </c>
      <c r="BC310" s="18">
        <f>--ISNUMBER(SEARCH("Radio or television",BA310))</f>
        <v>1</v>
      </c>
      <c r="BD310" s="18">
        <f>--ISNUMBER(SEARCH("Newspapers or print media",BA310))</f>
        <v>0</v>
      </c>
      <c r="BE310" s="18">
        <f>--ISNUMBER(SEARCH("Social media (e.g. Facebook, WhatsApp, YouTube, X/Twitter)",BA310))</f>
        <v>1</v>
      </c>
      <c r="BF310" s="18">
        <f>--ISNUMBER(SEARCH("Family members",BA310))</f>
        <v>0</v>
      </c>
      <c r="BG310" s="18">
        <f>--ISNUMBER(SEARCH("Friends or fellow students",BA310))</f>
        <v>1</v>
      </c>
      <c r="BH310" s="18">
        <f>--ISNUMBER(SEARCH("School coursework or lectures",BA310))</f>
        <v>0</v>
      </c>
      <c r="BI310" s="18">
        <f>--ISNUMBER(SEARCH("NHIMA outreach activities or NHIMA offices",BA310))</f>
        <v>0</v>
      </c>
      <c r="BJ310" s="18">
        <f>--ISNUMBER(SEARCH("Health facility staff",BA310))</f>
        <v>0</v>
      </c>
      <c r="BK310" s="18">
        <f>--ISNUMBER(SEARCH("not received information",BA310))</f>
        <v>0</v>
      </c>
      <c r="BL310" s="18">
        <f>IF(T310="","",--(T310='Codebook'!$F$13))</f>
        <v>1</v>
      </c>
      <c r="BM310" s="18">
        <f>IF(U310="","",--(U310='Codebook'!$F$14))</f>
        <v>0</v>
      </c>
      <c r="BN310" s="18">
        <f>IF(V310="","",--(V310='Codebook'!$F$15))</f>
        <v>0</v>
      </c>
      <c r="BO310" s="18">
        <f>IF(W310="","",--(W310='Codebook'!$F$16))</f>
        <v>1</v>
      </c>
      <c r="BP310" s="18">
        <f>IF(X310="","",--(X310='Codebook'!$F$17))</f>
        <v>1</v>
      </c>
      <c r="BQ310" s="18">
        <f>IF(Y310="","",--(Y310='Codebook'!$F$18))</f>
        <v>1</v>
      </c>
      <c r="BR310" s="18">
        <f>IF(Z310="","",--(Z310='Codebook'!$F$19))</f>
        <v>1</v>
      </c>
      <c r="BS310" s="18">
        <f>IF(AA310="","",--(AA310='Codebook'!$F$20))</f>
        <v>1</v>
      </c>
      <c r="BT310" s="18">
        <f>IF(AB310="","",--(AB310='Codebook'!$F$21))</f>
        <v>0</v>
      </c>
      <c r="BU310" s="18">
        <f>IF(AC310="","",--(AC310='Codebook'!$F$22))</f>
        <v>1</v>
      </c>
      <c r="BV310" s="18">
        <f>IF(AD310="","",--(AD310='Codebook'!$F$23))</f>
        <v>1</v>
      </c>
      <c r="BW310" s="18">
        <f>IF(AE310="","",--(AE310='Codebook'!$F$24))</f>
        <v>1</v>
      </c>
      <c r="BX310" s="18">
        <f>IF(AF310="","",--(AF310='Codebook'!$F$25))</f>
        <v>0</v>
      </c>
      <c r="BY310" s="18">
        <f>IF(AG310="","",--(AG310='Codebook'!$F$26))</f>
        <v>1</v>
      </c>
      <c r="BZ310" s="18">
        <f>IF(AH310="","",--(AH310='Codebook'!$F$27))</f>
        <v>1</v>
      </c>
      <c r="CA310" s="18">
        <f>IF(AI310="","",--(AI310='Codebook'!$F$28))</f>
        <v>0</v>
      </c>
      <c r="CB310" s="18">
        <f>IF(AJ310="","",--(AJ310='Codebook'!$F$29))</f>
        <v>0</v>
      </c>
      <c r="CC310" s="18">
        <f>IF(AK310="","",--(AK310='Codebook'!$F$30))</f>
        <v>1</v>
      </c>
      <c r="CD310" s="18">
        <f>IF(AL310="","",--(AL310='Codebook'!$F$31))</f>
        <v>0</v>
      </c>
      <c r="CE310" s="18">
        <f>IF(AM310="","",--(AM310='Codebook'!$F$32))</f>
        <v>1</v>
      </c>
      <c r="CF310" s="18">
        <f>IF(AN310="","",--(AN310='Codebook'!$F$33))</f>
        <v>1</v>
      </c>
      <c r="CG310" s="18">
        <f>IF(AO310="","",--(AO310='Codebook'!$F$34))</f>
        <v>1</v>
      </c>
      <c r="CH310" s="18">
        <f>IF(AP310="","",--(AP310='Codebook'!$F$35))</f>
        <v>1</v>
      </c>
      <c r="CI310" s="18">
        <f>IF(AQ310="","",--(AQ310='Codebook'!$F$36))</f>
        <v>0</v>
      </c>
      <c r="CJ310" s="18">
        <f>IF(AR310="","",--(AR310='Codebook'!$F$37))</f>
        <v>1</v>
      </c>
      <c r="CK310" s="18">
        <f>IF(AS310="","",--(AS310='Codebook'!$F$38))</f>
        <v>1</v>
      </c>
      <c r="CL310" s="18">
        <f>IF(AT310="","",--(AT310='Codebook'!$F$39))</f>
        <v>1</v>
      </c>
      <c r="CM310" s="18">
        <f>IF(AU310="","",--(AU310='Codebook'!$F$40))</f>
        <v>0</v>
      </c>
      <c r="CN310" s="18">
        <f>IF(AV310="","",--(AV310='Codebook'!$F$41))</f>
        <v>0</v>
      </c>
      <c r="CO310" s="18">
        <f>IF(AW310="","",--(AW310='Codebook'!$F$42))</f>
        <v>0</v>
      </c>
      <c r="CP310" s="18">
        <f>IF(AX310="","",--(AX310='Codebook'!$F$43))</f>
        <v>0</v>
      </c>
      <c r="CQ310" s="18">
        <f>IF(AY310="","",--(AY310='Codebook'!$F$44))</f>
        <v>0</v>
      </c>
      <c r="CR310" s="18">
        <f>IF(AZ310="","",--(AZ310='Codebook'!$F$45))</f>
        <v>0</v>
      </c>
    </row>
    <row r="311" spans="2:96" ht="24" customHeight="1">
      <c r="B311" s="18">
        <v>306</v>
      </c>
      <c r="C311" s="23">
        <v>46290.74528780093</v>
      </c>
      <c r="D311" s="21" t="s">
        <v>275</v>
      </c>
      <c r="E311" s="21" t="s">
        <v>206</v>
      </c>
      <c r="F311" s="21" t="s">
        <v>195</v>
      </c>
      <c r="G311" s="17" t="s">
        <v>202</v>
      </c>
      <c r="H311" s="21" t="s">
        <v>197</v>
      </c>
      <c r="I311" s="18">
        <f>SUM(BL311:BU311)</f>
        <v>6</v>
      </c>
      <c r="J311" s="18">
        <f>IF(COUNT(BV311:CD311)=9,SUM(BV311:CD311),"")</f>
        <v>4</v>
      </c>
      <c r="K311" s="18">
        <f>SUM(BL311:CD311)</f>
        <v>10</v>
      </c>
      <c r="L311" s="18">
        <f>--(K311&gt;='Codebook'!$C$8)</f>
        <v>0</v>
      </c>
      <c r="M311" s="18">
        <f>--(COUNT(BL311:CD311)=19)</f>
        <v>1</v>
      </c>
      <c r="N311" s="18">
        <f>SUM(CE311:CL311)</f>
        <v>6</v>
      </c>
      <c r="O311" s="18">
        <f>SUM(CM311:CR311)</f>
        <v>2</v>
      </c>
      <c r="P311" s="18">
        <f>N311+O311</f>
        <v>8</v>
      </c>
      <c r="Q311" s="21" t="s">
        <v>198</v>
      </c>
      <c r="R311" s="17" t="s">
        <v>154</v>
      </c>
      <c r="S311" s="18">
        <f>--OR(Overview!$B$6="All",E311=Overview!$B$6)*--OR(Overview!$F$6="All",F311=Overview!$F$6)*--OR(Overview!$J$6="All",G311=Overview!$J$6)*--OR(Overview!$N$6="All",H311=Overview!$N$6)</f>
        <v>1</v>
      </c>
      <c r="T311" s="21" t="s">
        <v>22</v>
      </c>
      <c r="U311" s="21" t="s">
        <v>22</v>
      </c>
      <c r="V311" s="21" t="s">
        <v>22</v>
      </c>
      <c r="W311" s="21" t="s">
        <v>22</v>
      </c>
      <c r="X311" s="21" t="s">
        <v>22</v>
      </c>
      <c r="Y311" s="21" t="s">
        <v>22</v>
      </c>
      <c r="Z311" s="21" t="s">
        <v>22</v>
      </c>
      <c r="AA311" s="21" t="s">
        <v>22</v>
      </c>
      <c r="AB311" s="21" t="s">
        <v>22</v>
      </c>
      <c r="AC311" s="21" t="s">
        <v>22</v>
      </c>
      <c r="AD311" s="21" t="s">
        <v>26</v>
      </c>
      <c r="AE311" s="21" t="s">
        <v>22</v>
      </c>
      <c r="AF311" s="21" t="s">
        <v>198</v>
      </c>
      <c r="AG311" s="21" t="s">
        <v>22</v>
      </c>
      <c r="AH311" s="21" t="s">
        <v>22</v>
      </c>
      <c r="AI311" s="21" t="s">
        <v>22</v>
      </c>
      <c r="AJ311" s="21" t="s">
        <v>198</v>
      </c>
      <c r="AK311" s="21" t="s">
        <v>22</v>
      </c>
      <c r="AL311" s="21" t="s">
        <v>22</v>
      </c>
      <c r="AM311" s="21" t="s">
        <v>109</v>
      </c>
      <c r="AN311" s="21" t="s">
        <v>83</v>
      </c>
      <c r="AO311" s="21" t="s">
        <v>83</v>
      </c>
      <c r="AP311" s="21" t="s">
        <v>83</v>
      </c>
      <c r="AQ311" s="21" t="s">
        <v>109</v>
      </c>
      <c r="AR311" s="21" t="s">
        <v>83</v>
      </c>
      <c r="AS311" s="21" t="s">
        <v>83</v>
      </c>
      <c r="AT311" s="21" t="s">
        <v>83</v>
      </c>
      <c r="AU311" s="21" t="s">
        <v>83</v>
      </c>
      <c r="AV311" s="21" t="s">
        <v>109</v>
      </c>
      <c r="AW311" s="21" t="s">
        <v>83</v>
      </c>
      <c r="AX311" s="21" t="s">
        <v>109</v>
      </c>
      <c r="AY311" s="21" t="s">
        <v>83</v>
      </c>
      <c r="AZ311" s="21" t="s">
        <v>83</v>
      </c>
      <c r="BA311" s="17" t="s">
        <v>292</v>
      </c>
      <c r="BB311" s="17" t="s">
        <v>250</v>
      </c>
      <c r="BC311" s="18">
        <f>--ISNUMBER(SEARCH("Radio or television",BA311))</f>
        <v>1</v>
      </c>
      <c r="BD311" s="18">
        <f>--ISNUMBER(SEARCH("Newspapers or print media",BA311))</f>
        <v>0</v>
      </c>
      <c r="BE311" s="18">
        <f>--ISNUMBER(SEARCH("Social media (e.g. Facebook, WhatsApp, YouTube, X/Twitter)",BA311))</f>
        <v>1</v>
      </c>
      <c r="BF311" s="18">
        <f>--ISNUMBER(SEARCH("Family members",BA311))</f>
        <v>0</v>
      </c>
      <c r="BG311" s="18">
        <f>--ISNUMBER(SEARCH("Friends or fellow students",BA311))</f>
        <v>1</v>
      </c>
      <c r="BH311" s="18">
        <f>--ISNUMBER(SEARCH("School coursework or lectures",BA311))</f>
        <v>0</v>
      </c>
      <c r="BI311" s="18">
        <f>--ISNUMBER(SEARCH("NHIMA outreach activities or NHIMA offices",BA311))</f>
        <v>0</v>
      </c>
      <c r="BJ311" s="18">
        <f>--ISNUMBER(SEARCH("Health facility staff",BA311))</f>
        <v>0</v>
      </c>
      <c r="BK311" s="18">
        <f>--ISNUMBER(SEARCH("not received information",BA311))</f>
        <v>0</v>
      </c>
      <c r="BL311" s="18">
        <f>IF(T311="","",--(T311='Codebook'!$F$13))</f>
        <v>1</v>
      </c>
      <c r="BM311" s="18">
        <f>IF(U311="","",--(U311='Codebook'!$F$14))</f>
        <v>0</v>
      </c>
      <c r="BN311" s="18">
        <f>IF(V311="","",--(V311='Codebook'!$F$15))</f>
        <v>0</v>
      </c>
      <c r="BO311" s="18">
        <f>IF(W311="","",--(W311='Codebook'!$F$16))</f>
        <v>1</v>
      </c>
      <c r="BP311" s="18">
        <f>IF(X311="","",--(X311='Codebook'!$F$17))</f>
        <v>1</v>
      </c>
      <c r="BQ311" s="18">
        <f>IF(Y311="","",--(Y311='Codebook'!$F$18))</f>
        <v>0</v>
      </c>
      <c r="BR311" s="18">
        <f>IF(Z311="","",--(Z311='Codebook'!$F$19))</f>
        <v>1</v>
      </c>
      <c r="BS311" s="18">
        <f>IF(AA311="","",--(AA311='Codebook'!$F$20))</f>
        <v>1</v>
      </c>
      <c r="BT311" s="18">
        <f>IF(AB311="","",--(AB311='Codebook'!$F$21))</f>
        <v>0</v>
      </c>
      <c r="BU311" s="18">
        <f>IF(AC311="","",--(AC311='Codebook'!$F$22))</f>
        <v>1</v>
      </c>
      <c r="BV311" s="18">
        <f>IF(AD311="","",--(AD311='Codebook'!$F$23))</f>
        <v>0</v>
      </c>
      <c r="BW311" s="18">
        <f>IF(AE311="","",--(AE311='Codebook'!$F$24))</f>
        <v>1</v>
      </c>
      <c r="BX311" s="18">
        <f>IF(AF311="","",--(AF311='Codebook'!$F$25))</f>
        <v>0</v>
      </c>
      <c r="BY311" s="18">
        <f>IF(AG311="","",--(AG311='Codebook'!$F$26))</f>
        <v>1</v>
      </c>
      <c r="BZ311" s="18">
        <f>IF(AH311="","",--(AH311='Codebook'!$F$27))</f>
        <v>1</v>
      </c>
      <c r="CA311" s="18">
        <f>IF(AI311="","",--(AI311='Codebook'!$F$28))</f>
        <v>0</v>
      </c>
      <c r="CB311" s="18">
        <f>IF(AJ311="","",--(AJ311='Codebook'!$F$29))</f>
        <v>0</v>
      </c>
      <c r="CC311" s="18">
        <f>IF(AK311="","",--(AK311='Codebook'!$F$30))</f>
        <v>1</v>
      </c>
      <c r="CD311" s="18">
        <f>IF(AL311="","",--(AL311='Codebook'!$F$31))</f>
        <v>0</v>
      </c>
      <c r="CE311" s="18">
        <f>IF(AM311="","",--(AM311='Codebook'!$F$32))</f>
        <v>0</v>
      </c>
      <c r="CF311" s="18">
        <f>IF(AN311="","",--(AN311='Codebook'!$F$33))</f>
        <v>1</v>
      </c>
      <c r="CG311" s="18">
        <f>IF(AO311="","",--(AO311='Codebook'!$F$34))</f>
        <v>1</v>
      </c>
      <c r="CH311" s="18">
        <f>IF(AP311="","",--(AP311='Codebook'!$F$35))</f>
        <v>1</v>
      </c>
      <c r="CI311" s="18">
        <f>IF(AQ311="","",--(AQ311='Codebook'!$F$36))</f>
        <v>0</v>
      </c>
      <c r="CJ311" s="18">
        <f>IF(AR311="","",--(AR311='Codebook'!$F$37))</f>
        <v>1</v>
      </c>
      <c r="CK311" s="18">
        <f>IF(AS311="","",--(AS311='Codebook'!$F$38))</f>
        <v>1</v>
      </c>
      <c r="CL311" s="18">
        <f>IF(AT311="","",--(AT311='Codebook'!$F$39))</f>
        <v>1</v>
      </c>
      <c r="CM311" s="18">
        <f>IF(AU311="","",--(AU311='Codebook'!$F$40))</f>
        <v>0</v>
      </c>
      <c r="CN311" s="18">
        <f>IF(AV311="","",--(AV311='Codebook'!$F$41))</f>
        <v>1</v>
      </c>
      <c r="CO311" s="18">
        <f>IF(AW311="","",--(AW311='Codebook'!$F$42))</f>
        <v>0</v>
      </c>
      <c r="CP311" s="18">
        <f>IF(AX311="","",--(AX311='Codebook'!$F$43))</f>
        <v>1</v>
      </c>
      <c r="CQ311" s="18">
        <f>IF(AY311="","",--(AY311='Codebook'!$F$44))</f>
        <v>0</v>
      </c>
      <c r="CR311" s="18">
        <f>IF(AZ311="","",--(AZ311='Codebook'!$F$45))</f>
        <v>0</v>
      </c>
    </row>
    <row r="312" spans="2:96" ht="24" customHeight="1">
      <c r="B312" s="18">
        <v>307</v>
      </c>
      <c r="C312" s="23">
        <v>46290.74591005787</v>
      </c>
      <c r="D312" s="21" t="s">
        <v>275</v>
      </c>
      <c r="E312" s="21" t="s">
        <v>206</v>
      </c>
      <c r="F312" s="21" t="s">
        <v>201</v>
      </c>
      <c r="G312" s="17" t="s">
        <v>196</v>
      </c>
      <c r="H312" s="21" t="s">
        <v>197</v>
      </c>
      <c r="I312" s="18">
        <f>SUM(BL312:BU312)</f>
        <v>5</v>
      </c>
      <c r="J312" s="18">
        <f>IF(COUNT(BV312:CD312)=9,SUM(BV312:CD312),"")</f>
        <v>5</v>
      </c>
      <c r="K312" s="18">
        <f>SUM(BL312:CD312)</f>
        <v>10</v>
      </c>
      <c r="L312" s="18">
        <f>--(K312&gt;='Codebook'!$C$8)</f>
        <v>0</v>
      </c>
      <c r="M312" s="18">
        <f>--(COUNT(BL312:CD312)=19)</f>
        <v>1</v>
      </c>
      <c r="N312" s="18">
        <f>SUM(CE312:CL312)</f>
        <v>8</v>
      </c>
      <c r="O312" s="18">
        <f>SUM(CM312:CR312)</f>
        <v>0</v>
      </c>
      <c r="P312" s="18">
        <f>N312+O312</f>
        <v>8</v>
      </c>
      <c r="Q312" s="21" t="s">
        <v>198</v>
      </c>
      <c r="R312" s="17" t="s">
        <v>154</v>
      </c>
      <c r="S312" s="18">
        <f>--OR(Overview!$B$6="All",E312=Overview!$B$6)*--OR(Overview!$F$6="All",F312=Overview!$F$6)*--OR(Overview!$J$6="All",G312=Overview!$J$6)*--OR(Overview!$N$6="All",H312=Overview!$N$6)</f>
        <v>1</v>
      </c>
      <c r="T312" s="21" t="s">
        <v>26</v>
      </c>
      <c r="U312" s="21" t="s">
        <v>22</v>
      </c>
      <c r="V312" s="21" t="s">
        <v>22</v>
      </c>
      <c r="W312" s="21" t="s">
        <v>22</v>
      </c>
      <c r="X312" s="21" t="s">
        <v>22</v>
      </c>
      <c r="Y312" s="21" t="s">
        <v>22</v>
      </c>
      <c r="Z312" s="21" t="s">
        <v>22</v>
      </c>
      <c r="AA312" s="21" t="s">
        <v>22</v>
      </c>
      <c r="AB312" s="21" t="s">
        <v>22</v>
      </c>
      <c r="AC312" s="21" t="s">
        <v>22</v>
      </c>
      <c r="AD312" s="21" t="s">
        <v>22</v>
      </c>
      <c r="AE312" s="21" t="s">
        <v>22</v>
      </c>
      <c r="AF312" s="21" t="s">
        <v>22</v>
      </c>
      <c r="AG312" s="21" t="s">
        <v>22</v>
      </c>
      <c r="AH312" s="21" t="s">
        <v>22</v>
      </c>
      <c r="AI312" s="21" t="s">
        <v>22</v>
      </c>
      <c r="AJ312" s="21" t="s">
        <v>22</v>
      </c>
      <c r="AK312" s="21" t="s">
        <v>22</v>
      </c>
      <c r="AL312" s="21" t="s">
        <v>22</v>
      </c>
      <c r="AM312" s="21" t="s">
        <v>83</v>
      </c>
      <c r="AN312" s="21" t="s">
        <v>83</v>
      </c>
      <c r="AO312" s="21" t="s">
        <v>83</v>
      </c>
      <c r="AP312" s="21" t="s">
        <v>83</v>
      </c>
      <c r="AQ312" s="21" t="s">
        <v>83</v>
      </c>
      <c r="AR312" s="21" t="s">
        <v>83</v>
      </c>
      <c r="AS312" s="21" t="s">
        <v>83</v>
      </c>
      <c r="AT312" s="21" t="s">
        <v>83</v>
      </c>
      <c r="AU312" s="21" t="s">
        <v>83</v>
      </c>
      <c r="AV312" s="21" t="s">
        <v>83</v>
      </c>
      <c r="AW312" s="21" t="s">
        <v>83</v>
      </c>
      <c r="AX312" s="21" t="s">
        <v>83</v>
      </c>
      <c r="AY312" s="21" t="s">
        <v>83</v>
      </c>
      <c r="AZ312" s="21" t="s">
        <v>83</v>
      </c>
      <c r="BA312" s="17" t="s">
        <v>246</v>
      </c>
      <c r="BB312" s="17" t="s">
        <v>250</v>
      </c>
      <c r="BC312" s="18">
        <f>--ISNUMBER(SEARCH("Radio or television",BA312))</f>
        <v>1</v>
      </c>
      <c r="BD312" s="18">
        <f>--ISNUMBER(SEARCH("Newspapers or print media",BA312))</f>
        <v>0</v>
      </c>
      <c r="BE312" s="18">
        <f>--ISNUMBER(SEARCH("Social media (e.g. Facebook, WhatsApp, YouTube, X/Twitter)",BA312))</f>
        <v>1</v>
      </c>
      <c r="BF312" s="18">
        <f>--ISNUMBER(SEARCH("Family members",BA312))</f>
        <v>0</v>
      </c>
      <c r="BG312" s="18">
        <f>--ISNUMBER(SEARCH("Friends or fellow students",BA312))</f>
        <v>0</v>
      </c>
      <c r="BH312" s="18">
        <f>--ISNUMBER(SEARCH("School coursework or lectures",BA312))</f>
        <v>0</v>
      </c>
      <c r="BI312" s="18">
        <f>--ISNUMBER(SEARCH("NHIMA outreach activities or NHIMA offices",BA312))</f>
        <v>0</v>
      </c>
      <c r="BJ312" s="18">
        <f>--ISNUMBER(SEARCH("Health facility staff",BA312))</f>
        <v>0</v>
      </c>
      <c r="BK312" s="18">
        <f>--ISNUMBER(SEARCH("not received information",BA312))</f>
        <v>0</v>
      </c>
      <c r="BL312" s="18">
        <f>IF(T312="","",--(T312='Codebook'!$F$13))</f>
        <v>0</v>
      </c>
      <c r="BM312" s="18">
        <f>IF(U312="","",--(U312='Codebook'!$F$14))</f>
        <v>0</v>
      </c>
      <c r="BN312" s="18">
        <f>IF(V312="","",--(V312='Codebook'!$F$15))</f>
        <v>0</v>
      </c>
      <c r="BO312" s="18">
        <f>IF(W312="","",--(W312='Codebook'!$F$16))</f>
        <v>1</v>
      </c>
      <c r="BP312" s="18">
        <f>IF(X312="","",--(X312='Codebook'!$F$17))</f>
        <v>1</v>
      </c>
      <c r="BQ312" s="18">
        <f>IF(Y312="","",--(Y312='Codebook'!$F$18))</f>
        <v>0</v>
      </c>
      <c r="BR312" s="18">
        <f>IF(Z312="","",--(Z312='Codebook'!$F$19))</f>
        <v>1</v>
      </c>
      <c r="BS312" s="18">
        <f>IF(AA312="","",--(AA312='Codebook'!$F$20))</f>
        <v>1</v>
      </c>
      <c r="BT312" s="18">
        <f>IF(AB312="","",--(AB312='Codebook'!$F$21))</f>
        <v>0</v>
      </c>
      <c r="BU312" s="18">
        <f>IF(AC312="","",--(AC312='Codebook'!$F$22))</f>
        <v>1</v>
      </c>
      <c r="BV312" s="18">
        <f>IF(AD312="","",--(AD312='Codebook'!$F$23))</f>
        <v>1</v>
      </c>
      <c r="BW312" s="18">
        <f>IF(AE312="","",--(AE312='Codebook'!$F$24))</f>
        <v>1</v>
      </c>
      <c r="BX312" s="18">
        <f>IF(AF312="","",--(AF312='Codebook'!$F$25))</f>
        <v>0</v>
      </c>
      <c r="BY312" s="18">
        <f>IF(AG312="","",--(AG312='Codebook'!$F$26))</f>
        <v>1</v>
      </c>
      <c r="BZ312" s="18">
        <f>IF(AH312="","",--(AH312='Codebook'!$F$27))</f>
        <v>1</v>
      </c>
      <c r="CA312" s="18">
        <f>IF(AI312="","",--(AI312='Codebook'!$F$28))</f>
        <v>0</v>
      </c>
      <c r="CB312" s="18">
        <f>IF(AJ312="","",--(AJ312='Codebook'!$F$29))</f>
        <v>0</v>
      </c>
      <c r="CC312" s="18">
        <f>IF(AK312="","",--(AK312='Codebook'!$F$30))</f>
        <v>1</v>
      </c>
      <c r="CD312" s="18">
        <f>IF(AL312="","",--(AL312='Codebook'!$F$31))</f>
        <v>0</v>
      </c>
      <c r="CE312" s="18">
        <f>IF(AM312="","",--(AM312='Codebook'!$F$32))</f>
        <v>1</v>
      </c>
      <c r="CF312" s="18">
        <f>IF(AN312="","",--(AN312='Codebook'!$F$33))</f>
        <v>1</v>
      </c>
      <c r="CG312" s="18">
        <f>IF(AO312="","",--(AO312='Codebook'!$F$34))</f>
        <v>1</v>
      </c>
      <c r="CH312" s="18">
        <f>IF(AP312="","",--(AP312='Codebook'!$F$35))</f>
        <v>1</v>
      </c>
      <c r="CI312" s="18">
        <f>IF(AQ312="","",--(AQ312='Codebook'!$F$36))</f>
        <v>1</v>
      </c>
      <c r="CJ312" s="18">
        <f>IF(AR312="","",--(AR312='Codebook'!$F$37))</f>
        <v>1</v>
      </c>
      <c r="CK312" s="18">
        <f>IF(AS312="","",--(AS312='Codebook'!$F$38))</f>
        <v>1</v>
      </c>
      <c r="CL312" s="18">
        <f>IF(AT312="","",--(AT312='Codebook'!$F$39))</f>
        <v>1</v>
      </c>
      <c r="CM312" s="18">
        <f>IF(AU312="","",--(AU312='Codebook'!$F$40))</f>
        <v>0</v>
      </c>
      <c r="CN312" s="18">
        <f>IF(AV312="","",--(AV312='Codebook'!$F$41))</f>
        <v>0</v>
      </c>
      <c r="CO312" s="18">
        <f>IF(AW312="","",--(AW312='Codebook'!$F$42))</f>
        <v>0</v>
      </c>
      <c r="CP312" s="18">
        <f>IF(AX312="","",--(AX312='Codebook'!$F$43))</f>
        <v>0</v>
      </c>
      <c r="CQ312" s="18">
        <f>IF(AY312="","",--(AY312='Codebook'!$F$44))</f>
        <v>0</v>
      </c>
      <c r="CR312" s="18">
        <f>IF(AZ312="","",--(AZ312='Codebook'!$F$45))</f>
        <v>0</v>
      </c>
    </row>
    <row r="313" spans="2:96" ht="24" customHeight="1">
      <c r="B313" s="18">
        <v>308</v>
      </c>
      <c r="C313" s="23">
        <v>46290.74653315972</v>
      </c>
      <c r="D313" s="21" t="s">
        <v>275</v>
      </c>
      <c r="E313" s="21" t="s">
        <v>206</v>
      </c>
      <c r="F313" s="21" t="s">
        <v>226</v>
      </c>
      <c r="G313" s="17" t="s">
        <v>247</v>
      </c>
      <c r="H313" s="21" t="s">
        <v>207</v>
      </c>
      <c r="I313" s="18">
        <f>SUM(BL313:BU313)</f>
        <v>6</v>
      </c>
      <c r="J313" s="18">
        <f>IF(COUNT(BV313:CD313)=9,SUM(BV313:CD313),"")</f>
        <v>4</v>
      </c>
      <c r="K313" s="18">
        <f>SUM(BL313:CD313)</f>
        <v>10</v>
      </c>
      <c r="L313" s="18">
        <f>--(K313&gt;='Codebook'!$C$8)</f>
        <v>0</v>
      </c>
      <c r="M313" s="18">
        <f>--(COUNT(BL313:CD313)=19)</f>
        <v>1</v>
      </c>
      <c r="N313" s="18">
        <f>SUM(CE313:CL313)</f>
        <v>8</v>
      </c>
      <c r="O313" s="18">
        <f>SUM(CM313:CR313)</f>
        <v>1</v>
      </c>
      <c r="P313" s="18">
        <f>N313+O313</f>
        <v>9</v>
      </c>
      <c r="Q313" s="21" t="s">
        <v>197</v>
      </c>
      <c r="R313" s="17" t="s">
        <v>154</v>
      </c>
      <c r="S313" s="18">
        <f>--OR(Overview!$B$6="All",E313=Overview!$B$6)*--OR(Overview!$F$6="All",F313=Overview!$F$6)*--OR(Overview!$J$6="All",G313=Overview!$J$6)*--OR(Overview!$N$6="All",H313=Overview!$N$6)</f>
        <v>1</v>
      </c>
      <c r="T313" s="21" t="s">
        <v>22</v>
      </c>
      <c r="U313" s="21" t="s">
        <v>22</v>
      </c>
      <c r="V313" s="21" t="s">
        <v>22</v>
      </c>
      <c r="W313" s="21" t="s">
        <v>22</v>
      </c>
      <c r="X313" s="21" t="s">
        <v>22</v>
      </c>
      <c r="Y313" s="21" t="s">
        <v>22</v>
      </c>
      <c r="Z313" s="21" t="s">
        <v>22</v>
      </c>
      <c r="AA313" s="21" t="s">
        <v>22</v>
      </c>
      <c r="AB313" s="21" t="s">
        <v>22</v>
      </c>
      <c r="AC313" s="21" t="s">
        <v>22</v>
      </c>
      <c r="AD313" s="21" t="s">
        <v>22</v>
      </c>
      <c r="AE313" s="21" t="s">
        <v>26</v>
      </c>
      <c r="AF313" s="21" t="s">
        <v>22</v>
      </c>
      <c r="AG313" s="21" t="s">
        <v>22</v>
      </c>
      <c r="AH313" s="21" t="s">
        <v>22</v>
      </c>
      <c r="AI313" s="21" t="s">
        <v>22</v>
      </c>
      <c r="AJ313" s="21" t="s">
        <v>22</v>
      </c>
      <c r="AK313" s="21" t="s">
        <v>22</v>
      </c>
      <c r="AL313" s="21" t="s">
        <v>22</v>
      </c>
      <c r="AM313" s="21" t="s">
        <v>83</v>
      </c>
      <c r="AN313" s="21" t="s">
        <v>83</v>
      </c>
      <c r="AO313" s="21" t="s">
        <v>83</v>
      </c>
      <c r="AP313" s="21" t="s">
        <v>83</v>
      </c>
      <c r="AQ313" s="21" t="s">
        <v>83</v>
      </c>
      <c r="AR313" s="21" t="s">
        <v>83</v>
      </c>
      <c r="AS313" s="21" t="s">
        <v>83</v>
      </c>
      <c r="AT313" s="21" t="s">
        <v>83</v>
      </c>
      <c r="AU313" s="21" t="s">
        <v>83</v>
      </c>
      <c r="AV313" s="21" t="s">
        <v>83</v>
      </c>
      <c r="AW313" s="21" t="s">
        <v>109</v>
      </c>
      <c r="AX313" s="21" t="s">
        <v>83</v>
      </c>
      <c r="AY313" s="21" t="s">
        <v>83</v>
      </c>
      <c r="AZ313" s="21" t="s">
        <v>83</v>
      </c>
      <c r="BA313" s="17" t="s">
        <v>246</v>
      </c>
      <c r="BB313" s="17" t="s">
        <v>250</v>
      </c>
      <c r="BC313" s="18">
        <f>--ISNUMBER(SEARCH("Radio or television",BA313))</f>
        <v>1</v>
      </c>
      <c r="BD313" s="18">
        <f>--ISNUMBER(SEARCH("Newspapers or print media",BA313))</f>
        <v>0</v>
      </c>
      <c r="BE313" s="18">
        <f>--ISNUMBER(SEARCH("Social media (e.g. Facebook, WhatsApp, YouTube, X/Twitter)",BA313))</f>
        <v>1</v>
      </c>
      <c r="BF313" s="18">
        <f>--ISNUMBER(SEARCH("Family members",BA313))</f>
        <v>0</v>
      </c>
      <c r="BG313" s="18">
        <f>--ISNUMBER(SEARCH("Friends or fellow students",BA313))</f>
        <v>0</v>
      </c>
      <c r="BH313" s="18">
        <f>--ISNUMBER(SEARCH("School coursework or lectures",BA313))</f>
        <v>0</v>
      </c>
      <c r="BI313" s="18">
        <f>--ISNUMBER(SEARCH("NHIMA outreach activities or NHIMA offices",BA313))</f>
        <v>0</v>
      </c>
      <c r="BJ313" s="18">
        <f>--ISNUMBER(SEARCH("Health facility staff",BA313))</f>
        <v>0</v>
      </c>
      <c r="BK313" s="18">
        <f>--ISNUMBER(SEARCH("not received information",BA313))</f>
        <v>0</v>
      </c>
      <c r="BL313" s="18">
        <f>IF(T313="","",--(T313='Codebook'!$F$13))</f>
        <v>1</v>
      </c>
      <c r="BM313" s="18">
        <f>IF(U313="","",--(U313='Codebook'!$F$14))</f>
        <v>0</v>
      </c>
      <c r="BN313" s="18">
        <f>IF(V313="","",--(V313='Codebook'!$F$15))</f>
        <v>0</v>
      </c>
      <c r="BO313" s="18">
        <f>IF(W313="","",--(W313='Codebook'!$F$16))</f>
        <v>1</v>
      </c>
      <c r="BP313" s="18">
        <f>IF(X313="","",--(X313='Codebook'!$F$17))</f>
        <v>1</v>
      </c>
      <c r="BQ313" s="18">
        <f>IF(Y313="","",--(Y313='Codebook'!$F$18))</f>
        <v>0</v>
      </c>
      <c r="BR313" s="18">
        <f>IF(Z313="","",--(Z313='Codebook'!$F$19))</f>
        <v>1</v>
      </c>
      <c r="BS313" s="18">
        <f>IF(AA313="","",--(AA313='Codebook'!$F$20))</f>
        <v>1</v>
      </c>
      <c r="BT313" s="18">
        <f>IF(AB313="","",--(AB313='Codebook'!$F$21))</f>
        <v>0</v>
      </c>
      <c r="BU313" s="18">
        <f>IF(AC313="","",--(AC313='Codebook'!$F$22))</f>
        <v>1</v>
      </c>
      <c r="BV313" s="18">
        <f>IF(AD313="","",--(AD313='Codebook'!$F$23))</f>
        <v>1</v>
      </c>
      <c r="BW313" s="18">
        <f>IF(AE313="","",--(AE313='Codebook'!$F$24))</f>
        <v>0</v>
      </c>
      <c r="BX313" s="18">
        <f>IF(AF313="","",--(AF313='Codebook'!$F$25))</f>
        <v>0</v>
      </c>
      <c r="BY313" s="18">
        <f>IF(AG313="","",--(AG313='Codebook'!$F$26))</f>
        <v>1</v>
      </c>
      <c r="BZ313" s="18">
        <f>IF(AH313="","",--(AH313='Codebook'!$F$27))</f>
        <v>1</v>
      </c>
      <c r="CA313" s="18">
        <f>IF(AI313="","",--(AI313='Codebook'!$F$28))</f>
        <v>0</v>
      </c>
      <c r="CB313" s="18">
        <f>IF(AJ313="","",--(AJ313='Codebook'!$F$29))</f>
        <v>0</v>
      </c>
      <c r="CC313" s="18">
        <f>IF(AK313="","",--(AK313='Codebook'!$F$30))</f>
        <v>1</v>
      </c>
      <c r="CD313" s="18">
        <f>IF(AL313="","",--(AL313='Codebook'!$F$31))</f>
        <v>0</v>
      </c>
      <c r="CE313" s="18">
        <f>IF(AM313="","",--(AM313='Codebook'!$F$32))</f>
        <v>1</v>
      </c>
      <c r="CF313" s="18">
        <f>IF(AN313="","",--(AN313='Codebook'!$F$33))</f>
        <v>1</v>
      </c>
      <c r="CG313" s="18">
        <f>IF(AO313="","",--(AO313='Codebook'!$F$34))</f>
        <v>1</v>
      </c>
      <c r="CH313" s="18">
        <f>IF(AP313="","",--(AP313='Codebook'!$F$35))</f>
        <v>1</v>
      </c>
      <c r="CI313" s="18">
        <f>IF(AQ313="","",--(AQ313='Codebook'!$F$36))</f>
        <v>1</v>
      </c>
      <c r="CJ313" s="18">
        <f>IF(AR313="","",--(AR313='Codebook'!$F$37))</f>
        <v>1</v>
      </c>
      <c r="CK313" s="18">
        <f>IF(AS313="","",--(AS313='Codebook'!$F$38))</f>
        <v>1</v>
      </c>
      <c r="CL313" s="18">
        <f>IF(AT313="","",--(AT313='Codebook'!$F$39))</f>
        <v>1</v>
      </c>
      <c r="CM313" s="18">
        <f>IF(AU313="","",--(AU313='Codebook'!$F$40))</f>
        <v>0</v>
      </c>
      <c r="CN313" s="18">
        <f>IF(AV313="","",--(AV313='Codebook'!$F$41))</f>
        <v>0</v>
      </c>
      <c r="CO313" s="18">
        <f>IF(AW313="","",--(AW313='Codebook'!$F$42))</f>
        <v>1</v>
      </c>
      <c r="CP313" s="18">
        <f>IF(AX313="","",--(AX313='Codebook'!$F$43))</f>
        <v>0</v>
      </c>
      <c r="CQ313" s="18">
        <f>IF(AY313="","",--(AY313='Codebook'!$F$44))</f>
        <v>0</v>
      </c>
      <c r="CR313" s="18">
        <f>IF(AZ313="","",--(AZ313='Codebook'!$F$45))</f>
        <v>0</v>
      </c>
    </row>
    <row r="314" spans="2:96" ht="24" customHeight="1">
      <c r="B314" s="18">
        <v>309</v>
      </c>
      <c r="C314" s="23">
        <v>46290.74713799769</v>
      </c>
      <c r="D314" s="21" t="s">
        <v>275</v>
      </c>
      <c r="E314" s="21" t="s">
        <v>206</v>
      </c>
      <c r="F314" s="21" t="s">
        <v>212</v>
      </c>
      <c r="G314" s="17" t="s">
        <v>215</v>
      </c>
      <c r="H314" s="21" t="s">
        <v>207</v>
      </c>
      <c r="I314" s="18">
        <f>SUM(BL314:BU314)</f>
        <v>5</v>
      </c>
      <c r="J314" s="18">
        <f>IF(COUNT(BV314:CD314)=9,SUM(BV314:CD314),"")</f>
        <v>4</v>
      </c>
      <c r="K314" s="18">
        <f>SUM(BL314:CD314)</f>
        <v>9</v>
      </c>
      <c r="L314" s="18">
        <f>--(K314&gt;='Codebook'!$C$8)</f>
        <v>0</v>
      </c>
      <c r="M314" s="18">
        <f>--(COUNT(BL314:CD314)=19)</f>
        <v>1</v>
      </c>
      <c r="N314" s="18">
        <f>SUM(CE314:CL314)</f>
        <v>6</v>
      </c>
      <c r="O314" s="18">
        <f>SUM(CM314:CR314)</f>
        <v>1</v>
      </c>
      <c r="P314" s="18">
        <f>N314+O314</f>
        <v>7</v>
      </c>
      <c r="Q314" s="21" t="s">
        <v>198</v>
      </c>
      <c r="R314" s="17" t="s">
        <v>154</v>
      </c>
      <c r="S314" s="18">
        <f>--OR(Overview!$B$6="All",E314=Overview!$B$6)*--OR(Overview!$F$6="All",F314=Overview!$F$6)*--OR(Overview!$J$6="All",G314=Overview!$J$6)*--OR(Overview!$N$6="All",H314=Overview!$N$6)</f>
        <v>1</v>
      </c>
      <c r="T314" s="21" t="s">
        <v>22</v>
      </c>
      <c r="U314" s="21" t="s">
        <v>22</v>
      </c>
      <c r="V314" s="21" t="s">
        <v>26</v>
      </c>
      <c r="W314" s="21" t="s">
        <v>22</v>
      </c>
      <c r="X314" s="21" t="s">
        <v>22</v>
      </c>
      <c r="Y314" s="21" t="s">
        <v>22</v>
      </c>
      <c r="Z314" s="21" t="s">
        <v>22</v>
      </c>
      <c r="AA314" s="21" t="s">
        <v>26</v>
      </c>
      <c r="AB314" s="21" t="s">
        <v>22</v>
      </c>
      <c r="AC314" s="21" t="s">
        <v>26</v>
      </c>
      <c r="AD314" s="21" t="s">
        <v>26</v>
      </c>
      <c r="AE314" s="21" t="s">
        <v>22</v>
      </c>
      <c r="AF314" s="21" t="s">
        <v>22</v>
      </c>
      <c r="AG314" s="21" t="s">
        <v>22</v>
      </c>
      <c r="AH314" s="21" t="s">
        <v>26</v>
      </c>
      <c r="AI314" s="21" t="s">
        <v>22</v>
      </c>
      <c r="AJ314" s="21" t="s">
        <v>22</v>
      </c>
      <c r="AK314" s="21" t="s">
        <v>22</v>
      </c>
      <c r="AL314" s="21" t="s">
        <v>26</v>
      </c>
      <c r="AM314" s="21" t="s">
        <v>83</v>
      </c>
      <c r="AN314" s="21" t="s">
        <v>83</v>
      </c>
      <c r="AO314" s="21" t="s">
        <v>109</v>
      </c>
      <c r="AP314" s="21" t="s">
        <v>83</v>
      </c>
      <c r="AQ314" s="21" t="s">
        <v>83</v>
      </c>
      <c r="AR314" s="21" t="s">
        <v>83</v>
      </c>
      <c r="AS314" s="21" t="s">
        <v>83</v>
      </c>
      <c r="AT314" s="21" t="s">
        <v>109</v>
      </c>
      <c r="AU314" s="21" t="s">
        <v>83</v>
      </c>
      <c r="AV314" s="21" t="s">
        <v>83</v>
      </c>
      <c r="AW314" s="21" t="s">
        <v>83</v>
      </c>
      <c r="AX314" s="21" t="s">
        <v>109</v>
      </c>
      <c r="AY314" s="21" t="s">
        <v>83</v>
      </c>
      <c r="AZ314" s="21" t="s">
        <v>83</v>
      </c>
      <c r="BA314" s="17" t="s">
        <v>223</v>
      </c>
      <c r="BB314" s="17" t="s">
        <v>250</v>
      </c>
      <c r="BC314" s="18">
        <f>--ISNUMBER(SEARCH("Radio or television",BA314))</f>
        <v>1</v>
      </c>
      <c r="BD314" s="18">
        <f>--ISNUMBER(SEARCH("Newspapers or print media",BA314))</f>
        <v>0</v>
      </c>
      <c r="BE314" s="18">
        <f>--ISNUMBER(SEARCH("Social media (e.g. Facebook, WhatsApp, YouTube, X/Twitter)",BA314))</f>
        <v>0</v>
      </c>
      <c r="BF314" s="18">
        <f>--ISNUMBER(SEARCH("Family members",BA314))</f>
        <v>0</v>
      </c>
      <c r="BG314" s="18">
        <f>--ISNUMBER(SEARCH("Friends or fellow students",BA314))</f>
        <v>0</v>
      </c>
      <c r="BH314" s="18">
        <f>--ISNUMBER(SEARCH("School coursework or lectures",BA314))</f>
        <v>0</v>
      </c>
      <c r="BI314" s="18">
        <f>--ISNUMBER(SEARCH("NHIMA outreach activities or NHIMA offices",BA314))</f>
        <v>0</v>
      </c>
      <c r="BJ314" s="18">
        <f>--ISNUMBER(SEARCH("Health facility staff",BA314))</f>
        <v>0</v>
      </c>
      <c r="BK314" s="18">
        <f>--ISNUMBER(SEARCH("not received information",BA314))</f>
        <v>0</v>
      </c>
      <c r="BL314" s="18">
        <f>IF(T314="","",--(T314='Codebook'!$F$13))</f>
        <v>1</v>
      </c>
      <c r="BM314" s="18">
        <f>IF(U314="","",--(U314='Codebook'!$F$14))</f>
        <v>0</v>
      </c>
      <c r="BN314" s="18">
        <f>IF(V314="","",--(V314='Codebook'!$F$15))</f>
        <v>1</v>
      </c>
      <c r="BO314" s="18">
        <f>IF(W314="","",--(W314='Codebook'!$F$16))</f>
        <v>1</v>
      </c>
      <c r="BP314" s="18">
        <f>IF(X314="","",--(X314='Codebook'!$F$17))</f>
        <v>1</v>
      </c>
      <c r="BQ314" s="18">
        <f>IF(Y314="","",--(Y314='Codebook'!$F$18))</f>
        <v>0</v>
      </c>
      <c r="BR314" s="18">
        <f>IF(Z314="","",--(Z314='Codebook'!$F$19))</f>
        <v>1</v>
      </c>
      <c r="BS314" s="18">
        <f>IF(AA314="","",--(AA314='Codebook'!$F$20))</f>
        <v>0</v>
      </c>
      <c r="BT314" s="18">
        <f>IF(AB314="","",--(AB314='Codebook'!$F$21))</f>
        <v>0</v>
      </c>
      <c r="BU314" s="18">
        <f>IF(AC314="","",--(AC314='Codebook'!$F$22))</f>
        <v>0</v>
      </c>
      <c r="BV314" s="18">
        <f>IF(AD314="","",--(AD314='Codebook'!$F$23))</f>
        <v>0</v>
      </c>
      <c r="BW314" s="18">
        <f>IF(AE314="","",--(AE314='Codebook'!$F$24))</f>
        <v>1</v>
      </c>
      <c r="BX314" s="18">
        <f>IF(AF314="","",--(AF314='Codebook'!$F$25))</f>
        <v>0</v>
      </c>
      <c r="BY314" s="18">
        <f>IF(AG314="","",--(AG314='Codebook'!$F$26))</f>
        <v>1</v>
      </c>
      <c r="BZ314" s="18">
        <f>IF(AH314="","",--(AH314='Codebook'!$F$27))</f>
        <v>0</v>
      </c>
      <c r="CA314" s="18">
        <f>IF(AI314="","",--(AI314='Codebook'!$F$28))</f>
        <v>0</v>
      </c>
      <c r="CB314" s="18">
        <f>IF(AJ314="","",--(AJ314='Codebook'!$F$29))</f>
        <v>0</v>
      </c>
      <c r="CC314" s="18">
        <f>IF(AK314="","",--(AK314='Codebook'!$F$30))</f>
        <v>1</v>
      </c>
      <c r="CD314" s="18">
        <f>IF(AL314="","",--(AL314='Codebook'!$F$31))</f>
        <v>1</v>
      </c>
      <c r="CE314" s="18">
        <f>IF(AM314="","",--(AM314='Codebook'!$F$32))</f>
        <v>1</v>
      </c>
      <c r="CF314" s="18">
        <f>IF(AN314="","",--(AN314='Codebook'!$F$33))</f>
        <v>1</v>
      </c>
      <c r="CG314" s="18">
        <f>IF(AO314="","",--(AO314='Codebook'!$F$34))</f>
        <v>0</v>
      </c>
      <c r="CH314" s="18">
        <f>IF(AP314="","",--(AP314='Codebook'!$F$35))</f>
        <v>1</v>
      </c>
      <c r="CI314" s="18">
        <f>IF(AQ314="","",--(AQ314='Codebook'!$F$36))</f>
        <v>1</v>
      </c>
      <c r="CJ314" s="18">
        <f>IF(AR314="","",--(AR314='Codebook'!$F$37))</f>
        <v>1</v>
      </c>
      <c r="CK314" s="18">
        <f>IF(AS314="","",--(AS314='Codebook'!$F$38))</f>
        <v>1</v>
      </c>
      <c r="CL314" s="18">
        <f>IF(AT314="","",--(AT314='Codebook'!$F$39))</f>
        <v>0</v>
      </c>
      <c r="CM314" s="18">
        <f>IF(AU314="","",--(AU314='Codebook'!$F$40))</f>
        <v>0</v>
      </c>
      <c r="CN314" s="18">
        <f>IF(AV314="","",--(AV314='Codebook'!$F$41))</f>
        <v>0</v>
      </c>
      <c r="CO314" s="18">
        <f>IF(AW314="","",--(AW314='Codebook'!$F$42))</f>
        <v>0</v>
      </c>
      <c r="CP314" s="18">
        <f>IF(AX314="","",--(AX314='Codebook'!$F$43))</f>
        <v>1</v>
      </c>
      <c r="CQ314" s="18">
        <f>IF(AY314="","",--(AY314='Codebook'!$F$44))</f>
        <v>0</v>
      </c>
      <c r="CR314" s="18">
        <f>IF(AZ314="","",--(AZ314='Codebook'!$F$45))</f>
        <v>0</v>
      </c>
    </row>
    <row r="315" spans="2:96" ht="24" customHeight="1">
      <c r="B315" s="18">
        <v>310</v>
      </c>
      <c r="C315" s="23">
        <v>46290.74778765046</v>
      </c>
      <c r="D315" s="21" t="s">
        <v>275</v>
      </c>
      <c r="E315" s="21" t="s">
        <v>206</v>
      </c>
      <c r="F315" s="21" t="s">
        <v>201</v>
      </c>
      <c r="G315" s="17" t="s">
        <v>247</v>
      </c>
      <c r="H315" s="21" t="s">
        <v>207</v>
      </c>
      <c r="I315" s="18">
        <f>SUM(BL315:BU315)</f>
        <v>4</v>
      </c>
      <c r="J315" s="18">
        <f>IF(COUNT(BV315:CD315)=9,SUM(BV315:CD315),"")</f>
        <v>3</v>
      </c>
      <c r="K315" s="18">
        <f>SUM(BL315:CD315)</f>
        <v>7</v>
      </c>
      <c r="L315" s="18">
        <f>--(K315&gt;='Codebook'!$C$8)</f>
        <v>0</v>
      </c>
      <c r="M315" s="18">
        <f>--(COUNT(BL315:CD315)=19)</f>
        <v>1</v>
      </c>
      <c r="N315" s="18">
        <f>SUM(CE315:CL315)</f>
        <v>4</v>
      </c>
      <c r="O315" s="18">
        <f>SUM(CM315:CR315)</f>
        <v>1</v>
      </c>
      <c r="P315" s="18">
        <f>N315+O315</f>
        <v>5</v>
      </c>
      <c r="Q315" s="21" t="s">
        <v>197</v>
      </c>
      <c r="R315" s="17" t="s">
        <v>154</v>
      </c>
      <c r="S315" s="18">
        <f>--OR(Overview!$B$6="All",E315=Overview!$B$6)*--OR(Overview!$F$6="All",F315=Overview!$F$6)*--OR(Overview!$J$6="All",G315=Overview!$J$6)*--OR(Overview!$N$6="All",H315=Overview!$N$6)</f>
        <v>1</v>
      </c>
      <c r="T315" s="21" t="s">
        <v>26</v>
      </c>
      <c r="U315" s="21" t="s">
        <v>22</v>
      </c>
      <c r="V315" s="21" t="s">
        <v>22</v>
      </c>
      <c r="W315" s="21" t="s">
        <v>22</v>
      </c>
      <c r="X315" s="21" t="s">
        <v>22</v>
      </c>
      <c r="Y315" s="21" t="s">
        <v>26</v>
      </c>
      <c r="Z315" s="21" t="s">
        <v>198</v>
      </c>
      <c r="AA315" s="21" t="s">
        <v>198</v>
      </c>
      <c r="AB315" s="21" t="s">
        <v>22</v>
      </c>
      <c r="AC315" s="21" t="s">
        <v>22</v>
      </c>
      <c r="AD315" s="21" t="s">
        <v>26</v>
      </c>
      <c r="AE315" s="21" t="s">
        <v>22</v>
      </c>
      <c r="AF315" s="21" t="s">
        <v>22</v>
      </c>
      <c r="AG315" s="21" t="s">
        <v>22</v>
      </c>
      <c r="AH315" s="21" t="s">
        <v>26</v>
      </c>
      <c r="AI315" s="21" t="s">
        <v>22</v>
      </c>
      <c r="AJ315" s="21" t="s">
        <v>26</v>
      </c>
      <c r="AK315" s="21" t="s">
        <v>198</v>
      </c>
      <c r="AL315" s="21" t="s">
        <v>198</v>
      </c>
      <c r="AM315" s="21" t="s">
        <v>83</v>
      </c>
      <c r="AN315" s="21" t="s">
        <v>198</v>
      </c>
      <c r="AO315" s="21" t="s">
        <v>83</v>
      </c>
      <c r="AP315" s="21" t="s">
        <v>198</v>
      </c>
      <c r="AQ315" s="21" t="s">
        <v>198</v>
      </c>
      <c r="AR315" s="21" t="s">
        <v>83</v>
      </c>
      <c r="AS315" s="21" t="s">
        <v>83</v>
      </c>
      <c r="AT315" s="21" t="s">
        <v>198</v>
      </c>
      <c r="AU315" s="21" t="s">
        <v>198</v>
      </c>
      <c r="AV315" s="21" t="s">
        <v>83</v>
      </c>
      <c r="AW315" s="21" t="s">
        <v>198</v>
      </c>
      <c r="AX315" s="21" t="s">
        <v>109</v>
      </c>
      <c r="AY315" s="21" t="s">
        <v>83</v>
      </c>
      <c r="AZ315" s="21" t="s">
        <v>198</v>
      </c>
      <c r="BA315" s="17" t="s">
        <v>223</v>
      </c>
      <c r="BB315" s="17" t="s">
        <v>250</v>
      </c>
      <c r="BC315" s="18">
        <f>--ISNUMBER(SEARCH("Radio or television",BA315))</f>
        <v>1</v>
      </c>
      <c r="BD315" s="18">
        <f>--ISNUMBER(SEARCH("Newspapers or print media",BA315))</f>
        <v>0</v>
      </c>
      <c r="BE315" s="18">
        <f>--ISNUMBER(SEARCH("Social media (e.g. Facebook, WhatsApp, YouTube, X/Twitter)",BA315))</f>
        <v>0</v>
      </c>
      <c r="BF315" s="18">
        <f>--ISNUMBER(SEARCH("Family members",BA315))</f>
        <v>0</v>
      </c>
      <c r="BG315" s="18">
        <f>--ISNUMBER(SEARCH("Friends or fellow students",BA315))</f>
        <v>0</v>
      </c>
      <c r="BH315" s="18">
        <f>--ISNUMBER(SEARCH("School coursework or lectures",BA315))</f>
        <v>0</v>
      </c>
      <c r="BI315" s="18">
        <f>--ISNUMBER(SEARCH("NHIMA outreach activities or NHIMA offices",BA315))</f>
        <v>0</v>
      </c>
      <c r="BJ315" s="18">
        <f>--ISNUMBER(SEARCH("Health facility staff",BA315))</f>
        <v>0</v>
      </c>
      <c r="BK315" s="18">
        <f>--ISNUMBER(SEARCH("not received information",BA315))</f>
        <v>0</v>
      </c>
      <c r="BL315" s="18">
        <f>IF(T315="","",--(T315='Codebook'!$F$13))</f>
        <v>0</v>
      </c>
      <c r="BM315" s="18">
        <f>IF(U315="","",--(U315='Codebook'!$F$14))</f>
        <v>0</v>
      </c>
      <c r="BN315" s="18">
        <f>IF(V315="","",--(V315='Codebook'!$F$15))</f>
        <v>0</v>
      </c>
      <c r="BO315" s="18">
        <f>IF(W315="","",--(W315='Codebook'!$F$16))</f>
        <v>1</v>
      </c>
      <c r="BP315" s="18">
        <f>IF(X315="","",--(X315='Codebook'!$F$17))</f>
        <v>1</v>
      </c>
      <c r="BQ315" s="18">
        <f>IF(Y315="","",--(Y315='Codebook'!$F$18))</f>
        <v>1</v>
      </c>
      <c r="BR315" s="18">
        <f>IF(Z315="","",--(Z315='Codebook'!$F$19))</f>
        <v>0</v>
      </c>
      <c r="BS315" s="18">
        <f>IF(AA315="","",--(AA315='Codebook'!$F$20))</f>
        <v>0</v>
      </c>
      <c r="BT315" s="18">
        <f>IF(AB315="","",--(AB315='Codebook'!$F$21))</f>
        <v>0</v>
      </c>
      <c r="BU315" s="18">
        <f>IF(AC315="","",--(AC315='Codebook'!$F$22))</f>
        <v>1</v>
      </c>
      <c r="BV315" s="18">
        <f>IF(AD315="","",--(AD315='Codebook'!$F$23))</f>
        <v>0</v>
      </c>
      <c r="BW315" s="18">
        <f>IF(AE315="","",--(AE315='Codebook'!$F$24))</f>
        <v>1</v>
      </c>
      <c r="BX315" s="18">
        <f>IF(AF315="","",--(AF315='Codebook'!$F$25))</f>
        <v>0</v>
      </c>
      <c r="BY315" s="18">
        <f>IF(AG315="","",--(AG315='Codebook'!$F$26))</f>
        <v>1</v>
      </c>
      <c r="BZ315" s="18">
        <f>IF(AH315="","",--(AH315='Codebook'!$F$27))</f>
        <v>0</v>
      </c>
      <c r="CA315" s="18">
        <f>IF(AI315="","",--(AI315='Codebook'!$F$28))</f>
        <v>0</v>
      </c>
      <c r="CB315" s="18">
        <f>IF(AJ315="","",--(AJ315='Codebook'!$F$29))</f>
        <v>1</v>
      </c>
      <c r="CC315" s="18">
        <f>IF(AK315="","",--(AK315='Codebook'!$F$30))</f>
        <v>0</v>
      </c>
      <c r="CD315" s="18">
        <f>IF(AL315="","",--(AL315='Codebook'!$F$31))</f>
        <v>0</v>
      </c>
      <c r="CE315" s="18">
        <f>IF(AM315="","",--(AM315='Codebook'!$F$32))</f>
        <v>1</v>
      </c>
      <c r="CF315" s="18">
        <f>IF(AN315="","",--(AN315='Codebook'!$F$33))</f>
        <v>0</v>
      </c>
      <c r="CG315" s="18">
        <f>IF(AO315="","",--(AO315='Codebook'!$F$34))</f>
        <v>1</v>
      </c>
      <c r="CH315" s="18">
        <f>IF(AP315="","",--(AP315='Codebook'!$F$35))</f>
        <v>0</v>
      </c>
      <c r="CI315" s="18">
        <f>IF(AQ315="","",--(AQ315='Codebook'!$F$36))</f>
        <v>0</v>
      </c>
      <c r="CJ315" s="18">
        <f>IF(AR315="","",--(AR315='Codebook'!$F$37))</f>
        <v>1</v>
      </c>
      <c r="CK315" s="18">
        <f>IF(AS315="","",--(AS315='Codebook'!$F$38))</f>
        <v>1</v>
      </c>
      <c r="CL315" s="18">
        <f>IF(AT315="","",--(AT315='Codebook'!$F$39))</f>
        <v>0</v>
      </c>
      <c r="CM315" s="18">
        <f>IF(AU315="","",--(AU315='Codebook'!$F$40))</f>
        <v>0</v>
      </c>
      <c r="CN315" s="18">
        <f>IF(AV315="","",--(AV315='Codebook'!$F$41))</f>
        <v>0</v>
      </c>
      <c r="CO315" s="18">
        <f>IF(AW315="","",--(AW315='Codebook'!$F$42))</f>
        <v>0</v>
      </c>
      <c r="CP315" s="18">
        <f>IF(AX315="","",--(AX315='Codebook'!$F$43))</f>
        <v>1</v>
      </c>
      <c r="CQ315" s="18">
        <f>IF(AY315="","",--(AY315='Codebook'!$F$44))</f>
        <v>0</v>
      </c>
      <c r="CR315" s="18">
        <f>IF(AZ315="","",--(AZ315='Codebook'!$F$45))</f>
        <v>0</v>
      </c>
    </row>
    <row r="316" spans="2:96" ht="24" customHeight="1">
      <c r="B316" s="18">
        <v>311</v>
      </c>
      <c r="C316" s="23">
        <v>46290.7483871412</v>
      </c>
      <c r="D316" s="21" t="s">
        <v>268</v>
      </c>
      <c r="E316" s="21" t="s">
        <v>194</v>
      </c>
      <c r="F316" s="21" t="s">
        <v>195</v>
      </c>
      <c r="G316" s="17" t="s">
        <v>196</v>
      </c>
      <c r="H316" s="21" t="s">
        <v>207</v>
      </c>
      <c r="I316" s="18">
        <f>SUM(BL316:BU316)</f>
        <v>3</v>
      </c>
      <c r="J316" s="18">
        <f>IF(COUNT(BV316:CD316)=9,SUM(BV316:CD316),"")</f>
        <v>5</v>
      </c>
      <c r="K316" s="18">
        <f>SUM(BL316:CD316)</f>
        <v>8</v>
      </c>
      <c r="L316" s="18">
        <f>--(K316&gt;='Codebook'!$C$8)</f>
        <v>0</v>
      </c>
      <c r="M316" s="18">
        <f>--(COUNT(BL316:CD316)=19)</f>
        <v>1</v>
      </c>
      <c r="N316" s="18">
        <f>SUM(CE316:CL316)</f>
        <v>4</v>
      </c>
      <c r="O316" s="18">
        <f>SUM(CM316:CR316)</f>
        <v>0</v>
      </c>
      <c r="P316" s="18">
        <f>N316+O316</f>
        <v>4</v>
      </c>
      <c r="Q316" s="21" t="s">
        <v>198</v>
      </c>
      <c r="R316" s="17" t="s">
        <v>154</v>
      </c>
      <c r="S316" s="18">
        <f>--OR(Overview!$B$6="All",E316=Overview!$B$6)*--OR(Overview!$F$6="All",F316=Overview!$F$6)*--OR(Overview!$J$6="All",G316=Overview!$J$6)*--OR(Overview!$N$6="All",H316=Overview!$N$6)</f>
        <v>1</v>
      </c>
      <c r="T316" s="21" t="s">
        <v>198</v>
      </c>
      <c r="U316" s="21" t="s">
        <v>22</v>
      </c>
      <c r="V316" s="21" t="s">
        <v>22</v>
      </c>
      <c r="W316" s="21" t="s">
        <v>22</v>
      </c>
      <c r="X316" s="21" t="s">
        <v>22</v>
      </c>
      <c r="Y316" s="21" t="s">
        <v>198</v>
      </c>
      <c r="Z316" s="21" t="s">
        <v>22</v>
      </c>
      <c r="AA316" s="21" t="s">
        <v>26</v>
      </c>
      <c r="AB316" s="21" t="s">
        <v>22</v>
      </c>
      <c r="AC316" s="21" t="s">
        <v>198</v>
      </c>
      <c r="AD316" s="21" t="s">
        <v>22</v>
      </c>
      <c r="AE316" s="21" t="s">
        <v>198</v>
      </c>
      <c r="AF316" s="21" t="s">
        <v>22</v>
      </c>
      <c r="AG316" s="21" t="s">
        <v>22</v>
      </c>
      <c r="AH316" s="21" t="s">
        <v>198</v>
      </c>
      <c r="AI316" s="21" t="s">
        <v>26</v>
      </c>
      <c r="AJ316" s="21" t="s">
        <v>26</v>
      </c>
      <c r="AK316" s="21" t="s">
        <v>22</v>
      </c>
      <c r="AL316" s="21" t="s">
        <v>198</v>
      </c>
      <c r="AM316" s="21" t="s">
        <v>198</v>
      </c>
      <c r="AN316" s="21" t="s">
        <v>83</v>
      </c>
      <c r="AO316" s="21" t="s">
        <v>198</v>
      </c>
      <c r="AP316" s="21" t="s">
        <v>83</v>
      </c>
      <c r="AQ316" s="21" t="s">
        <v>198</v>
      </c>
      <c r="AR316" s="21" t="s">
        <v>83</v>
      </c>
      <c r="AS316" s="21" t="s">
        <v>198</v>
      </c>
      <c r="AT316" s="21" t="s">
        <v>83</v>
      </c>
      <c r="AU316" s="21" t="s">
        <v>198</v>
      </c>
      <c r="AV316" s="21" t="s">
        <v>198</v>
      </c>
      <c r="AW316" s="21" t="s">
        <v>83</v>
      </c>
      <c r="AX316" s="21" t="s">
        <v>198</v>
      </c>
      <c r="AY316" s="21" t="s">
        <v>198</v>
      </c>
      <c r="AZ316" s="21" t="s">
        <v>198</v>
      </c>
      <c r="BA316" s="17" t="s">
        <v>223</v>
      </c>
      <c r="BB316" s="17" t="s">
        <v>250</v>
      </c>
      <c r="BC316" s="18">
        <f>--ISNUMBER(SEARCH("Radio or television",BA316))</f>
        <v>1</v>
      </c>
      <c r="BD316" s="18">
        <f>--ISNUMBER(SEARCH("Newspapers or print media",BA316))</f>
        <v>0</v>
      </c>
      <c r="BE316" s="18">
        <f>--ISNUMBER(SEARCH("Social media (e.g. Facebook, WhatsApp, YouTube, X/Twitter)",BA316))</f>
        <v>0</v>
      </c>
      <c r="BF316" s="18">
        <f>--ISNUMBER(SEARCH("Family members",BA316))</f>
        <v>0</v>
      </c>
      <c r="BG316" s="18">
        <f>--ISNUMBER(SEARCH("Friends or fellow students",BA316))</f>
        <v>0</v>
      </c>
      <c r="BH316" s="18">
        <f>--ISNUMBER(SEARCH("School coursework or lectures",BA316))</f>
        <v>0</v>
      </c>
      <c r="BI316" s="18">
        <f>--ISNUMBER(SEARCH("NHIMA outreach activities or NHIMA offices",BA316))</f>
        <v>0</v>
      </c>
      <c r="BJ316" s="18">
        <f>--ISNUMBER(SEARCH("Health facility staff",BA316))</f>
        <v>0</v>
      </c>
      <c r="BK316" s="18">
        <f>--ISNUMBER(SEARCH("not received information",BA316))</f>
        <v>0</v>
      </c>
      <c r="BL316" s="18">
        <f>IF(T316="","",--(T316='Codebook'!$F$13))</f>
        <v>0</v>
      </c>
      <c r="BM316" s="18">
        <f>IF(U316="","",--(U316='Codebook'!$F$14))</f>
        <v>0</v>
      </c>
      <c r="BN316" s="18">
        <f>IF(V316="","",--(V316='Codebook'!$F$15))</f>
        <v>0</v>
      </c>
      <c r="BO316" s="18">
        <f>IF(W316="","",--(W316='Codebook'!$F$16))</f>
        <v>1</v>
      </c>
      <c r="BP316" s="18">
        <f>IF(X316="","",--(X316='Codebook'!$F$17))</f>
        <v>1</v>
      </c>
      <c r="BQ316" s="18">
        <f>IF(Y316="","",--(Y316='Codebook'!$F$18))</f>
        <v>0</v>
      </c>
      <c r="BR316" s="18">
        <f>IF(Z316="","",--(Z316='Codebook'!$F$19))</f>
        <v>1</v>
      </c>
      <c r="BS316" s="18">
        <f>IF(AA316="","",--(AA316='Codebook'!$F$20))</f>
        <v>0</v>
      </c>
      <c r="BT316" s="18">
        <f>IF(AB316="","",--(AB316='Codebook'!$F$21))</f>
        <v>0</v>
      </c>
      <c r="BU316" s="18">
        <f>IF(AC316="","",--(AC316='Codebook'!$F$22))</f>
        <v>0</v>
      </c>
      <c r="BV316" s="18">
        <f>IF(AD316="","",--(AD316='Codebook'!$F$23))</f>
        <v>1</v>
      </c>
      <c r="BW316" s="18">
        <f>IF(AE316="","",--(AE316='Codebook'!$F$24))</f>
        <v>0</v>
      </c>
      <c r="BX316" s="18">
        <f>IF(AF316="","",--(AF316='Codebook'!$F$25))</f>
        <v>0</v>
      </c>
      <c r="BY316" s="18">
        <f>IF(AG316="","",--(AG316='Codebook'!$F$26))</f>
        <v>1</v>
      </c>
      <c r="BZ316" s="18">
        <f>IF(AH316="","",--(AH316='Codebook'!$F$27))</f>
        <v>0</v>
      </c>
      <c r="CA316" s="18">
        <f>IF(AI316="","",--(AI316='Codebook'!$F$28))</f>
        <v>1</v>
      </c>
      <c r="CB316" s="18">
        <f>IF(AJ316="","",--(AJ316='Codebook'!$F$29))</f>
        <v>1</v>
      </c>
      <c r="CC316" s="18">
        <f>IF(AK316="","",--(AK316='Codebook'!$F$30))</f>
        <v>1</v>
      </c>
      <c r="CD316" s="18">
        <f>IF(AL316="","",--(AL316='Codebook'!$F$31))</f>
        <v>0</v>
      </c>
      <c r="CE316" s="18">
        <f>IF(AM316="","",--(AM316='Codebook'!$F$32))</f>
        <v>0</v>
      </c>
      <c r="CF316" s="18">
        <f>IF(AN316="","",--(AN316='Codebook'!$F$33))</f>
        <v>1</v>
      </c>
      <c r="CG316" s="18">
        <f>IF(AO316="","",--(AO316='Codebook'!$F$34))</f>
        <v>0</v>
      </c>
      <c r="CH316" s="18">
        <f>IF(AP316="","",--(AP316='Codebook'!$F$35))</f>
        <v>1</v>
      </c>
      <c r="CI316" s="18">
        <f>IF(AQ316="","",--(AQ316='Codebook'!$F$36))</f>
        <v>0</v>
      </c>
      <c r="CJ316" s="18">
        <f>IF(AR316="","",--(AR316='Codebook'!$F$37))</f>
        <v>1</v>
      </c>
      <c r="CK316" s="18">
        <f>IF(AS316="","",--(AS316='Codebook'!$F$38))</f>
        <v>0</v>
      </c>
      <c r="CL316" s="18">
        <f>IF(AT316="","",--(AT316='Codebook'!$F$39))</f>
        <v>1</v>
      </c>
      <c r="CM316" s="18">
        <f>IF(AU316="","",--(AU316='Codebook'!$F$40))</f>
        <v>0</v>
      </c>
      <c r="CN316" s="18">
        <f>IF(AV316="","",--(AV316='Codebook'!$F$41))</f>
        <v>0</v>
      </c>
      <c r="CO316" s="18">
        <f>IF(AW316="","",--(AW316='Codebook'!$F$42))</f>
        <v>0</v>
      </c>
      <c r="CP316" s="18">
        <f>IF(AX316="","",--(AX316='Codebook'!$F$43))</f>
        <v>0</v>
      </c>
      <c r="CQ316" s="18">
        <f>IF(AY316="","",--(AY316='Codebook'!$F$44))</f>
        <v>0</v>
      </c>
      <c r="CR316" s="18">
        <f>IF(AZ316="","",--(AZ316='Codebook'!$F$45))</f>
        <v>0</v>
      </c>
    </row>
    <row r="317" spans="2:96" ht="24" customHeight="1">
      <c r="B317" s="18">
        <v>312</v>
      </c>
      <c r="C317" s="23">
        <v>46290.74902178241</v>
      </c>
      <c r="D317" s="21" t="s">
        <v>275</v>
      </c>
      <c r="E317" s="21" t="s">
        <v>194</v>
      </c>
      <c r="F317" s="21" t="s">
        <v>201</v>
      </c>
      <c r="G317" s="17" t="s">
        <v>202</v>
      </c>
      <c r="H317" s="21" t="s">
        <v>197</v>
      </c>
      <c r="I317" s="18">
        <f>SUM(BL317:BU317)</f>
        <v>9</v>
      </c>
      <c r="J317" s="18">
        <f>IF(COUNT(BV317:CD317)=9,SUM(BV317:CD317),"")</f>
        <v>3</v>
      </c>
      <c r="K317" s="18">
        <f>SUM(BL317:CD317)</f>
        <v>12</v>
      </c>
      <c r="L317" s="18">
        <f>--(K317&gt;='Codebook'!$C$8)</f>
        <v>1</v>
      </c>
      <c r="M317" s="18">
        <f>--(COUNT(BL317:CD317)=19)</f>
        <v>1</v>
      </c>
      <c r="N317" s="18">
        <f>SUM(CE317:CL317)</f>
        <v>3</v>
      </c>
      <c r="O317" s="18">
        <f>SUM(CM317:CR317)</f>
        <v>0</v>
      </c>
      <c r="P317" s="18">
        <f>N317+O317</f>
        <v>3</v>
      </c>
      <c r="Q317" s="21" t="s">
        <v>198</v>
      </c>
      <c r="R317" s="17" t="s">
        <v>154</v>
      </c>
      <c r="S317" s="18">
        <f>--OR(Overview!$B$6="All",E317=Overview!$B$6)*--OR(Overview!$F$6="All",F317=Overview!$F$6)*--OR(Overview!$J$6="All",G317=Overview!$J$6)*--OR(Overview!$N$6="All",H317=Overview!$N$6)</f>
        <v>1</v>
      </c>
      <c r="T317" s="21" t="s">
        <v>22</v>
      </c>
      <c r="U317" s="21" t="s">
        <v>26</v>
      </c>
      <c r="V317" s="21" t="s">
        <v>22</v>
      </c>
      <c r="W317" s="21" t="s">
        <v>22</v>
      </c>
      <c r="X317" s="21" t="s">
        <v>22</v>
      </c>
      <c r="Y317" s="21" t="s">
        <v>26</v>
      </c>
      <c r="Z317" s="21" t="s">
        <v>22</v>
      </c>
      <c r="AA317" s="21" t="s">
        <v>22</v>
      </c>
      <c r="AB317" s="21" t="s">
        <v>26</v>
      </c>
      <c r="AC317" s="21" t="s">
        <v>22</v>
      </c>
      <c r="AD317" s="21" t="s">
        <v>22</v>
      </c>
      <c r="AE317" s="21" t="s">
        <v>198</v>
      </c>
      <c r="AF317" s="21" t="s">
        <v>22</v>
      </c>
      <c r="AG317" s="21" t="s">
        <v>198</v>
      </c>
      <c r="AH317" s="21" t="s">
        <v>22</v>
      </c>
      <c r="AI317" s="21" t="s">
        <v>22</v>
      </c>
      <c r="AJ317" s="21" t="s">
        <v>198</v>
      </c>
      <c r="AK317" s="21" t="s">
        <v>22</v>
      </c>
      <c r="AL317" s="21" t="s">
        <v>22</v>
      </c>
      <c r="AM317" s="21" t="s">
        <v>198</v>
      </c>
      <c r="AN317" s="21" t="s">
        <v>83</v>
      </c>
      <c r="AO317" s="21" t="s">
        <v>83</v>
      </c>
      <c r="AP317" s="21" t="s">
        <v>109</v>
      </c>
      <c r="AQ317" s="21" t="s">
        <v>198</v>
      </c>
      <c r="AR317" s="21" t="s">
        <v>83</v>
      </c>
      <c r="AS317" s="21" t="s">
        <v>198</v>
      </c>
      <c r="AT317" s="21" t="s">
        <v>198</v>
      </c>
      <c r="AU317" s="21" t="s">
        <v>198</v>
      </c>
      <c r="AV317" s="21" t="s">
        <v>198</v>
      </c>
      <c r="AW317" s="21" t="s">
        <v>198</v>
      </c>
      <c r="AX317" s="21" t="s">
        <v>198</v>
      </c>
      <c r="AY317" s="21" t="s">
        <v>198</v>
      </c>
      <c r="AZ317" s="21" t="s">
        <v>198</v>
      </c>
      <c r="BA317" s="17" t="s">
        <v>246</v>
      </c>
      <c r="BB317" s="17" t="s">
        <v>250</v>
      </c>
      <c r="BC317" s="18">
        <f>--ISNUMBER(SEARCH("Radio or television",BA317))</f>
        <v>1</v>
      </c>
      <c r="BD317" s="18">
        <f>--ISNUMBER(SEARCH("Newspapers or print media",BA317))</f>
        <v>0</v>
      </c>
      <c r="BE317" s="18">
        <f>--ISNUMBER(SEARCH("Social media (e.g. Facebook, WhatsApp, YouTube, X/Twitter)",BA317))</f>
        <v>1</v>
      </c>
      <c r="BF317" s="18">
        <f>--ISNUMBER(SEARCH("Family members",BA317))</f>
        <v>0</v>
      </c>
      <c r="BG317" s="18">
        <f>--ISNUMBER(SEARCH("Friends or fellow students",BA317))</f>
        <v>0</v>
      </c>
      <c r="BH317" s="18">
        <f>--ISNUMBER(SEARCH("School coursework or lectures",BA317))</f>
        <v>0</v>
      </c>
      <c r="BI317" s="18">
        <f>--ISNUMBER(SEARCH("NHIMA outreach activities or NHIMA offices",BA317))</f>
        <v>0</v>
      </c>
      <c r="BJ317" s="18">
        <f>--ISNUMBER(SEARCH("Health facility staff",BA317))</f>
        <v>0</v>
      </c>
      <c r="BK317" s="18">
        <f>--ISNUMBER(SEARCH("not received information",BA317))</f>
        <v>0</v>
      </c>
      <c r="BL317" s="18">
        <f>IF(T317="","",--(T317='Codebook'!$F$13))</f>
        <v>1</v>
      </c>
      <c r="BM317" s="18">
        <f>IF(U317="","",--(U317='Codebook'!$F$14))</f>
        <v>1</v>
      </c>
      <c r="BN317" s="18">
        <f>IF(V317="","",--(V317='Codebook'!$F$15))</f>
        <v>0</v>
      </c>
      <c r="BO317" s="18">
        <f>IF(W317="","",--(W317='Codebook'!$F$16))</f>
        <v>1</v>
      </c>
      <c r="BP317" s="18">
        <f>IF(X317="","",--(X317='Codebook'!$F$17))</f>
        <v>1</v>
      </c>
      <c r="BQ317" s="18">
        <f>IF(Y317="","",--(Y317='Codebook'!$F$18))</f>
        <v>1</v>
      </c>
      <c r="BR317" s="18">
        <f>IF(Z317="","",--(Z317='Codebook'!$F$19))</f>
        <v>1</v>
      </c>
      <c r="BS317" s="18">
        <f>IF(AA317="","",--(AA317='Codebook'!$F$20))</f>
        <v>1</v>
      </c>
      <c r="BT317" s="18">
        <f>IF(AB317="","",--(AB317='Codebook'!$F$21))</f>
        <v>1</v>
      </c>
      <c r="BU317" s="18">
        <f>IF(AC317="","",--(AC317='Codebook'!$F$22))</f>
        <v>1</v>
      </c>
      <c r="BV317" s="18">
        <f>IF(AD317="","",--(AD317='Codebook'!$F$23))</f>
        <v>1</v>
      </c>
      <c r="BW317" s="18">
        <f>IF(AE317="","",--(AE317='Codebook'!$F$24))</f>
        <v>0</v>
      </c>
      <c r="BX317" s="18">
        <f>IF(AF317="","",--(AF317='Codebook'!$F$25))</f>
        <v>0</v>
      </c>
      <c r="BY317" s="18">
        <f>IF(AG317="","",--(AG317='Codebook'!$F$26))</f>
        <v>0</v>
      </c>
      <c r="BZ317" s="18">
        <f>IF(AH317="","",--(AH317='Codebook'!$F$27))</f>
        <v>1</v>
      </c>
      <c r="CA317" s="18">
        <f>IF(AI317="","",--(AI317='Codebook'!$F$28))</f>
        <v>0</v>
      </c>
      <c r="CB317" s="18">
        <f>IF(AJ317="","",--(AJ317='Codebook'!$F$29))</f>
        <v>0</v>
      </c>
      <c r="CC317" s="18">
        <f>IF(AK317="","",--(AK317='Codebook'!$F$30))</f>
        <v>1</v>
      </c>
      <c r="CD317" s="18">
        <f>IF(AL317="","",--(AL317='Codebook'!$F$31))</f>
        <v>0</v>
      </c>
      <c r="CE317" s="18">
        <f>IF(AM317="","",--(AM317='Codebook'!$F$32))</f>
        <v>0</v>
      </c>
      <c r="CF317" s="18">
        <f>IF(AN317="","",--(AN317='Codebook'!$F$33))</f>
        <v>1</v>
      </c>
      <c r="CG317" s="18">
        <f>IF(AO317="","",--(AO317='Codebook'!$F$34))</f>
        <v>1</v>
      </c>
      <c r="CH317" s="18">
        <f>IF(AP317="","",--(AP317='Codebook'!$F$35))</f>
        <v>0</v>
      </c>
      <c r="CI317" s="18">
        <f>IF(AQ317="","",--(AQ317='Codebook'!$F$36))</f>
        <v>0</v>
      </c>
      <c r="CJ317" s="18">
        <f>IF(AR317="","",--(AR317='Codebook'!$F$37))</f>
        <v>1</v>
      </c>
      <c r="CK317" s="18">
        <f>IF(AS317="","",--(AS317='Codebook'!$F$38))</f>
        <v>0</v>
      </c>
      <c r="CL317" s="18">
        <f>IF(AT317="","",--(AT317='Codebook'!$F$39))</f>
        <v>0</v>
      </c>
      <c r="CM317" s="18">
        <f>IF(AU317="","",--(AU317='Codebook'!$F$40))</f>
        <v>0</v>
      </c>
      <c r="CN317" s="18">
        <f>IF(AV317="","",--(AV317='Codebook'!$F$41))</f>
        <v>0</v>
      </c>
      <c r="CO317" s="18">
        <f>IF(AW317="","",--(AW317='Codebook'!$F$42))</f>
        <v>0</v>
      </c>
      <c r="CP317" s="18">
        <f>IF(AX317="","",--(AX317='Codebook'!$F$43))</f>
        <v>0</v>
      </c>
      <c r="CQ317" s="18">
        <f>IF(AY317="","",--(AY317='Codebook'!$F$44))</f>
        <v>0</v>
      </c>
      <c r="CR317" s="18">
        <f>IF(AZ317="","",--(AZ317='Codebook'!$F$45))</f>
        <v>0</v>
      </c>
    </row>
    <row r="318" spans="2:96" ht="24" customHeight="1">
      <c r="B318" s="18">
        <v>313</v>
      </c>
      <c r="C318" s="23">
        <v>46290.74971237269</v>
      </c>
      <c r="D318" s="21" t="s">
        <v>275</v>
      </c>
      <c r="E318" s="21" t="s">
        <v>194</v>
      </c>
      <c r="F318" s="21" t="s">
        <v>195</v>
      </c>
      <c r="G318" s="17" t="s">
        <v>215</v>
      </c>
      <c r="H318" s="21" t="s">
        <v>207</v>
      </c>
      <c r="I318" s="18">
        <f>SUM(BL318:BU318)</f>
        <v>4</v>
      </c>
      <c r="J318" s="18">
        <f>IF(COUNT(BV318:CD318)=9,SUM(BV318:CD318),"")</f>
        <v>4</v>
      </c>
      <c r="K318" s="18">
        <f>SUM(BL318:CD318)</f>
        <v>8</v>
      </c>
      <c r="L318" s="18">
        <f>--(K318&gt;='Codebook'!$C$8)</f>
        <v>0</v>
      </c>
      <c r="M318" s="18">
        <f>--(COUNT(BL318:CD318)=19)</f>
        <v>1</v>
      </c>
      <c r="N318" s="18">
        <f>SUM(CE318:CL318)</f>
        <v>2</v>
      </c>
      <c r="O318" s="18">
        <f>SUM(CM318:CR318)</f>
        <v>1</v>
      </c>
      <c r="P318" s="18">
        <f>N318+O318</f>
        <v>3</v>
      </c>
      <c r="Q318" s="21" t="s">
        <v>198</v>
      </c>
      <c r="R318" s="17" t="s">
        <v>154</v>
      </c>
      <c r="S318" s="18">
        <f>--OR(Overview!$B$6="All",E318=Overview!$B$6)*--OR(Overview!$F$6="All",F318=Overview!$F$6)*--OR(Overview!$J$6="All",G318=Overview!$J$6)*--OR(Overview!$N$6="All",H318=Overview!$N$6)</f>
        <v>1</v>
      </c>
      <c r="T318" s="21" t="s">
        <v>22</v>
      </c>
      <c r="U318" s="21" t="s">
        <v>22</v>
      </c>
      <c r="V318" s="21" t="s">
        <v>22</v>
      </c>
      <c r="W318" s="21" t="s">
        <v>22</v>
      </c>
      <c r="X318" s="21" t="s">
        <v>22</v>
      </c>
      <c r="Y318" s="21" t="s">
        <v>22</v>
      </c>
      <c r="Z318" s="21" t="s">
        <v>22</v>
      </c>
      <c r="AA318" s="21" t="s">
        <v>198</v>
      </c>
      <c r="AB318" s="21" t="s">
        <v>22</v>
      </c>
      <c r="AC318" s="21" t="s">
        <v>26</v>
      </c>
      <c r="AD318" s="21" t="s">
        <v>22</v>
      </c>
      <c r="AE318" s="21" t="s">
        <v>22</v>
      </c>
      <c r="AF318" s="21" t="s">
        <v>198</v>
      </c>
      <c r="AG318" s="21" t="s">
        <v>22</v>
      </c>
      <c r="AH318" s="21" t="s">
        <v>22</v>
      </c>
      <c r="AI318" s="21" t="s">
        <v>198</v>
      </c>
      <c r="AJ318" s="21" t="s">
        <v>22</v>
      </c>
      <c r="AK318" s="21" t="s">
        <v>26</v>
      </c>
      <c r="AL318" s="21" t="s">
        <v>22</v>
      </c>
      <c r="AM318" s="21" t="s">
        <v>83</v>
      </c>
      <c r="AN318" s="21" t="s">
        <v>198</v>
      </c>
      <c r="AO318" s="21" t="s">
        <v>198</v>
      </c>
      <c r="AP318" s="21" t="s">
        <v>198</v>
      </c>
      <c r="AQ318" s="21" t="s">
        <v>198</v>
      </c>
      <c r="AR318" s="21" t="s">
        <v>83</v>
      </c>
      <c r="AS318" s="21" t="s">
        <v>198</v>
      </c>
      <c r="AT318" s="21" t="s">
        <v>198</v>
      </c>
      <c r="AU318" s="21" t="s">
        <v>198</v>
      </c>
      <c r="AV318" s="21" t="s">
        <v>198</v>
      </c>
      <c r="AW318" s="21" t="s">
        <v>198</v>
      </c>
      <c r="AX318" s="21" t="s">
        <v>109</v>
      </c>
      <c r="AY318" s="21" t="s">
        <v>198</v>
      </c>
      <c r="AZ318" s="21" t="s">
        <v>198</v>
      </c>
      <c r="BA318" s="17" t="s">
        <v>248</v>
      </c>
      <c r="BB318" s="17" t="s">
        <v>250</v>
      </c>
      <c r="BC318" s="18">
        <f>--ISNUMBER(SEARCH("Radio or television",BA318))</f>
        <v>1</v>
      </c>
      <c r="BD318" s="18">
        <f>--ISNUMBER(SEARCH("Newspapers or print media",BA318))</f>
        <v>0</v>
      </c>
      <c r="BE318" s="18">
        <f>--ISNUMBER(SEARCH("Social media (e.g. Facebook, WhatsApp, YouTube, X/Twitter)",BA318))</f>
        <v>1</v>
      </c>
      <c r="BF318" s="18">
        <f>--ISNUMBER(SEARCH("Family members",BA318))</f>
        <v>0</v>
      </c>
      <c r="BG318" s="18">
        <f>--ISNUMBER(SEARCH("Friends or fellow students",BA318))</f>
        <v>0</v>
      </c>
      <c r="BH318" s="18">
        <f>--ISNUMBER(SEARCH("School coursework or lectures",BA318))</f>
        <v>1</v>
      </c>
      <c r="BI318" s="18">
        <f>--ISNUMBER(SEARCH("NHIMA outreach activities or NHIMA offices",BA318))</f>
        <v>0</v>
      </c>
      <c r="BJ318" s="18">
        <f>--ISNUMBER(SEARCH("Health facility staff",BA318))</f>
        <v>0</v>
      </c>
      <c r="BK318" s="18">
        <f>--ISNUMBER(SEARCH("not received information",BA318))</f>
        <v>0</v>
      </c>
      <c r="BL318" s="18">
        <f>IF(T318="","",--(T318='Codebook'!$F$13))</f>
        <v>1</v>
      </c>
      <c r="BM318" s="18">
        <f>IF(U318="","",--(U318='Codebook'!$F$14))</f>
        <v>0</v>
      </c>
      <c r="BN318" s="18">
        <f>IF(V318="","",--(V318='Codebook'!$F$15))</f>
        <v>0</v>
      </c>
      <c r="BO318" s="18">
        <f>IF(W318="","",--(W318='Codebook'!$F$16))</f>
        <v>1</v>
      </c>
      <c r="BP318" s="18">
        <f>IF(X318="","",--(X318='Codebook'!$F$17))</f>
        <v>1</v>
      </c>
      <c r="BQ318" s="18">
        <f>IF(Y318="","",--(Y318='Codebook'!$F$18))</f>
        <v>0</v>
      </c>
      <c r="BR318" s="18">
        <f>IF(Z318="","",--(Z318='Codebook'!$F$19))</f>
        <v>1</v>
      </c>
      <c r="BS318" s="18">
        <f>IF(AA318="","",--(AA318='Codebook'!$F$20))</f>
        <v>0</v>
      </c>
      <c r="BT318" s="18">
        <f>IF(AB318="","",--(AB318='Codebook'!$F$21))</f>
        <v>0</v>
      </c>
      <c r="BU318" s="18">
        <f>IF(AC318="","",--(AC318='Codebook'!$F$22))</f>
        <v>0</v>
      </c>
      <c r="BV318" s="18">
        <f>IF(AD318="","",--(AD318='Codebook'!$F$23))</f>
        <v>1</v>
      </c>
      <c r="BW318" s="18">
        <f>IF(AE318="","",--(AE318='Codebook'!$F$24))</f>
        <v>1</v>
      </c>
      <c r="BX318" s="18">
        <f>IF(AF318="","",--(AF318='Codebook'!$F$25))</f>
        <v>0</v>
      </c>
      <c r="BY318" s="18">
        <f>IF(AG318="","",--(AG318='Codebook'!$F$26))</f>
        <v>1</v>
      </c>
      <c r="BZ318" s="18">
        <f>IF(AH318="","",--(AH318='Codebook'!$F$27))</f>
        <v>1</v>
      </c>
      <c r="CA318" s="18">
        <f>IF(AI318="","",--(AI318='Codebook'!$F$28))</f>
        <v>0</v>
      </c>
      <c r="CB318" s="18">
        <f>IF(AJ318="","",--(AJ318='Codebook'!$F$29))</f>
        <v>0</v>
      </c>
      <c r="CC318" s="18">
        <f>IF(AK318="","",--(AK318='Codebook'!$F$30))</f>
        <v>0</v>
      </c>
      <c r="CD318" s="18">
        <f>IF(AL318="","",--(AL318='Codebook'!$F$31))</f>
        <v>0</v>
      </c>
      <c r="CE318" s="18">
        <f>IF(AM318="","",--(AM318='Codebook'!$F$32))</f>
        <v>1</v>
      </c>
      <c r="CF318" s="18">
        <f>IF(AN318="","",--(AN318='Codebook'!$F$33))</f>
        <v>0</v>
      </c>
      <c r="CG318" s="18">
        <f>IF(AO318="","",--(AO318='Codebook'!$F$34))</f>
        <v>0</v>
      </c>
      <c r="CH318" s="18">
        <f>IF(AP318="","",--(AP318='Codebook'!$F$35))</f>
        <v>0</v>
      </c>
      <c r="CI318" s="18">
        <f>IF(AQ318="","",--(AQ318='Codebook'!$F$36))</f>
        <v>0</v>
      </c>
      <c r="CJ318" s="18">
        <f>IF(AR318="","",--(AR318='Codebook'!$F$37))</f>
        <v>1</v>
      </c>
      <c r="CK318" s="18">
        <f>IF(AS318="","",--(AS318='Codebook'!$F$38))</f>
        <v>0</v>
      </c>
      <c r="CL318" s="18">
        <f>IF(AT318="","",--(AT318='Codebook'!$F$39))</f>
        <v>0</v>
      </c>
      <c r="CM318" s="18">
        <f>IF(AU318="","",--(AU318='Codebook'!$F$40))</f>
        <v>0</v>
      </c>
      <c r="CN318" s="18">
        <f>IF(AV318="","",--(AV318='Codebook'!$F$41))</f>
        <v>0</v>
      </c>
      <c r="CO318" s="18">
        <f>IF(AW318="","",--(AW318='Codebook'!$F$42))</f>
        <v>0</v>
      </c>
      <c r="CP318" s="18">
        <f>IF(AX318="","",--(AX318='Codebook'!$F$43))</f>
        <v>1</v>
      </c>
      <c r="CQ318" s="18">
        <f>IF(AY318="","",--(AY318='Codebook'!$F$44))</f>
        <v>0</v>
      </c>
      <c r="CR318" s="18">
        <f>IF(AZ318="","",--(AZ318='Codebook'!$F$45))</f>
        <v>0</v>
      </c>
    </row>
    <row r="319" spans="2:96" ht="24" customHeight="1">
      <c r="B319" s="18">
        <v>314</v>
      </c>
      <c r="C319" s="23">
        <v>46290.75038222222</v>
      </c>
      <c r="D319" s="21" t="s">
        <v>275</v>
      </c>
      <c r="E319" s="21" t="s">
        <v>194</v>
      </c>
      <c r="F319" s="21" t="s">
        <v>212</v>
      </c>
      <c r="G319" s="17" t="s">
        <v>247</v>
      </c>
      <c r="H319" s="21" t="s">
        <v>198</v>
      </c>
      <c r="I319" s="18">
        <f>SUM(BL319:BU319)</f>
        <v>5</v>
      </c>
      <c r="J319" s="18">
        <f>IF(COUNT(BV319:CD319)=9,SUM(BV319:CD319),"")</f>
        <v>5</v>
      </c>
      <c r="K319" s="18">
        <f>SUM(BL319:CD319)</f>
        <v>10</v>
      </c>
      <c r="L319" s="18">
        <f>--(K319&gt;='Codebook'!$C$8)</f>
        <v>0</v>
      </c>
      <c r="M319" s="18">
        <f>--(COUNT(BL319:CD319)=19)</f>
        <v>1</v>
      </c>
      <c r="N319" s="18">
        <f>SUM(CE319:CL319)</f>
        <v>5</v>
      </c>
      <c r="O319" s="18">
        <f>SUM(CM319:CR319)</f>
        <v>2</v>
      </c>
      <c r="P319" s="18">
        <f>N319+O319</f>
        <v>7</v>
      </c>
      <c r="Q319" s="21" t="s">
        <v>207</v>
      </c>
      <c r="R319" s="17" t="s">
        <v>154</v>
      </c>
      <c r="S319" s="18">
        <f>--OR(Overview!$B$6="All",E319=Overview!$B$6)*--OR(Overview!$F$6="All",F319=Overview!$F$6)*--OR(Overview!$J$6="All",G319=Overview!$J$6)*--OR(Overview!$N$6="All",H319=Overview!$N$6)</f>
        <v>1</v>
      </c>
      <c r="T319" s="21" t="s">
        <v>22</v>
      </c>
      <c r="U319" s="21" t="s">
        <v>22</v>
      </c>
      <c r="V319" s="21" t="s">
        <v>198</v>
      </c>
      <c r="W319" s="21" t="s">
        <v>22</v>
      </c>
      <c r="X319" s="21" t="s">
        <v>198</v>
      </c>
      <c r="Y319" s="21" t="s">
        <v>198</v>
      </c>
      <c r="Z319" s="21" t="s">
        <v>22</v>
      </c>
      <c r="AA319" s="21" t="s">
        <v>22</v>
      </c>
      <c r="AB319" s="21" t="s">
        <v>22</v>
      </c>
      <c r="AC319" s="21" t="s">
        <v>22</v>
      </c>
      <c r="AD319" s="21" t="s">
        <v>198</v>
      </c>
      <c r="AE319" s="21" t="s">
        <v>22</v>
      </c>
      <c r="AF319" s="21" t="s">
        <v>26</v>
      </c>
      <c r="AG319" s="21" t="s">
        <v>22</v>
      </c>
      <c r="AH319" s="21" t="s">
        <v>22</v>
      </c>
      <c r="AI319" s="21" t="s">
        <v>198</v>
      </c>
      <c r="AJ319" s="21" t="s">
        <v>22</v>
      </c>
      <c r="AK319" s="21" t="s">
        <v>26</v>
      </c>
      <c r="AL319" s="21" t="s">
        <v>26</v>
      </c>
      <c r="AM319" s="21" t="s">
        <v>83</v>
      </c>
      <c r="AN319" s="21" t="s">
        <v>83</v>
      </c>
      <c r="AO319" s="21" t="s">
        <v>198</v>
      </c>
      <c r="AP319" s="21" t="s">
        <v>83</v>
      </c>
      <c r="AQ319" s="21" t="s">
        <v>83</v>
      </c>
      <c r="AR319" s="21" t="s">
        <v>83</v>
      </c>
      <c r="AS319" s="21" t="s">
        <v>198</v>
      </c>
      <c r="AT319" s="21" t="s">
        <v>198</v>
      </c>
      <c r="AU319" s="21" t="s">
        <v>83</v>
      </c>
      <c r="AV319" s="21" t="s">
        <v>198</v>
      </c>
      <c r="AW319" s="21" t="s">
        <v>109</v>
      </c>
      <c r="AX319" s="21" t="s">
        <v>109</v>
      </c>
      <c r="AY319" s="21" t="s">
        <v>198</v>
      </c>
      <c r="AZ319" s="21" t="s">
        <v>83</v>
      </c>
      <c r="BA319" s="17" t="s">
        <v>232</v>
      </c>
      <c r="BB319" s="17" t="s">
        <v>250</v>
      </c>
      <c r="BC319" s="18">
        <f>--ISNUMBER(SEARCH("Radio or television",BA319))</f>
        <v>1</v>
      </c>
      <c r="BD319" s="18">
        <f>--ISNUMBER(SEARCH("Newspapers or print media",BA319))</f>
        <v>0</v>
      </c>
      <c r="BE319" s="18">
        <f>--ISNUMBER(SEARCH("Social media (e.g. Facebook, WhatsApp, YouTube, X/Twitter)",BA319))</f>
        <v>1</v>
      </c>
      <c r="BF319" s="18">
        <f>--ISNUMBER(SEARCH("Family members",BA319))</f>
        <v>0</v>
      </c>
      <c r="BG319" s="18">
        <f>--ISNUMBER(SEARCH("Friends or fellow students",BA319))</f>
        <v>1</v>
      </c>
      <c r="BH319" s="18">
        <f>--ISNUMBER(SEARCH("School coursework or lectures",BA319))</f>
        <v>1</v>
      </c>
      <c r="BI319" s="18">
        <f>--ISNUMBER(SEARCH("NHIMA outreach activities or NHIMA offices",BA319))</f>
        <v>0</v>
      </c>
      <c r="BJ319" s="18">
        <f>--ISNUMBER(SEARCH("Health facility staff",BA319))</f>
        <v>0</v>
      </c>
      <c r="BK319" s="18">
        <f>--ISNUMBER(SEARCH("not received information",BA319))</f>
        <v>0</v>
      </c>
      <c r="BL319" s="18">
        <f>IF(T319="","",--(T319='Codebook'!$F$13))</f>
        <v>1</v>
      </c>
      <c r="BM319" s="18">
        <f>IF(U319="","",--(U319='Codebook'!$F$14))</f>
        <v>0</v>
      </c>
      <c r="BN319" s="18">
        <f>IF(V319="","",--(V319='Codebook'!$F$15))</f>
        <v>0</v>
      </c>
      <c r="BO319" s="18">
        <f>IF(W319="","",--(W319='Codebook'!$F$16))</f>
        <v>1</v>
      </c>
      <c r="BP319" s="18">
        <f>IF(X319="","",--(X319='Codebook'!$F$17))</f>
        <v>0</v>
      </c>
      <c r="BQ319" s="18">
        <f>IF(Y319="","",--(Y319='Codebook'!$F$18))</f>
        <v>0</v>
      </c>
      <c r="BR319" s="18">
        <f>IF(Z319="","",--(Z319='Codebook'!$F$19))</f>
        <v>1</v>
      </c>
      <c r="BS319" s="18">
        <f>IF(AA319="","",--(AA319='Codebook'!$F$20))</f>
        <v>1</v>
      </c>
      <c r="BT319" s="18">
        <f>IF(AB319="","",--(AB319='Codebook'!$F$21))</f>
        <v>0</v>
      </c>
      <c r="BU319" s="18">
        <f>IF(AC319="","",--(AC319='Codebook'!$F$22))</f>
        <v>1</v>
      </c>
      <c r="BV319" s="18">
        <f>IF(AD319="","",--(AD319='Codebook'!$F$23))</f>
        <v>0</v>
      </c>
      <c r="BW319" s="18">
        <f>IF(AE319="","",--(AE319='Codebook'!$F$24))</f>
        <v>1</v>
      </c>
      <c r="BX319" s="18">
        <f>IF(AF319="","",--(AF319='Codebook'!$F$25))</f>
        <v>1</v>
      </c>
      <c r="BY319" s="18">
        <f>IF(AG319="","",--(AG319='Codebook'!$F$26))</f>
        <v>1</v>
      </c>
      <c r="BZ319" s="18">
        <f>IF(AH319="","",--(AH319='Codebook'!$F$27))</f>
        <v>1</v>
      </c>
      <c r="CA319" s="18">
        <f>IF(AI319="","",--(AI319='Codebook'!$F$28))</f>
        <v>0</v>
      </c>
      <c r="CB319" s="18">
        <f>IF(AJ319="","",--(AJ319='Codebook'!$F$29))</f>
        <v>0</v>
      </c>
      <c r="CC319" s="18">
        <f>IF(AK319="","",--(AK319='Codebook'!$F$30))</f>
        <v>0</v>
      </c>
      <c r="CD319" s="18">
        <f>IF(AL319="","",--(AL319='Codebook'!$F$31))</f>
        <v>1</v>
      </c>
      <c r="CE319" s="18">
        <f>IF(AM319="","",--(AM319='Codebook'!$F$32))</f>
        <v>1</v>
      </c>
      <c r="CF319" s="18">
        <f>IF(AN319="","",--(AN319='Codebook'!$F$33))</f>
        <v>1</v>
      </c>
      <c r="CG319" s="18">
        <f>IF(AO319="","",--(AO319='Codebook'!$F$34))</f>
        <v>0</v>
      </c>
      <c r="CH319" s="18">
        <f>IF(AP319="","",--(AP319='Codebook'!$F$35))</f>
        <v>1</v>
      </c>
      <c r="CI319" s="18">
        <f>IF(AQ319="","",--(AQ319='Codebook'!$F$36))</f>
        <v>1</v>
      </c>
      <c r="CJ319" s="18">
        <f>IF(AR319="","",--(AR319='Codebook'!$F$37))</f>
        <v>1</v>
      </c>
      <c r="CK319" s="18">
        <f>IF(AS319="","",--(AS319='Codebook'!$F$38))</f>
        <v>0</v>
      </c>
      <c r="CL319" s="18">
        <f>IF(AT319="","",--(AT319='Codebook'!$F$39))</f>
        <v>0</v>
      </c>
      <c r="CM319" s="18">
        <f>IF(AU319="","",--(AU319='Codebook'!$F$40))</f>
        <v>0</v>
      </c>
      <c r="CN319" s="18">
        <f>IF(AV319="","",--(AV319='Codebook'!$F$41))</f>
        <v>0</v>
      </c>
      <c r="CO319" s="18">
        <f>IF(AW319="","",--(AW319='Codebook'!$F$42))</f>
        <v>1</v>
      </c>
      <c r="CP319" s="18">
        <f>IF(AX319="","",--(AX319='Codebook'!$F$43))</f>
        <v>1</v>
      </c>
      <c r="CQ319" s="18">
        <f>IF(AY319="","",--(AY319='Codebook'!$F$44))</f>
        <v>0</v>
      </c>
      <c r="CR319" s="18">
        <f>IF(AZ319="","",--(AZ319='Codebook'!$F$45))</f>
        <v>0</v>
      </c>
    </row>
    <row r="320" spans="2:96" ht="24" customHeight="1">
      <c r="B320" s="18">
        <v>315</v>
      </c>
      <c r="C320" s="23">
        <v>46293.36977486111</v>
      </c>
      <c r="D320" s="21" t="s">
        <v>275</v>
      </c>
      <c r="E320" s="21" t="s">
        <v>194</v>
      </c>
      <c r="F320" s="21" t="s">
        <v>195</v>
      </c>
      <c r="G320" s="17" t="s">
        <v>215</v>
      </c>
      <c r="H320" s="21" t="s">
        <v>207</v>
      </c>
      <c r="I320" s="18">
        <f>SUM(BL320:BU320)</f>
        <v>4</v>
      </c>
      <c r="J320" s="18">
        <f>IF(COUNT(BV320:CD320)=9,SUM(BV320:CD320),"")</f>
        <v>3</v>
      </c>
      <c r="K320" s="18">
        <f>SUM(BL320:CD320)</f>
        <v>7</v>
      </c>
      <c r="L320" s="18">
        <f>--(K320&gt;='Codebook'!$C$8)</f>
        <v>0</v>
      </c>
      <c r="M320" s="18">
        <f>--(COUNT(BL320:CD320)=19)</f>
        <v>1</v>
      </c>
      <c r="N320" s="18">
        <f>SUM(CE320:CL320)</f>
        <v>4</v>
      </c>
      <c r="O320" s="18">
        <f>SUM(CM320:CR320)</f>
        <v>1</v>
      </c>
      <c r="P320" s="18">
        <f>N320+O320</f>
        <v>5</v>
      </c>
      <c r="Q320" s="21" t="s">
        <v>198</v>
      </c>
      <c r="R320" s="17" t="s">
        <v>154</v>
      </c>
      <c r="S320" s="18">
        <f>--OR(Overview!$B$6="All",E320=Overview!$B$6)*--OR(Overview!$F$6="All",F320=Overview!$F$6)*--OR(Overview!$J$6="All",G320=Overview!$J$6)*--OR(Overview!$N$6="All",H320=Overview!$N$6)</f>
        <v>1</v>
      </c>
      <c r="T320" s="21" t="s">
        <v>22</v>
      </c>
      <c r="U320" s="21" t="s">
        <v>22</v>
      </c>
      <c r="V320" s="21" t="s">
        <v>22</v>
      </c>
      <c r="W320" s="21" t="s">
        <v>198</v>
      </c>
      <c r="X320" s="21" t="s">
        <v>22</v>
      </c>
      <c r="Y320" s="21" t="s">
        <v>22</v>
      </c>
      <c r="Z320" s="21" t="s">
        <v>22</v>
      </c>
      <c r="AA320" s="21" t="s">
        <v>26</v>
      </c>
      <c r="AB320" s="21" t="s">
        <v>198</v>
      </c>
      <c r="AC320" s="21" t="s">
        <v>22</v>
      </c>
      <c r="AD320" s="21" t="s">
        <v>198</v>
      </c>
      <c r="AE320" s="21" t="s">
        <v>22</v>
      </c>
      <c r="AF320" s="21" t="s">
        <v>198</v>
      </c>
      <c r="AG320" s="21" t="s">
        <v>22</v>
      </c>
      <c r="AH320" s="21" t="s">
        <v>198</v>
      </c>
      <c r="AI320" s="21" t="s">
        <v>198</v>
      </c>
      <c r="AJ320" s="21" t="s">
        <v>198</v>
      </c>
      <c r="AK320" s="21" t="s">
        <v>22</v>
      </c>
      <c r="AL320" s="21" t="s">
        <v>22</v>
      </c>
      <c r="AM320" s="21" t="s">
        <v>198</v>
      </c>
      <c r="AN320" s="21" t="s">
        <v>83</v>
      </c>
      <c r="AO320" s="21" t="s">
        <v>83</v>
      </c>
      <c r="AP320" s="21" t="s">
        <v>198</v>
      </c>
      <c r="AQ320" s="21" t="s">
        <v>83</v>
      </c>
      <c r="AR320" s="21" t="s">
        <v>198</v>
      </c>
      <c r="AS320" s="21" t="s">
        <v>83</v>
      </c>
      <c r="AT320" s="21" t="s">
        <v>109</v>
      </c>
      <c r="AU320" s="21" t="s">
        <v>198</v>
      </c>
      <c r="AV320" s="21" t="s">
        <v>83</v>
      </c>
      <c r="AW320" s="21" t="s">
        <v>109</v>
      </c>
      <c r="AX320" s="21" t="s">
        <v>83</v>
      </c>
      <c r="AY320" s="21" t="s">
        <v>198</v>
      </c>
      <c r="AZ320" s="21" t="s">
        <v>198</v>
      </c>
      <c r="BA320" s="17" t="s">
        <v>250</v>
      </c>
      <c r="BB320" s="17" t="s">
        <v>250</v>
      </c>
      <c r="BC320" s="18">
        <f>--ISNUMBER(SEARCH("Radio or television",BA320))</f>
        <v>0</v>
      </c>
      <c r="BD320" s="18">
        <f>--ISNUMBER(SEARCH("Newspapers or print media",BA320))</f>
        <v>0</v>
      </c>
      <c r="BE320" s="18">
        <f>--ISNUMBER(SEARCH("Social media (e.g. Facebook, WhatsApp, YouTube, X/Twitter)",BA320))</f>
        <v>1</v>
      </c>
      <c r="BF320" s="18">
        <f>--ISNUMBER(SEARCH("Family members",BA320))</f>
        <v>0</v>
      </c>
      <c r="BG320" s="18">
        <f>--ISNUMBER(SEARCH("Friends or fellow students",BA320))</f>
        <v>0</v>
      </c>
      <c r="BH320" s="18">
        <f>--ISNUMBER(SEARCH("School coursework or lectures",BA320))</f>
        <v>0</v>
      </c>
      <c r="BI320" s="18">
        <f>--ISNUMBER(SEARCH("NHIMA outreach activities or NHIMA offices",BA320))</f>
        <v>0</v>
      </c>
      <c r="BJ320" s="18">
        <f>--ISNUMBER(SEARCH("Health facility staff",BA320))</f>
        <v>0</v>
      </c>
      <c r="BK320" s="18">
        <f>--ISNUMBER(SEARCH("not received information",BA320))</f>
        <v>0</v>
      </c>
      <c r="BL320" s="18">
        <f>IF(T320="","",--(T320='Codebook'!$F$13))</f>
        <v>1</v>
      </c>
      <c r="BM320" s="18">
        <f>IF(U320="","",--(U320='Codebook'!$F$14))</f>
        <v>0</v>
      </c>
      <c r="BN320" s="18">
        <f>IF(V320="","",--(V320='Codebook'!$F$15))</f>
        <v>0</v>
      </c>
      <c r="BO320" s="18">
        <f>IF(W320="","",--(W320='Codebook'!$F$16))</f>
        <v>0</v>
      </c>
      <c r="BP320" s="18">
        <f>IF(X320="","",--(X320='Codebook'!$F$17))</f>
        <v>1</v>
      </c>
      <c r="BQ320" s="18">
        <f>IF(Y320="","",--(Y320='Codebook'!$F$18))</f>
        <v>0</v>
      </c>
      <c r="BR320" s="18">
        <f>IF(Z320="","",--(Z320='Codebook'!$F$19))</f>
        <v>1</v>
      </c>
      <c r="BS320" s="18">
        <f>IF(AA320="","",--(AA320='Codebook'!$F$20))</f>
        <v>0</v>
      </c>
      <c r="BT320" s="18">
        <f>IF(AB320="","",--(AB320='Codebook'!$F$21))</f>
        <v>0</v>
      </c>
      <c r="BU320" s="18">
        <f>IF(AC320="","",--(AC320='Codebook'!$F$22))</f>
        <v>1</v>
      </c>
      <c r="BV320" s="18">
        <f>IF(AD320="","",--(AD320='Codebook'!$F$23))</f>
        <v>0</v>
      </c>
      <c r="BW320" s="18">
        <f>IF(AE320="","",--(AE320='Codebook'!$F$24))</f>
        <v>1</v>
      </c>
      <c r="BX320" s="18">
        <f>IF(AF320="","",--(AF320='Codebook'!$F$25))</f>
        <v>0</v>
      </c>
      <c r="BY320" s="18">
        <f>IF(AG320="","",--(AG320='Codebook'!$F$26))</f>
        <v>1</v>
      </c>
      <c r="BZ320" s="18">
        <f>IF(AH320="","",--(AH320='Codebook'!$F$27))</f>
        <v>0</v>
      </c>
      <c r="CA320" s="18">
        <f>IF(AI320="","",--(AI320='Codebook'!$F$28))</f>
        <v>0</v>
      </c>
      <c r="CB320" s="18">
        <f>IF(AJ320="","",--(AJ320='Codebook'!$F$29))</f>
        <v>0</v>
      </c>
      <c r="CC320" s="18">
        <f>IF(AK320="","",--(AK320='Codebook'!$F$30))</f>
        <v>1</v>
      </c>
      <c r="CD320" s="18">
        <f>IF(AL320="","",--(AL320='Codebook'!$F$31))</f>
        <v>0</v>
      </c>
      <c r="CE320" s="18">
        <f>IF(AM320="","",--(AM320='Codebook'!$F$32))</f>
        <v>0</v>
      </c>
      <c r="CF320" s="18">
        <f>IF(AN320="","",--(AN320='Codebook'!$F$33))</f>
        <v>1</v>
      </c>
      <c r="CG320" s="18">
        <f>IF(AO320="","",--(AO320='Codebook'!$F$34))</f>
        <v>1</v>
      </c>
      <c r="CH320" s="18">
        <f>IF(AP320="","",--(AP320='Codebook'!$F$35))</f>
        <v>0</v>
      </c>
      <c r="CI320" s="18">
        <f>IF(AQ320="","",--(AQ320='Codebook'!$F$36))</f>
        <v>1</v>
      </c>
      <c r="CJ320" s="18">
        <f>IF(AR320="","",--(AR320='Codebook'!$F$37))</f>
        <v>0</v>
      </c>
      <c r="CK320" s="18">
        <f>IF(AS320="","",--(AS320='Codebook'!$F$38))</f>
        <v>1</v>
      </c>
      <c r="CL320" s="18">
        <f>IF(AT320="","",--(AT320='Codebook'!$F$39))</f>
        <v>0</v>
      </c>
      <c r="CM320" s="18">
        <f>IF(AU320="","",--(AU320='Codebook'!$F$40))</f>
        <v>0</v>
      </c>
      <c r="CN320" s="18">
        <f>IF(AV320="","",--(AV320='Codebook'!$F$41))</f>
        <v>0</v>
      </c>
      <c r="CO320" s="18">
        <f>IF(AW320="","",--(AW320='Codebook'!$F$42))</f>
        <v>1</v>
      </c>
      <c r="CP320" s="18">
        <f>IF(AX320="","",--(AX320='Codebook'!$F$43))</f>
        <v>0</v>
      </c>
      <c r="CQ320" s="18">
        <f>IF(AY320="","",--(AY320='Codebook'!$F$44))</f>
        <v>0</v>
      </c>
      <c r="CR320" s="18">
        <f>IF(AZ320="","",--(AZ320='Codebook'!$F$45))</f>
        <v>0</v>
      </c>
    </row>
    <row r="321" spans="2:96" ht="24" customHeight="1">
      <c r="B321" s="18">
        <v>316</v>
      </c>
      <c r="C321" s="23">
        <v>46293.37036358796</v>
      </c>
      <c r="D321" s="21" t="s">
        <v>268</v>
      </c>
      <c r="E321" s="21" t="s">
        <v>194</v>
      </c>
      <c r="F321" s="21" t="s">
        <v>195</v>
      </c>
      <c r="G321" s="17" t="s">
        <v>224</v>
      </c>
      <c r="H321" s="21" t="s">
        <v>197</v>
      </c>
      <c r="I321" s="18">
        <f>SUM(BL321:BU321)</f>
        <v>4</v>
      </c>
      <c r="J321" s="18">
        <f>IF(COUNT(BV321:CD321)=9,SUM(BV321:CD321),"")</f>
        <v>4</v>
      </c>
      <c r="K321" s="18">
        <f>SUM(BL321:CD321)</f>
        <v>8</v>
      </c>
      <c r="L321" s="18">
        <f>--(K321&gt;='Codebook'!$C$8)</f>
        <v>0</v>
      </c>
      <c r="M321" s="18">
        <f>--(COUNT(BL321:CD321)=19)</f>
        <v>1</v>
      </c>
      <c r="N321" s="18">
        <f>SUM(CE321:CL321)</f>
        <v>5</v>
      </c>
      <c r="O321" s="18">
        <f>SUM(CM321:CR321)</f>
        <v>0</v>
      </c>
      <c r="P321" s="18">
        <f>N321+O321</f>
        <v>5</v>
      </c>
      <c r="Q321" s="21" t="s">
        <v>207</v>
      </c>
      <c r="R321" s="17" t="s">
        <v>154</v>
      </c>
      <c r="S321" s="18">
        <f>--OR(Overview!$B$6="All",E321=Overview!$B$6)*--OR(Overview!$F$6="All",F321=Overview!$F$6)*--OR(Overview!$J$6="All",G321=Overview!$J$6)*--OR(Overview!$N$6="All",H321=Overview!$N$6)</f>
        <v>1</v>
      </c>
      <c r="T321" s="21" t="s">
        <v>22</v>
      </c>
      <c r="U321" s="21" t="s">
        <v>22</v>
      </c>
      <c r="V321" s="21" t="s">
        <v>22</v>
      </c>
      <c r="W321" s="21" t="s">
        <v>198</v>
      </c>
      <c r="X321" s="21" t="s">
        <v>22</v>
      </c>
      <c r="Y321" s="21" t="s">
        <v>22</v>
      </c>
      <c r="Z321" s="21" t="s">
        <v>22</v>
      </c>
      <c r="AA321" s="21" t="s">
        <v>26</v>
      </c>
      <c r="AB321" s="21" t="s">
        <v>22</v>
      </c>
      <c r="AC321" s="21" t="s">
        <v>22</v>
      </c>
      <c r="AD321" s="21" t="s">
        <v>198</v>
      </c>
      <c r="AE321" s="21" t="s">
        <v>22</v>
      </c>
      <c r="AF321" s="21" t="s">
        <v>22</v>
      </c>
      <c r="AG321" s="21" t="s">
        <v>198</v>
      </c>
      <c r="AH321" s="21" t="s">
        <v>22</v>
      </c>
      <c r="AI321" s="21" t="s">
        <v>22</v>
      </c>
      <c r="AJ321" s="21" t="s">
        <v>22</v>
      </c>
      <c r="AK321" s="21" t="s">
        <v>22</v>
      </c>
      <c r="AL321" s="21" t="s">
        <v>26</v>
      </c>
      <c r="AM321" s="21" t="s">
        <v>83</v>
      </c>
      <c r="AN321" s="21" t="s">
        <v>83</v>
      </c>
      <c r="AO321" s="21" t="s">
        <v>198</v>
      </c>
      <c r="AP321" s="21" t="s">
        <v>109</v>
      </c>
      <c r="AQ321" s="21" t="s">
        <v>83</v>
      </c>
      <c r="AR321" s="21" t="s">
        <v>198</v>
      </c>
      <c r="AS321" s="21" t="s">
        <v>83</v>
      </c>
      <c r="AT321" s="21" t="s">
        <v>83</v>
      </c>
      <c r="AU321" s="21" t="s">
        <v>198</v>
      </c>
      <c r="AV321" s="21" t="s">
        <v>83</v>
      </c>
      <c r="AW321" s="21" t="s">
        <v>83</v>
      </c>
      <c r="AX321" s="21" t="s">
        <v>198</v>
      </c>
      <c r="AY321" s="21" t="s">
        <v>198</v>
      </c>
      <c r="AZ321" s="21" t="s">
        <v>198</v>
      </c>
      <c r="BA321" s="17" t="s">
        <v>248</v>
      </c>
      <c r="BB321" s="17" t="s">
        <v>250</v>
      </c>
      <c r="BC321" s="18">
        <f>--ISNUMBER(SEARCH("Radio or television",BA321))</f>
        <v>1</v>
      </c>
      <c r="BD321" s="18">
        <f>--ISNUMBER(SEARCH("Newspapers or print media",BA321))</f>
        <v>0</v>
      </c>
      <c r="BE321" s="18">
        <f>--ISNUMBER(SEARCH("Social media (e.g. Facebook, WhatsApp, YouTube, X/Twitter)",BA321))</f>
        <v>1</v>
      </c>
      <c r="BF321" s="18">
        <f>--ISNUMBER(SEARCH("Family members",BA321))</f>
        <v>0</v>
      </c>
      <c r="BG321" s="18">
        <f>--ISNUMBER(SEARCH("Friends or fellow students",BA321))</f>
        <v>0</v>
      </c>
      <c r="BH321" s="18">
        <f>--ISNUMBER(SEARCH("School coursework or lectures",BA321))</f>
        <v>1</v>
      </c>
      <c r="BI321" s="18">
        <f>--ISNUMBER(SEARCH("NHIMA outreach activities or NHIMA offices",BA321))</f>
        <v>0</v>
      </c>
      <c r="BJ321" s="18">
        <f>--ISNUMBER(SEARCH("Health facility staff",BA321))</f>
        <v>0</v>
      </c>
      <c r="BK321" s="18">
        <f>--ISNUMBER(SEARCH("not received information",BA321))</f>
        <v>0</v>
      </c>
      <c r="BL321" s="18">
        <f>IF(T321="","",--(T321='Codebook'!$F$13))</f>
        <v>1</v>
      </c>
      <c r="BM321" s="18">
        <f>IF(U321="","",--(U321='Codebook'!$F$14))</f>
        <v>0</v>
      </c>
      <c r="BN321" s="18">
        <f>IF(V321="","",--(V321='Codebook'!$F$15))</f>
        <v>0</v>
      </c>
      <c r="BO321" s="18">
        <f>IF(W321="","",--(W321='Codebook'!$F$16))</f>
        <v>0</v>
      </c>
      <c r="BP321" s="18">
        <f>IF(X321="","",--(X321='Codebook'!$F$17))</f>
        <v>1</v>
      </c>
      <c r="BQ321" s="18">
        <f>IF(Y321="","",--(Y321='Codebook'!$F$18))</f>
        <v>0</v>
      </c>
      <c r="BR321" s="18">
        <f>IF(Z321="","",--(Z321='Codebook'!$F$19))</f>
        <v>1</v>
      </c>
      <c r="BS321" s="18">
        <f>IF(AA321="","",--(AA321='Codebook'!$F$20))</f>
        <v>0</v>
      </c>
      <c r="BT321" s="18">
        <f>IF(AB321="","",--(AB321='Codebook'!$F$21))</f>
        <v>0</v>
      </c>
      <c r="BU321" s="18">
        <f>IF(AC321="","",--(AC321='Codebook'!$F$22))</f>
        <v>1</v>
      </c>
      <c r="BV321" s="18">
        <f>IF(AD321="","",--(AD321='Codebook'!$F$23))</f>
        <v>0</v>
      </c>
      <c r="BW321" s="18">
        <f>IF(AE321="","",--(AE321='Codebook'!$F$24))</f>
        <v>1</v>
      </c>
      <c r="BX321" s="18">
        <f>IF(AF321="","",--(AF321='Codebook'!$F$25))</f>
        <v>0</v>
      </c>
      <c r="BY321" s="18">
        <f>IF(AG321="","",--(AG321='Codebook'!$F$26))</f>
        <v>0</v>
      </c>
      <c r="BZ321" s="18">
        <f>IF(AH321="","",--(AH321='Codebook'!$F$27))</f>
        <v>1</v>
      </c>
      <c r="CA321" s="18">
        <f>IF(AI321="","",--(AI321='Codebook'!$F$28))</f>
        <v>0</v>
      </c>
      <c r="CB321" s="18">
        <f>IF(AJ321="","",--(AJ321='Codebook'!$F$29))</f>
        <v>0</v>
      </c>
      <c r="CC321" s="18">
        <f>IF(AK321="","",--(AK321='Codebook'!$F$30))</f>
        <v>1</v>
      </c>
      <c r="CD321" s="18">
        <f>IF(AL321="","",--(AL321='Codebook'!$F$31))</f>
        <v>1</v>
      </c>
      <c r="CE321" s="18">
        <f>IF(AM321="","",--(AM321='Codebook'!$F$32))</f>
        <v>1</v>
      </c>
      <c r="CF321" s="18">
        <f>IF(AN321="","",--(AN321='Codebook'!$F$33))</f>
        <v>1</v>
      </c>
      <c r="CG321" s="18">
        <f>IF(AO321="","",--(AO321='Codebook'!$F$34))</f>
        <v>0</v>
      </c>
      <c r="CH321" s="18">
        <f>IF(AP321="","",--(AP321='Codebook'!$F$35))</f>
        <v>0</v>
      </c>
      <c r="CI321" s="18">
        <f>IF(AQ321="","",--(AQ321='Codebook'!$F$36))</f>
        <v>1</v>
      </c>
      <c r="CJ321" s="18">
        <f>IF(AR321="","",--(AR321='Codebook'!$F$37))</f>
        <v>0</v>
      </c>
      <c r="CK321" s="18">
        <f>IF(AS321="","",--(AS321='Codebook'!$F$38))</f>
        <v>1</v>
      </c>
      <c r="CL321" s="18">
        <f>IF(AT321="","",--(AT321='Codebook'!$F$39))</f>
        <v>1</v>
      </c>
      <c r="CM321" s="18">
        <f>IF(AU321="","",--(AU321='Codebook'!$F$40))</f>
        <v>0</v>
      </c>
      <c r="CN321" s="18">
        <f>IF(AV321="","",--(AV321='Codebook'!$F$41))</f>
        <v>0</v>
      </c>
      <c r="CO321" s="18">
        <f>IF(AW321="","",--(AW321='Codebook'!$F$42))</f>
        <v>0</v>
      </c>
      <c r="CP321" s="18">
        <f>IF(AX321="","",--(AX321='Codebook'!$F$43))</f>
        <v>0</v>
      </c>
      <c r="CQ321" s="18">
        <f>IF(AY321="","",--(AY321='Codebook'!$F$44))</f>
        <v>0</v>
      </c>
      <c r="CR321" s="18">
        <f>IF(AZ321="","",--(AZ321='Codebook'!$F$45))</f>
        <v>0</v>
      </c>
    </row>
    <row r="322" spans="2:96" ht="24" customHeight="1">
      <c r="B322" s="18">
        <v>317</v>
      </c>
      <c r="C322" s="23">
        <v>46293.37098797454</v>
      </c>
      <c r="D322" s="21" t="s">
        <v>268</v>
      </c>
      <c r="E322" s="21" t="s">
        <v>194</v>
      </c>
      <c r="F322" s="21" t="s">
        <v>195</v>
      </c>
      <c r="G322" s="17" t="s">
        <v>202</v>
      </c>
      <c r="H322" s="21" t="s">
        <v>207</v>
      </c>
      <c r="I322" s="18">
        <f>SUM(BL322:BU322)</f>
        <v>3</v>
      </c>
      <c r="J322" s="18">
        <f>IF(COUNT(BV322:CD322)=9,SUM(BV322:CD322),"")</f>
        <v>2</v>
      </c>
      <c r="K322" s="18">
        <f>SUM(BL322:CD322)</f>
        <v>5</v>
      </c>
      <c r="L322" s="18">
        <f>--(K322&gt;='Codebook'!$C$8)</f>
        <v>0</v>
      </c>
      <c r="M322" s="18">
        <f>--(COUNT(BL322:CD322)=19)</f>
        <v>1</v>
      </c>
      <c r="N322" s="18">
        <f>SUM(CE322:CL322)</f>
        <v>2</v>
      </c>
      <c r="O322" s="18">
        <f>SUM(CM322:CR322)</f>
        <v>2</v>
      </c>
      <c r="P322" s="18">
        <f>N322+O322</f>
        <v>4</v>
      </c>
      <c r="Q322" s="21" t="s">
        <v>198</v>
      </c>
      <c r="R322" s="17" t="s">
        <v>154</v>
      </c>
      <c r="S322" s="18">
        <f>--OR(Overview!$B$6="All",E322=Overview!$B$6)*--OR(Overview!$F$6="All",F322=Overview!$F$6)*--OR(Overview!$J$6="All",G322=Overview!$J$6)*--OR(Overview!$N$6="All",H322=Overview!$N$6)</f>
        <v>1</v>
      </c>
      <c r="T322" s="21" t="s">
        <v>22</v>
      </c>
      <c r="U322" s="21" t="s">
        <v>22</v>
      </c>
      <c r="V322" s="21" t="s">
        <v>22</v>
      </c>
      <c r="W322" s="21" t="s">
        <v>22</v>
      </c>
      <c r="X322" s="21" t="s">
        <v>198</v>
      </c>
      <c r="Y322" s="21" t="s">
        <v>22</v>
      </c>
      <c r="Z322" s="21" t="s">
        <v>22</v>
      </c>
      <c r="AA322" s="21" t="s">
        <v>198</v>
      </c>
      <c r="AB322" s="21" t="s">
        <v>22</v>
      </c>
      <c r="AC322" s="21" t="s">
        <v>198</v>
      </c>
      <c r="AD322" s="21" t="s">
        <v>22</v>
      </c>
      <c r="AE322" s="21" t="s">
        <v>198</v>
      </c>
      <c r="AF322" s="21" t="s">
        <v>22</v>
      </c>
      <c r="AG322" s="21" t="s">
        <v>198</v>
      </c>
      <c r="AH322" s="21" t="s">
        <v>22</v>
      </c>
      <c r="AI322" s="21" t="s">
        <v>198</v>
      </c>
      <c r="AJ322" s="21" t="s">
        <v>22</v>
      </c>
      <c r="AK322" s="21" t="s">
        <v>198</v>
      </c>
      <c r="AL322" s="21" t="s">
        <v>198</v>
      </c>
      <c r="AM322" s="21" t="s">
        <v>198</v>
      </c>
      <c r="AN322" s="21" t="s">
        <v>198</v>
      </c>
      <c r="AO322" s="21" t="s">
        <v>83</v>
      </c>
      <c r="AP322" s="21" t="s">
        <v>198</v>
      </c>
      <c r="AQ322" s="21" t="s">
        <v>198</v>
      </c>
      <c r="AR322" s="21" t="s">
        <v>83</v>
      </c>
      <c r="AS322" s="21" t="s">
        <v>198</v>
      </c>
      <c r="AT322" s="21" t="s">
        <v>198</v>
      </c>
      <c r="AU322" s="21" t="s">
        <v>109</v>
      </c>
      <c r="AV322" s="21" t="s">
        <v>198</v>
      </c>
      <c r="AW322" s="21" t="s">
        <v>83</v>
      </c>
      <c r="AX322" s="21" t="s">
        <v>83</v>
      </c>
      <c r="AY322" s="21" t="s">
        <v>109</v>
      </c>
      <c r="AZ322" s="21" t="s">
        <v>83</v>
      </c>
      <c r="BA322" s="17" t="s">
        <v>264</v>
      </c>
      <c r="BB322" s="17" t="s">
        <v>250</v>
      </c>
      <c r="BC322" s="18">
        <f>--ISNUMBER(SEARCH("Radio or television",BA322))</f>
        <v>1</v>
      </c>
      <c r="BD322" s="18">
        <f>--ISNUMBER(SEARCH("Newspapers or print media",BA322))</f>
        <v>0</v>
      </c>
      <c r="BE322" s="18">
        <f>--ISNUMBER(SEARCH("Social media (e.g. Facebook, WhatsApp, YouTube, X/Twitter)",BA322))</f>
        <v>1</v>
      </c>
      <c r="BF322" s="18">
        <f>--ISNUMBER(SEARCH("Family members",BA322))</f>
        <v>1</v>
      </c>
      <c r="BG322" s="18">
        <f>--ISNUMBER(SEARCH("Friends or fellow students",BA322))</f>
        <v>1</v>
      </c>
      <c r="BH322" s="18">
        <f>--ISNUMBER(SEARCH("School coursework or lectures",BA322))</f>
        <v>0</v>
      </c>
      <c r="BI322" s="18">
        <f>--ISNUMBER(SEARCH("NHIMA outreach activities or NHIMA offices",BA322))</f>
        <v>0</v>
      </c>
      <c r="BJ322" s="18">
        <f>--ISNUMBER(SEARCH("Health facility staff",BA322))</f>
        <v>0</v>
      </c>
      <c r="BK322" s="18">
        <f>--ISNUMBER(SEARCH("not received information",BA322))</f>
        <v>0</v>
      </c>
      <c r="BL322" s="18">
        <f>IF(T322="","",--(T322='Codebook'!$F$13))</f>
        <v>1</v>
      </c>
      <c r="BM322" s="18">
        <f>IF(U322="","",--(U322='Codebook'!$F$14))</f>
        <v>0</v>
      </c>
      <c r="BN322" s="18">
        <f>IF(V322="","",--(V322='Codebook'!$F$15))</f>
        <v>0</v>
      </c>
      <c r="BO322" s="18">
        <f>IF(W322="","",--(W322='Codebook'!$F$16))</f>
        <v>1</v>
      </c>
      <c r="BP322" s="18">
        <f>IF(X322="","",--(X322='Codebook'!$F$17))</f>
        <v>0</v>
      </c>
      <c r="BQ322" s="18">
        <f>IF(Y322="","",--(Y322='Codebook'!$F$18))</f>
        <v>0</v>
      </c>
      <c r="BR322" s="18">
        <f>IF(Z322="","",--(Z322='Codebook'!$F$19))</f>
        <v>1</v>
      </c>
      <c r="BS322" s="18">
        <f>IF(AA322="","",--(AA322='Codebook'!$F$20))</f>
        <v>0</v>
      </c>
      <c r="BT322" s="18">
        <f>IF(AB322="","",--(AB322='Codebook'!$F$21))</f>
        <v>0</v>
      </c>
      <c r="BU322" s="18">
        <f>IF(AC322="","",--(AC322='Codebook'!$F$22))</f>
        <v>0</v>
      </c>
      <c r="BV322" s="18">
        <f>IF(AD322="","",--(AD322='Codebook'!$F$23))</f>
        <v>1</v>
      </c>
      <c r="BW322" s="18">
        <f>IF(AE322="","",--(AE322='Codebook'!$F$24))</f>
        <v>0</v>
      </c>
      <c r="BX322" s="18">
        <f>IF(AF322="","",--(AF322='Codebook'!$F$25))</f>
        <v>0</v>
      </c>
      <c r="BY322" s="18">
        <f>IF(AG322="","",--(AG322='Codebook'!$F$26))</f>
        <v>0</v>
      </c>
      <c r="BZ322" s="18">
        <f>IF(AH322="","",--(AH322='Codebook'!$F$27))</f>
        <v>1</v>
      </c>
      <c r="CA322" s="18">
        <f>IF(AI322="","",--(AI322='Codebook'!$F$28))</f>
        <v>0</v>
      </c>
      <c r="CB322" s="18">
        <f>IF(AJ322="","",--(AJ322='Codebook'!$F$29))</f>
        <v>0</v>
      </c>
      <c r="CC322" s="18">
        <f>IF(AK322="","",--(AK322='Codebook'!$F$30))</f>
        <v>0</v>
      </c>
      <c r="CD322" s="18">
        <f>IF(AL322="","",--(AL322='Codebook'!$F$31))</f>
        <v>0</v>
      </c>
      <c r="CE322" s="18">
        <f>IF(AM322="","",--(AM322='Codebook'!$F$32))</f>
        <v>0</v>
      </c>
      <c r="CF322" s="18">
        <f>IF(AN322="","",--(AN322='Codebook'!$F$33))</f>
        <v>0</v>
      </c>
      <c r="CG322" s="18">
        <f>IF(AO322="","",--(AO322='Codebook'!$F$34))</f>
        <v>1</v>
      </c>
      <c r="CH322" s="18">
        <f>IF(AP322="","",--(AP322='Codebook'!$F$35))</f>
        <v>0</v>
      </c>
      <c r="CI322" s="18">
        <f>IF(AQ322="","",--(AQ322='Codebook'!$F$36))</f>
        <v>0</v>
      </c>
      <c r="CJ322" s="18">
        <f>IF(AR322="","",--(AR322='Codebook'!$F$37))</f>
        <v>1</v>
      </c>
      <c r="CK322" s="18">
        <f>IF(AS322="","",--(AS322='Codebook'!$F$38))</f>
        <v>0</v>
      </c>
      <c r="CL322" s="18">
        <f>IF(AT322="","",--(AT322='Codebook'!$F$39))</f>
        <v>0</v>
      </c>
      <c r="CM322" s="18">
        <f>IF(AU322="","",--(AU322='Codebook'!$F$40))</f>
        <v>1</v>
      </c>
      <c r="CN322" s="18">
        <f>IF(AV322="","",--(AV322='Codebook'!$F$41))</f>
        <v>0</v>
      </c>
      <c r="CO322" s="18">
        <f>IF(AW322="","",--(AW322='Codebook'!$F$42))</f>
        <v>0</v>
      </c>
      <c r="CP322" s="18">
        <f>IF(AX322="","",--(AX322='Codebook'!$F$43))</f>
        <v>0</v>
      </c>
      <c r="CQ322" s="18">
        <f>IF(AY322="","",--(AY322='Codebook'!$F$44))</f>
        <v>1</v>
      </c>
      <c r="CR322" s="18">
        <f>IF(AZ322="","",--(AZ322='Codebook'!$F$45))</f>
        <v>0</v>
      </c>
    </row>
    <row r="323" spans="2:96" ht="24" customHeight="1">
      <c r="B323" s="18">
        <v>318</v>
      </c>
      <c r="C323" s="23">
        <v>46293.37181204861</v>
      </c>
      <c r="D323" s="21" t="s">
        <v>275</v>
      </c>
      <c r="E323" s="21" t="s">
        <v>206</v>
      </c>
      <c r="F323" s="21" t="s">
        <v>195</v>
      </c>
      <c r="G323" s="17" t="s">
        <v>247</v>
      </c>
      <c r="H323" s="21" t="s">
        <v>198</v>
      </c>
      <c r="I323" s="18">
        <f>SUM(BL323:BU323)</f>
        <v>5</v>
      </c>
      <c r="J323" s="18">
        <f>IF(COUNT(BV323:CD323)=9,SUM(BV323:CD323),"")</f>
        <v>5</v>
      </c>
      <c r="K323" s="18">
        <f>SUM(BL323:CD323)</f>
        <v>10</v>
      </c>
      <c r="L323" s="18">
        <f>--(K323&gt;='Codebook'!$C$8)</f>
        <v>0</v>
      </c>
      <c r="M323" s="18">
        <f>--(COUNT(BL323:CD323)=19)</f>
        <v>1</v>
      </c>
      <c r="N323" s="18">
        <f>SUM(CE323:CL323)</f>
        <v>8</v>
      </c>
      <c r="O323" s="18">
        <f>SUM(CM323:CR323)</f>
        <v>1</v>
      </c>
      <c r="P323" s="18">
        <f>N323+O323</f>
        <v>9</v>
      </c>
      <c r="Q323" s="21" t="s">
        <v>197</v>
      </c>
      <c r="R323" s="17" t="s">
        <v>154</v>
      </c>
      <c r="S323" s="18">
        <f>--OR(Overview!$B$6="All",E323=Overview!$B$6)*--OR(Overview!$F$6="All",F323=Overview!$F$6)*--OR(Overview!$J$6="All",G323=Overview!$J$6)*--OR(Overview!$N$6="All",H323=Overview!$N$6)</f>
        <v>1</v>
      </c>
      <c r="T323" s="21" t="s">
        <v>22</v>
      </c>
      <c r="U323" s="21" t="s">
        <v>22</v>
      </c>
      <c r="V323" s="21" t="s">
        <v>22</v>
      </c>
      <c r="W323" s="21" t="s">
        <v>22</v>
      </c>
      <c r="X323" s="21" t="s">
        <v>22</v>
      </c>
      <c r="Y323" s="21" t="s">
        <v>22</v>
      </c>
      <c r="Z323" s="21" t="s">
        <v>22</v>
      </c>
      <c r="AA323" s="21" t="s">
        <v>198</v>
      </c>
      <c r="AB323" s="21" t="s">
        <v>22</v>
      </c>
      <c r="AC323" s="21" t="s">
        <v>22</v>
      </c>
      <c r="AD323" s="21" t="s">
        <v>22</v>
      </c>
      <c r="AE323" s="21" t="s">
        <v>22</v>
      </c>
      <c r="AF323" s="21" t="s">
        <v>26</v>
      </c>
      <c r="AG323" s="21" t="s">
        <v>22</v>
      </c>
      <c r="AH323" s="21" t="s">
        <v>26</v>
      </c>
      <c r="AI323" s="21" t="s">
        <v>22</v>
      </c>
      <c r="AJ323" s="21" t="s">
        <v>198</v>
      </c>
      <c r="AK323" s="21" t="s">
        <v>22</v>
      </c>
      <c r="AL323" s="21" t="s">
        <v>198</v>
      </c>
      <c r="AM323" s="21" t="s">
        <v>83</v>
      </c>
      <c r="AN323" s="21" t="s">
        <v>83</v>
      </c>
      <c r="AO323" s="21" t="s">
        <v>83</v>
      </c>
      <c r="AP323" s="21" t="s">
        <v>83</v>
      </c>
      <c r="AQ323" s="21" t="s">
        <v>83</v>
      </c>
      <c r="AR323" s="21" t="s">
        <v>83</v>
      </c>
      <c r="AS323" s="21" t="s">
        <v>83</v>
      </c>
      <c r="AT323" s="21" t="s">
        <v>83</v>
      </c>
      <c r="AU323" s="21" t="s">
        <v>83</v>
      </c>
      <c r="AV323" s="21" t="s">
        <v>109</v>
      </c>
      <c r="AW323" s="21" t="s">
        <v>83</v>
      </c>
      <c r="AX323" s="21" t="s">
        <v>198</v>
      </c>
      <c r="AY323" s="21" t="s">
        <v>198</v>
      </c>
      <c r="AZ323" s="21" t="s">
        <v>198</v>
      </c>
      <c r="BA323" s="17" t="s">
        <v>281</v>
      </c>
      <c r="BB323" s="17" t="s">
        <v>250</v>
      </c>
      <c r="BC323" s="18">
        <f>--ISNUMBER(SEARCH("Radio or television",BA323))</f>
        <v>1</v>
      </c>
      <c r="BD323" s="18">
        <f>--ISNUMBER(SEARCH("Newspapers or print media",BA323))</f>
        <v>1</v>
      </c>
      <c r="BE323" s="18">
        <f>--ISNUMBER(SEARCH("Social media (e.g. Facebook, WhatsApp, YouTube, X/Twitter)",BA323))</f>
        <v>1</v>
      </c>
      <c r="BF323" s="18">
        <f>--ISNUMBER(SEARCH("Family members",BA323))</f>
        <v>0</v>
      </c>
      <c r="BG323" s="18">
        <f>--ISNUMBER(SEARCH("Friends or fellow students",BA323))</f>
        <v>1</v>
      </c>
      <c r="BH323" s="18">
        <f>--ISNUMBER(SEARCH("School coursework or lectures",BA323))</f>
        <v>0</v>
      </c>
      <c r="BI323" s="18">
        <f>--ISNUMBER(SEARCH("NHIMA outreach activities or NHIMA offices",BA323))</f>
        <v>0</v>
      </c>
      <c r="BJ323" s="18">
        <f>--ISNUMBER(SEARCH("Health facility staff",BA323))</f>
        <v>0</v>
      </c>
      <c r="BK323" s="18">
        <f>--ISNUMBER(SEARCH("not received information",BA323))</f>
        <v>0</v>
      </c>
      <c r="BL323" s="18">
        <f>IF(T323="","",--(T323='Codebook'!$F$13))</f>
        <v>1</v>
      </c>
      <c r="BM323" s="18">
        <f>IF(U323="","",--(U323='Codebook'!$F$14))</f>
        <v>0</v>
      </c>
      <c r="BN323" s="18">
        <f>IF(V323="","",--(V323='Codebook'!$F$15))</f>
        <v>0</v>
      </c>
      <c r="BO323" s="18">
        <f>IF(W323="","",--(W323='Codebook'!$F$16))</f>
        <v>1</v>
      </c>
      <c r="BP323" s="18">
        <f>IF(X323="","",--(X323='Codebook'!$F$17))</f>
        <v>1</v>
      </c>
      <c r="BQ323" s="18">
        <f>IF(Y323="","",--(Y323='Codebook'!$F$18))</f>
        <v>0</v>
      </c>
      <c r="BR323" s="18">
        <f>IF(Z323="","",--(Z323='Codebook'!$F$19))</f>
        <v>1</v>
      </c>
      <c r="BS323" s="18">
        <f>IF(AA323="","",--(AA323='Codebook'!$F$20))</f>
        <v>0</v>
      </c>
      <c r="BT323" s="18">
        <f>IF(AB323="","",--(AB323='Codebook'!$F$21))</f>
        <v>0</v>
      </c>
      <c r="BU323" s="18">
        <f>IF(AC323="","",--(AC323='Codebook'!$F$22))</f>
        <v>1</v>
      </c>
      <c r="BV323" s="18">
        <f>IF(AD323="","",--(AD323='Codebook'!$F$23))</f>
        <v>1</v>
      </c>
      <c r="BW323" s="18">
        <f>IF(AE323="","",--(AE323='Codebook'!$F$24))</f>
        <v>1</v>
      </c>
      <c r="BX323" s="18">
        <f>IF(AF323="","",--(AF323='Codebook'!$F$25))</f>
        <v>1</v>
      </c>
      <c r="BY323" s="18">
        <f>IF(AG323="","",--(AG323='Codebook'!$F$26))</f>
        <v>1</v>
      </c>
      <c r="BZ323" s="18">
        <f>IF(AH323="","",--(AH323='Codebook'!$F$27))</f>
        <v>0</v>
      </c>
      <c r="CA323" s="18">
        <f>IF(AI323="","",--(AI323='Codebook'!$F$28))</f>
        <v>0</v>
      </c>
      <c r="CB323" s="18">
        <f>IF(AJ323="","",--(AJ323='Codebook'!$F$29))</f>
        <v>0</v>
      </c>
      <c r="CC323" s="18">
        <f>IF(AK323="","",--(AK323='Codebook'!$F$30))</f>
        <v>1</v>
      </c>
      <c r="CD323" s="18">
        <f>IF(AL323="","",--(AL323='Codebook'!$F$31))</f>
        <v>0</v>
      </c>
      <c r="CE323" s="18">
        <f>IF(AM323="","",--(AM323='Codebook'!$F$32))</f>
        <v>1</v>
      </c>
      <c r="CF323" s="18">
        <f>IF(AN323="","",--(AN323='Codebook'!$F$33))</f>
        <v>1</v>
      </c>
      <c r="CG323" s="18">
        <f>IF(AO323="","",--(AO323='Codebook'!$F$34))</f>
        <v>1</v>
      </c>
      <c r="CH323" s="18">
        <f>IF(AP323="","",--(AP323='Codebook'!$F$35))</f>
        <v>1</v>
      </c>
      <c r="CI323" s="18">
        <f>IF(AQ323="","",--(AQ323='Codebook'!$F$36))</f>
        <v>1</v>
      </c>
      <c r="CJ323" s="18">
        <f>IF(AR323="","",--(AR323='Codebook'!$F$37))</f>
        <v>1</v>
      </c>
      <c r="CK323" s="18">
        <f>IF(AS323="","",--(AS323='Codebook'!$F$38))</f>
        <v>1</v>
      </c>
      <c r="CL323" s="18">
        <f>IF(AT323="","",--(AT323='Codebook'!$F$39))</f>
        <v>1</v>
      </c>
      <c r="CM323" s="18">
        <f>IF(AU323="","",--(AU323='Codebook'!$F$40))</f>
        <v>0</v>
      </c>
      <c r="CN323" s="18">
        <f>IF(AV323="","",--(AV323='Codebook'!$F$41))</f>
        <v>1</v>
      </c>
      <c r="CO323" s="18">
        <f>IF(AW323="","",--(AW323='Codebook'!$F$42))</f>
        <v>0</v>
      </c>
      <c r="CP323" s="18">
        <f>IF(AX323="","",--(AX323='Codebook'!$F$43))</f>
        <v>0</v>
      </c>
      <c r="CQ323" s="18">
        <f>IF(AY323="","",--(AY323='Codebook'!$F$44))</f>
        <v>0</v>
      </c>
      <c r="CR323" s="18">
        <f>IF(AZ323="","",--(AZ323='Codebook'!$F$45))</f>
        <v>0</v>
      </c>
    </row>
    <row r="324" spans="2:96" ht="24" customHeight="1">
      <c r="B324" s="18">
        <v>319</v>
      </c>
      <c r="C324" s="23">
        <v>46293.3724208912</v>
      </c>
      <c r="D324" s="21" t="s">
        <v>268</v>
      </c>
      <c r="E324" s="21" t="s">
        <v>206</v>
      </c>
      <c r="F324" s="21" t="s">
        <v>212</v>
      </c>
      <c r="G324" s="17" t="s">
        <v>247</v>
      </c>
      <c r="H324" s="21" t="s">
        <v>197</v>
      </c>
      <c r="I324" s="18">
        <f>SUM(BL324:BU324)</f>
        <v>2</v>
      </c>
      <c r="J324" s="18">
        <f>IF(COUNT(BV324:CD324)=9,SUM(BV324:CD324),"")</f>
        <v>0</v>
      </c>
      <c r="K324" s="18">
        <f>SUM(BL324:CD324)</f>
        <v>2</v>
      </c>
      <c r="L324" s="18">
        <f>--(K324&gt;='Codebook'!$C$8)</f>
        <v>0</v>
      </c>
      <c r="M324" s="18">
        <f>--(COUNT(BL324:CD324)=19)</f>
        <v>1</v>
      </c>
      <c r="N324" s="18">
        <f>SUM(CE324:CL324)</f>
        <v>0</v>
      </c>
      <c r="O324" s="18">
        <f>SUM(CM324:CR324)</f>
        <v>0</v>
      </c>
      <c r="P324" s="18">
        <f>N324+O324</f>
        <v>0</v>
      </c>
      <c r="Q324" s="21" t="s">
        <v>197</v>
      </c>
      <c r="R324" s="17" t="s">
        <v>154</v>
      </c>
      <c r="S324" s="18">
        <f>--OR(Overview!$B$6="All",E324=Overview!$B$6)*--OR(Overview!$F$6="All",F324=Overview!$F$6)*--OR(Overview!$J$6="All",G324=Overview!$J$6)*--OR(Overview!$N$6="All",H324=Overview!$N$6)</f>
        <v>1</v>
      </c>
      <c r="T324" s="21" t="s">
        <v>22</v>
      </c>
      <c r="U324" s="21" t="s">
        <v>22</v>
      </c>
      <c r="V324" s="21" t="s">
        <v>22</v>
      </c>
      <c r="W324" s="21" t="s">
        <v>26</v>
      </c>
      <c r="X324" s="21" t="s">
        <v>198</v>
      </c>
      <c r="Y324" s="21" t="s">
        <v>198</v>
      </c>
      <c r="Z324" s="21" t="s">
        <v>22</v>
      </c>
      <c r="AA324" s="21" t="s">
        <v>198</v>
      </c>
      <c r="AB324" s="21" t="s">
        <v>198</v>
      </c>
      <c r="AC324" s="21" t="s">
        <v>198</v>
      </c>
      <c r="AD324" s="21" t="s">
        <v>198</v>
      </c>
      <c r="AE324" s="21" t="s">
        <v>198</v>
      </c>
      <c r="AF324" s="21" t="s">
        <v>198</v>
      </c>
      <c r="AG324" s="21" t="s">
        <v>198</v>
      </c>
      <c r="AH324" s="21" t="s">
        <v>198</v>
      </c>
      <c r="AI324" s="21" t="s">
        <v>198</v>
      </c>
      <c r="AJ324" s="21" t="s">
        <v>198</v>
      </c>
      <c r="AK324" s="21" t="s">
        <v>198</v>
      </c>
      <c r="AL324" s="21" t="s">
        <v>198</v>
      </c>
      <c r="AM324" s="21" t="s">
        <v>198</v>
      </c>
      <c r="AN324" s="21" t="s">
        <v>198</v>
      </c>
      <c r="AO324" s="21" t="s">
        <v>198</v>
      </c>
      <c r="AP324" s="21" t="s">
        <v>198</v>
      </c>
      <c r="AQ324" s="21" t="s">
        <v>198</v>
      </c>
      <c r="AR324" s="21" t="s">
        <v>198</v>
      </c>
      <c r="AS324" s="21" t="s">
        <v>198</v>
      </c>
      <c r="AT324" s="21" t="s">
        <v>198</v>
      </c>
      <c r="AU324" s="21" t="s">
        <v>198</v>
      </c>
      <c r="AV324" s="21" t="s">
        <v>198</v>
      </c>
      <c r="AW324" s="21" t="s">
        <v>198</v>
      </c>
      <c r="AX324" s="21" t="s">
        <v>198</v>
      </c>
      <c r="AY324" s="21" t="s">
        <v>198</v>
      </c>
      <c r="AZ324" s="21" t="s">
        <v>198</v>
      </c>
      <c r="BA324" s="17" t="s">
        <v>248</v>
      </c>
      <c r="BB324" s="17" t="s">
        <v>250</v>
      </c>
      <c r="BC324" s="18">
        <f>--ISNUMBER(SEARCH("Radio or television",BA324))</f>
        <v>1</v>
      </c>
      <c r="BD324" s="18">
        <f>--ISNUMBER(SEARCH("Newspapers or print media",BA324))</f>
        <v>0</v>
      </c>
      <c r="BE324" s="18">
        <f>--ISNUMBER(SEARCH("Social media (e.g. Facebook, WhatsApp, YouTube, X/Twitter)",BA324))</f>
        <v>1</v>
      </c>
      <c r="BF324" s="18">
        <f>--ISNUMBER(SEARCH("Family members",BA324))</f>
        <v>0</v>
      </c>
      <c r="BG324" s="18">
        <f>--ISNUMBER(SEARCH("Friends or fellow students",BA324))</f>
        <v>0</v>
      </c>
      <c r="BH324" s="18">
        <f>--ISNUMBER(SEARCH("School coursework or lectures",BA324))</f>
        <v>1</v>
      </c>
      <c r="BI324" s="18">
        <f>--ISNUMBER(SEARCH("NHIMA outreach activities or NHIMA offices",BA324))</f>
        <v>0</v>
      </c>
      <c r="BJ324" s="18">
        <f>--ISNUMBER(SEARCH("Health facility staff",BA324))</f>
        <v>0</v>
      </c>
      <c r="BK324" s="18">
        <f>--ISNUMBER(SEARCH("not received information",BA324))</f>
        <v>0</v>
      </c>
      <c r="BL324" s="18">
        <f>IF(T324="","",--(T324='Codebook'!$F$13))</f>
        <v>1</v>
      </c>
      <c r="BM324" s="18">
        <f>IF(U324="","",--(U324='Codebook'!$F$14))</f>
        <v>0</v>
      </c>
      <c r="BN324" s="18">
        <f>IF(V324="","",--(V324='Codebook'!$F$15))</f>
        <v>0</v>
      </c>
      <c r="BO324" s="18">
        <f>IF(W324="","",--(W324='Codebook'!$F$16))</f>
        <v>0</v>
      </c>
      <c r="BP324" s="18">
        <f>IF(X324="","",--(X324='Codebook'!$F$17))</f>
        <v>0</v>
      </c>
      <c r="BQ324" s="18">
        <f>IF(Y324="","",--(Y324='Codebook'!$F$18))</f>
        <v>0</v>
      </c>
      <c r="BR324" s="18">
        <f>IF(Z324="","",--(Z324='Codebook'!$F$19))</f>
        <v>1</v>
      </c>
      <c r="BS324" s="18">
        <f>IF(AA324="","",--(AA324='Codebook'!$F$20))</f>
        <v>0</v>
      </c>
      <c r="BT324" s="18">
        <f>IF(AB324="","",--(AB324='Codebook'!$F$21))</f>
        <v>0</v>
      </c>
      <c r="BU324" s="18">
        <f>IF(AC324="","",--(AC324='Codebook'!$F$22))</f>
        <v>0</v>
      </c>
      <c r="BV324" s="18">
        <f>IF(AD324="","",--(AD324='Codebook'!$F$23))</f>
        <v>0</v>
      </c>
      <c r="BW324" s="18">
        <f>IF(AE324="","",--(AE324='Codebook'!$F$24))</f>
        <v>0</v>
      </c>
      <c r="BX324" s="18">
        <f>IF(AF324="","",--(AF324='Codebook'!$F$25))</f>
        <v>0</v>
      </c>
      <c r="BY324" s="18">
        <f>IF(AG324="","",--(AG324='Codebook'!$F$26))</f>
        <v>0</v>
      </c>
      <c r="BZ324" s="18">
        <f>IF(AH324="","",--(AH324='Codebook'!$F$27))</f>
        <v>0</v>
      </c>
      <c r="CA324" s="18">
        <f>IF(AI324="","",--(AI324='Codebook'!$F$28))</f>
        <v>0</v>
      </c>
      <c r="CB324" s="18">
        <f>IF(AJ324="","",--(AJ324='Codebook'!$F$29))</f>
        <v>0</v>
      </c>
      <c r="CC324" s="18">
        <f>IF(AK324="","",--(AK324='Codebook'!$F$30))</f>
        <v>0</v>
      </c>
      <c r="CD324" s="18">
        <f>IF(AL324="","",--(AL324='Codebook'!$F$31))</f>
        <v>0</v>
      </c>
      <c r="CE324" s="18">
        <f>IF(AM324="","",--(AM324='Codebook'!$F$32))</f>
        <v>0</v>
      </c>
      <c r="CF324" s="18">
        <f>IF(AN324="","",--(AN324='Codebook'!$F$33))</f>
        <v>0</v>
      </c>
      <c r="CG324" s="18">
        <f>IF(AO324="","",--(AO324='Codebook'!$F$34))</f>
        <v>0</v>
      </c>
      <c r="CH324" s="18">
        <f>IF(AP324="","",--(AP324='Codebook'!$F$35))</f>
        <v>0</v>
      </c>
      <c r="CI324" s="18">
        <f>IF(AQ324="","",--(AQ324='Codebook'!$F$36))</f>
        <v>0</v>
      </c>
      <c r="CJ324" s="18">
        <f>IF(AR324="","",--(AR324='Codebook'!$F$37))</f>
        <v>0</v>
      </c>
      <c r="CK324" s="18">
        <f>IF(AS324="","",--(AS324='Codebook'!$F$38))</f>
        <v>0</v>
      </c>
      <c r="CL324" s="18">
        <f>IF(AT324="","",--(AT324='Codebook'!$F$39))</f>
        <v>0</v>
      </c>
      <c r="CM324" s="18">
        <f>IF(AU324="","",--(AU324='Codebook'!$F$40))</f>
        <v>0</v>
      </c>
      <c r="CN324" s="18">
        <f>IF(AV324="","",--(AV324='Codebook'!$F$41))</f>
        <v>0</v>
      </c>
      <c r="CO324" s="18">
        <f>IF(AW324="","",--(AW324='Codebook'!$F$42))</f>
        <v>0</v>
      </c>
      <c r="CP324" s="18">
        <f>IF(AX324="","",--(AX324='Codebook'!$F$43))</f>
        <v>0</v>
      </c>
      <c r="CQ324" s="18">
        <f>IF(AY324="","",--(AY324='Codebook'!$F$44))</f>
        <v>0</v>
      </c>
      <c r="CR324" s="18">
        <f>IF(AZ324="","",--(AZ324='Codebook'!$F$45))</f>
        <v>0</v>
      </c>
    </row>
    <row r="325" spans="2:96" ht="24" customHeight="1">
      <c r="B325" s="18">
        <v>320</v>
      </c>
      <c r="C325" s="23">
        <v>46293.37298079861</v>
      </c>
      <c r="D325" s="21" t="s">
        <v>275</v>
      </c>
      <c r="E325" s="21" t="s">
        <v>194</v>
      </c>
      <c r="F325" s="21" t="s">
        <v>195</v>
      </c>
      <c r="G325" s="17" t="s">
        <v>202</v>
      </c>
      <c r="H325" s="21" t="s">
        <v>197</v>
      </c>
      <c r="I325" s="18">
        <f>SUM(BL325:BU325)</f>
        <v>4</v>
      </c>
      <c r="J325" s="18">
        <f>IF(COUNT(BV325:CD325)=9,SUM(BV325:CD325),"")</f>
        <v>4</v>
      </c>
      <c r="K325" s="18">
        <f>SUM(BL325:CD325)</f>
        <v>8</v>
      </c>
      <c r="L325" s="18">
        <f>--(K325&gt;='Codebook'!$C$8)</f>
        <v>0</v>
      </c>
      <c r="M325" s="18">
        <f>--(COUNT(BL325:CD325)=19)</f>
        <v>1</v>
      </c>
      <c r="N325" s="18">
        <f>SUM(CE325:CL325)</f>
        <v>5</v>
      </c>
      <c r="O325" s="18">
        <f>SUM(CM325:CR325)</f>
        <v>1</v>
      </c>
      <c r="P325" s="18">
        <f>N325+O325</f>
        <v>6</v>
      </c>
      <c r="Q325" s="21" t="s">
        <v>197</v>
      </c>
      <c r="R325" s="17" t="s">
        <v>154</v>
      </c>
      <c r="S325" s="18">
        <f>--OR(Overview!$B$6="All",E325=Overview!$B$6)*--OR(Overview!$F$6="All",F325=Overview!$F$6)*--OR(Overview!$J$6="All",G325=Overview!$J$6)*--OR(Overview!$N$6="All",H325=Overview!$N$6)</f>
        <v>1</v>
      </c>
      <c r="T325" s="21" t="s">
        <v>22</v>
      </c>
      <c r="U325" s="21" t="s">
        <v>22</v>
      </c>
      <c r="V325" s="21" t="s">
        <v>22</v>
      </c>
      <c r="W325" s="21" t="s">
        <v>26</v>
      </c>
      <c r="X325" s="21" t="s">
        <v>22</v>
      </c>
      <c r="Y325" s="21" t="s">
        <v>22</v>
      </c>
      <c r="Z325" s="21" t="s">
        <v>26</v>
      </c>
      <c r="AA325" s="21" t="s">
        <v>22</v>
      </c>
      <c r="AB325" s="21" t="s">
        <v>26</v>
      </c>
      <c r="AC325" s="21" t="s">
        <v>26</v>
      </c>
      <c r="AD325" s="21" t="s">
        <v>198</v>
      </c>
      <c r="AE325" s="21" t="s">
        <v>22</v>
      </c>
      <c r="AF325" s="21" t="s">
        <v>22</v>
      </c>
      <c r="AG325" s="21" t="s">
        <v>22</v>
      </c>
      <c r="AH325" s="21" t="s">
        <v>198</v>
      </c>
      <c r="AI325" s="21" t="s">
        <v>22</v>
      </c>
      <c r="AJ325" s="21" t="s">
        <v>22</v>
      </c>
      <c r="AK325" s="21" t="s">
        <v>22</v>
      </c>
      <c r="AL325" s="21" t="s">
        <v>26</v>
      </c>
      <c r="AM325" s="21" t="s">
        <v>198</v>
      </c>
      <c r="AN325" s="21" t="s">
        <v>83</v>
      </c>
      <c r="AO325" s="21" t="s">
        <v>83</v>
      </c>
      <c r="AP325" s="21" t="s">
        <v>83</v>
      </c>
      <c r="AQ325" s="21" t="s">
        <v>109</v>
      </c>
      <c r="AR325" s="21" t="s">
        <v>198</v>
      </c>
      <c r="AS325" s="21" t="s">
        <v>83</v>
      </c>
      <c r="AT325" s="21" t="s">
        <v>83</v>
      </c>
      <c r="AU325" s="21" t="s">
        <v>83</v>
      </c>
      <c r="AV325" s="21" t="s">
        <v>83</v>
      </c>
      <c r="AW325" s="21" t="s">
        <v>83</v>
      </c>
      <c r="AX325" s="21" t="s">
        <v>83</v>
      </c>
      <c r="AY325" s="21" t="s">
        <v>109</v>
      </c>
      <c r="AZ325" s="21" t="s">
        <v>198</v>
      </c>
      <c r="BA325" s="17" t="s">
        <v>246</v>
      </c>
      <c r="BB325" s="17" t="s">
        <v>250</v>
      </c>
      <c r="BC325" s="18">
        <f>--ISNUMBER(SEARCH("Radio or television",BA325))</f>
        <v>1</v>
      </c>
      <c r="BD325" s="18">
        <f>--ISNUMBER(SEARCH("Newspapers or print media",BA325))</f>
        <v>0</v>
      </c>
      <c r="BE325" s="18">
        <f>--ISNUMBER(SEARCH("Social media (e.g. Facebook, WhatsApp, YouTube, X/Twitter)",BA325))</f>
        <v>1</v>
      </c>
      <c r="BF325" s="18">
        <f>--ISNUMBER(SEARCH("Family members",BA325))</f>
        <v>0</v>
      </c>
      <c r="BG325" s="18">
        <f>--ISNUMBER(SEARCH("Friends or fellow students",BA325))</f>
        <v>0</v>
      </c>
      <c r="BH325" s="18">
        <f>--ISNUMBER(SEARCH("School coursework or lectures",BA325))</f>
        <v>0</v>
      </c>
      <c r="BI325" s="18">
        <f>--ISNUMBER(SEARCH("NHIMA outreach activities or NHIMA offices",BA325))</f>
        <v>0</v>
      </c>
      <c r="BJ325" s="18">
        <f>--ISNUMBER(SEARCH("Health facility staff",BA325))</f>
        <v>0</v>
      </c>
      <c r="BK325" s="18">
        <f>--ISNUMBER(SEARCH("not received information",BA325))</f>
        <v>0</v>
      </c>
      <c r="BL325" s="18">
        <f>IF(T325="","",--(T325='Codebook'!$F$13))</f>
        <v>1</v>
      </c>
      <c r="BM325" s="18">
        <f>IF(U325="","",--(U325='Codebook'!$F$14))</f>
        <v>0</v>
      </c>
      <c r="BN325" s="18">
        <f>IF(V325="","",--(V325='Codebook'!$F$15))</f>
        <v>0</v>
      </c>
      <c r="BO325" s="18">
        <f>IF(W325="","",--(W325='Codebook'!$F$16))</f>
        <v>0</v>
      </c>
      <c r="BP325" s="18">
        <f>IF(X325="","",--(X325='Codebook'!$F$17))</f>
        <v>1</v>
      </c>
      <c r="BQ325" s="18">
        <f>IF(Y325="","",--(Y325='Codebook'!$F$18))</f>
        <v>0</v>
      </c>
      <c r="BR325" s="18">
        <f>IF(Z325="","",--(Z325='Codebook'!$F$19))</f>
        <v>0</v>
      </c>
      <c r="BS325" s="18">
        <f>IF(AA325="","",--(AA325='Codebook'!$F$20))</f>
        <v>1</v>
      </c>
      <c r="BT325" s="18">
        <f>IF(AB325="","",--(AB325='Codebook'!$F$21))</f>
        <v>1</v>
      </c>
      <c r="BU325" s="18">
        <f>IF(AC325="","",--(AC325='Codebook'!$F$22))</f>
        <v>0</v>
      </c>
      <c r="BV325" s="18">
        <f>IF(AD325="","",--(AD325='Codebook'!$F$23))</f>
        <v>0</v>
      </c>
      <c r="BW325" s="18">
        <f>IF(AE325="","",--(AE325='Codebook'!$F$24))</f>
        <v>1</v>
      </c>
      <c r="BX325" s="18">
        <f>IF(AF325="","",--(AF325='Codebook'!$F$25))</f>
        <v>0</v>
      </c>
      <c r="BY325" s="18">
        <f>IF(AG325="","",--(AG325='Codebook'!$F$26))</f>
        <v>1</v>
      </c>
      <c r="BZ325" s="18">
        <f>IF(AH325="","",--(AH325='Codebook'!$F$27))</f>
        <v>0</v>
      </c>
      <c r="CA325" s="18">
        <f>IF(AI325="","",--(AI325='Codebook'!$F$28))</f>
        <v>0</v>
      </c>
      <c r="CB325" s="18">
        <f>IF(AJ325="","",--(AJ325='Codebook'!$F$29))</f>
        <v>0</v>
      </c>
      <c r="CC325" s="18">
        <f>IF(AK325="","",--(AK325='Codebook'!$F$30))</f>
        <v>1</v>
      </c>
      <c r="CD325" s="18">
        <f>IF(AL325="","",--(AL325='Codebook'!$F$31))</f>
        <v>1</v>
      </c>
      <c r="CE325" s="18">
        <f>IF(AM325="","",--(AM325='Codebook'!$F$32))</f>
        <v>0</v>
      </c>
      <c r="CF325" s="18">
        <f>IF(AN325="","",--(AN325='Codebook'!$F$33))</f>
        <v>1</v>
      </c>
      <c r="CG325" s="18">
        <f>IF(AO325="","",--(AO325='Codebook'!$F$34))</f>
        <v>1</v>
      </c>
      <c r="CH325" s="18">
        <f>IF(AP325="","",--(AP325='Codebook'!$F$35))</f>
        <v>1</v>
      </c>
      <c r="CI325" s="18">
        <f>IF(AQ325="","",--(AQ325='Codebook'!$F$36))</f>
        <v>0</v>
      </c>
      <c r="CJ325" s="18">
        <f>IF(AR325="","",--(AR325='Codebook'!$F$37))</f>
        <v>0</v>
      </c>
      <c r="CK325" s="18">
        <f>IF(AS325="","",--(AS325='Codebook'!$F$38))</f>
        <v>1</v>
      </c>
      <c r="CL325" s="18">
        <f>IF(AT325="","",--(AT325='Codebook'!$F$39))</f>
        <v>1</v>
      </c>
      <c r="CM325" s="18">
        <f>IF(AU325="","",--(AU325='Codebook'!$F$40))</f>
        <v>0</v>
      </c>
      <c r="CN325" s="18">
        <f>IF(AV325="","",--(AV325='Codebook'!$F$41))</f>
        <v>0</v>
      </c>
      <c r="CO325" s="18">
        <f>IF(AW325="","",--(AW325='Codebook'!$F$42))</f>
        <v>0</v>
      </c>
      <c r="CP325" s="18">
        <f>IF(AX325="","",--(AX325='Codebook'!$F$43))</f>
        <v>0</v>
      </c>
      <c r="CQ325" s="18">
        <f>IF(AY325="","",--(AY325='Codebook'!$F$44))</f>
        <v>1</v>
      </c>
      <c r="CR325" s="18">
        <f>IF(AZ325="","",--(AZ325='Codebook'!$F$45))</f>
        <v>0</v>
      </c>
    </row>
    <row r="326" spans="2:96" ht="24" customHeight="1">
      <c r="B326" s="18">
        <v>321</v>
      </c>
      <c r="C326" s="23">
        <v>46293.37355493056</v>
      </c>
      <c r="D326" s="21" t="s">
        <v>268</v>
      </c>
      <c r="E326" s="21" t="s">
        <v>194</v>
      </c>
      <c r="F326" s="21" t="s">
        <v>195</v>
      </c>
      <c r="G326" s="17" t="s">
        <v>196</v>
      </c>
      <c r="H326" s="21" t="s">
        <v>197</v>
      </c>
      <c r="I326" s="18">
        <f>SUM(BL326:BU326)</f>
        <v>6</v>
      </c>
      <c r="J326" s="18">
        <f>IF(COUNT(BV326:CD326)=9,SUM(BV326:CD326),"")</f>
        <v>6</v>
      </c>
      <c r="K326" s="18">
        <f>SUM(BL326:CD326)</f>
        <v>12</v>
      </c>
      <c r="L326" s="18">
        <f>--(K326&gt;='Codebook'!$C$8)</f>
        <v>1</v>
      </c>
      <c r="M326" s="18">
        <f>--(COUNT(BL326:CD326)=19)</f>
        <v>1</v>
      </c>
      <c r="N326" s="18">
        <f>SUM(CE326:CL326)</f>
        <v>4</v>
      </c>
      <c r="O326" s="18">
        <f>SUM(CM326:CR326)</f>
        <v>2</v>
      </c>
      <c r="P326" s="18">
        <f>N326+O326</f>
        <v>6</v>
      </c>
      <c r="Q326" s="21" t="s">
        <v>198</v>
      </c>
      <c r="R326" s="17" t="s">
        <v>154</v>
      </c>
      <c r="S326" s="18">
        <f>--OR(Overview!$B$6="All",E326=Overview!$B$6)*--OR(Overview!$F$6="All",F326=Overview!$F$6)*--OR(Overview!$J$6="All",G326=Overview!$J$6)*--OR(Overview!$N$6="All",H326=Overview!$N$6)</f>
        <v>1</v>
      </c>
      <c r="T326" s="21" t="s">
        <v>22</v>
      </c>
      <c r="U326" s="21" t="s">
        <v>22</v>
      </c>
      <c r="V326" s="21" t="s">
        <v>22</v>
      </c>
      <c r="W326" s="21" t="s">
        <v>22</v>
      </c>
      <c r="X326" s="21" t="s">
        <v>22</v>
      </c>
      <c r="Y326" s="21" t="s">
        <v>22</v>
      </c>
      <c r="Z326" s="21" t="s">
        <v>22</v>
      </c>
      <c r="AA326" s="21" t="s">
        <v>22</v>
      </c>
      <c r="AB326" s="21" t="s">
        <v>22</v>
      </c>
      <c r="AC326" s="21" t="s">
        <v>22</v>
      </c>
      <c r="AD326" s="21" t="s">
        <v>22</v>
      </c>
      <c r="AE326" s="21" t="s">
        <v>22</v>
      </c>
      <c r="AF326" s="21" t="s">
        <v>22</v>
      </c>
      <c r="AG326" s="21" t="s">
        <v>22</v>
      </c>
      <c r="AH326" s="21" t="s">
        <v>22</v>
      </c>
      <c r="AI326" s="21" t="s">
        <v>26</v>
      </c>
      <c r="AJ326" s="21" t="s">
        <v>26</v>
      </c>
      <c r="AK326" s="21" t="s">
        <v>198</v>
      </c>
      <c r="AL326" s="21" t="s">
        <v>22</v>
      </c>
      <c r="AM326" s="21" t="s">
        <v>198</v>
      </c>
      <c r="AN326" s="21" t="s">
        <v>198</v>
      </c>
      <c r="AO326" s="21" t="s">
        <v>83</v>
      </c>
      <c r="AP326" s="21" t="s">
        <v>83</v>
      </c>
      <c r="AQ326" s="21" t="s">
        <v>109</v>
      </c>
      <c r="AR326" s="21" t="s">
        <v>198</v>
      </c>
      <c r="AS326" s="21" t="s">
        <v>83</v>
      </c>
      <c r="AT326" s="21" t="s">
        <v>83</v>
      </c>
      <c r="AU326" s="21" t="s">
        <v>83</v>
      </c>
      <c r="AV326" s="21" t="s">
        <v>109</v>
      </c>
      <c r="AW326" s="21" t="s">
        <v>109</v>
      </c>
      <c r="AX326" s="21" t="s">
        <v>198</v>
      </c>
      <c r="AY326" s="21" t="s">
        <v>83</v>
      </c>
      <c r="AZ326" s="21" t="s">
        <v>83</v>
      </c>
      <c r="BA326" s="17" t="s">
        <v>292</v>
      </c>
      <c r="BB326" s="17" t="s">
        <v>250</v>
      </c>
      <c r="BC326" s="18">
        <f>--ISNUMBER(SEARCH("Radio or television",BA326))</f>
        <v>1</v>
      </c>
      <c r="BD326" s="18">
        <f>--ISNUMBER(SEARCH("Newspapers or print media",BA326))</f>
        <v>0</v>
      </c>
      <c r="BE326" s="18">
        <f>--ISNUMBER(SEARCH("Social media (e.g. Facebook, WhatsApp, YouTube, X/Twitter)",BA326))</f>
        <v>1</v>
      </c>
      <c r="BF326" s="18">
        <f>--ISNUMBER(SEARCH("Family members",BA326))</f>
        <v>0</v>
      </c>
      <c r="BG326" s="18">
        <f>--ISNUMBER(SEARCH("Friends or fellow students",BA326))</f>
        <v>1</v>
      </c>
      <c r="BH326" s="18">
        <f>--ISNUMBER(SEARCH("School coursework or lectures",BA326))</f>
        <v>0</v>
      </c>
      <c r="BI326" s="18">
        <f>--ISNUMBER(SEARCH("NHIMA outreach activities or NHIMA offices",BA326))</f>
        <v>0</v>
      </c>
      <c r="BJ326" s="18">
        <f>--ISNUMBER(SEARCH("Health facility staff",BA326))</f>
        <v>0</v>
      </c>
      <c r="BK326" s="18">
        <f>--ISNUMBER(SEARCH("not received information",BA326))</f>
        <v>0</v>
      </c>
      <c r="BL326" s="18">
        <f>IF(T326="","",--(T326='Codebook'!$F$13))</f>
        <v>1</v>
      </c>
      <c r="BM326" s="18">
        <f>IF(U326="","",--(U326='Codebook'!$F$14))</f>
        <v>0</v>
      </c>
      <c r="BN326" s="18">
        <f>IF(V326="","",--(V326='Codebook'!$F$15))</f>
        <v>0</v>
      </c>
      <c r="BO326" s="18">
        <f>IF(W326="","",--(W326='Codebook'!$F$16))</f>
        <v>1</v>
      </c>
      <c r="BP326" s="18">
        <f>IF(X326="","",--(X326='Codebook'!$F$17))</f>
        <v>1</v>
      </c>
      <c r="BQ326" s="18">
        <f>IF(Y326="","",--(Y326='Codebook'!$F$18))</f>
        <v>0</v>
      </c>
      <c r="BR326" s="18">
        <f>IF(Z326="","",--(Z326='Codebook'!$F$19))</f>
        <v>1</v>
      </c>
      <c r="BS326" s="18">
        <f>IF(AA326="","",--(AA326='Codebook'!$F$20))</f>
        <v>1</v>
      </c>
      <c r="BT326" s="18">
        <f>IF(AB326="","",--(AB326='Codebook'!$F$21))</f>
        <v>0</v>
      </c>
      <c r="BU326" s="18">
        <f>IF(AC326="","",--(AC326='Codebook'!$F$22))</f>
        <v>1</v>
      </c>
      <c r="BV326" s="18">
        <f>IF(AD326="","",--(AD326='Codebook'!$F$23))</f>
        <v>1</v>
      </c>
      <c r="BW326" s="18">
        <f>IF(AE326="","",--(AE326='Codebook'!$F$24))</f>
        <v>1</v>
      </c>
      <c r="BX326" s="18">
        <f>IF(AF326="","",--(AF326='Codebook'!$F$25))</f>
        <v>0</v>
      </c>
      <c r="BY326" s="18">
        <f>IF(AG326="","",--(AG326='Codebook'!$F$26))</f>
        <v>1</v>
      </c>
      <c r="BZ326" s="18">
        <f>IF(AH326="","",--(AH326='Codebook'!$F$27))</f>
        <v>1</v>
      </c>
      <c r="CA326" s="18">
        <f>IF(AI326="","",--(AI326='Codebook'!$F$28))</f>
        <v>1</v>
      </c>
      <c r="CB326" s="18">
        <f>IF(AJ326="","",--(AJ326='Codebook'!$F$29))</f>
        <v>1</v>
      </c>
      <c r="CC326" s="18">
        <f>IF(AK326="","",--(AK326='Codebook'!$F$30))</f>
        <v>0</v>
      </c>
      <c r="CD326" s="18">
        <f>IF(AL326="","",--(AL326='Codebook'!$F$31))</f>
        <v>0</v>
      </c>
      <c r="CE326" s="18">
        <f>IF(AM326="","",--(AM326='Codebook'!$F$32))</f>
        <v>0</v>
      </c>
      <c r="CF326" s="18">
        <f>IF(AN326="","",--(AN326='Codebook'!$F$33))</f>
        <v>0</v>
      </c>
      <c r="CG326" s="18">
        <f>IF(AO326="","",--(AO326='Codebook'!$F$34))</f>
        <v>1</v>
      </c>
      <c r="CH326" s="18">
        <f>IF(AP326="","",--(AP326='Codebook'!$F$35))</f>
        <v>1</v>
      </c>
      <c r="CI326" s="18">
        <f>IF(AQ326="","",--(AQ326='Codebook'!$F$36))</f>
        <v>0</v>
      </c>
      <c r="CJ326" s="18">
        <f>IF(AR326="","",--(AR326='Codebook'!$F$37))</f>
        <v>0</v>
      </c>
      <c r="CK326" s="18">
        <f>IF(AS326="","",--(AS326='Codebook'!$F$38))</f>
        <v>1</v>
      </c>
      <c r="CL326" s="18">
        <f>IF(AT326="","",--(AT326='Codebook'!$F$39))</f>
        <v>1</v>
      </c>
      <c r="CM326" s="18">
        <f>IF(AU326="","",--(AU326='Codebook'!$F$40))</f>
        <v>0</v>
      </c>
      <c r="CN326" s="18">
        <f>IF(AV326="","",--(AV326='Codebook'!$F$41))</f>
        <v>1</v>
      </c>
      <c r="CO326" s="18">
        <f>IF(AW326="","",--(AW326='Codebook'!$F$42))</f>
        <v>1</v>
      </c>
      <c r="CP326" s="18">
        <f>IF(AX326="","",--(AX326='Codebook'!$F$43))</f>
        <v>0</v>
      </c>
      <c r="CQ326" s="18">
        <f>IF(AY326="","",--(AY326='Codebook'!$F$44))</f>
        <v>0</v>
      </c>
      <c r="CR326" s="18">
        <f>IF(AZ326="","",--(AZ326='Codebook'!$F$45))</f>
        <v>0</v>
      </c>
    </row>
    <row r="327" spans="2:96" ht="24" customHeight="1">
      <c r="B327" s="18">
        <v>322</v>
      </c>
      <c r="C327" s="23">
        <v>46293.37418083334</v>
      </c>
      <c r="D327" s="21" t="s">
        <v>275</v>
      </c>
      <c r="E327" s="21" t="s">
        <v>194</v>
      </c>
      <c r="F327" s="21" t="s">
        <v>226</v>
      </c>
      <c r="G327" s="17" t="s">
        <v>215</v>
      </c>
      <c r="H327" s="21" t="s">
        <v>207</v>
      </c>
      <c r="I327" s="18">
        <f>SUM(BL327:BU327)</f>
        <v>5</v>
      </c>
      <c r="J327" s="18">
        <f>IF(COUNT(BV327:CD327)=9,SUM(BV327:CD327),"")</f>
        <v>4</v>
      </c>
      <c r="K327" s="18">
        <f>SUM(BL327:CD327)</f>
        <v>9</v>
      </c>
      <c r="L327" s="18">
        <f>--(K327&gt;='Codebook'!$C$8)</f>
        <v>0</v>
      </c>
      <c r="M327" s="18">
        <f>--(COUNT(BL327:CD327)=19)</f>
        <v>1</v>
      </c>
      <c r="N327" s="18">
        <f>SUM(CE327:CL327)</f>
        <v>7</v>
      </c>
      <c r="O327" s="18">
        <f>SUM(CM327:CR327)</f>
        <v>2</v>
      </c>
      <c r="P327" s="18">
        <f>N327+O327</f>
        <v>9</v>
      </c>
      <c r="Q327" s="21" t="s">
        <v>197</v>
      </c>
      <c r="R327" s="17" t="s">
        <v>154</v>
      </c>
      <c r="S327" s="18">
        <f>--OR(Overview!$B$6="All",E327=Overview!$B$6)*--OR(Overview!$F$6="All",F327=Overview!$F$6)*--OR(Overview!$J$6="All",G327=Overview!$J$6)*--OR(Overview!$N$6="All",H327=Overview!$N$6)</f>
        <v>1</v>
      </c>
      <c r="T327" s="21" t="s">
        <v>22</v>
      </c>
      <c r="U327" s="21" t="s">
        <v>22</v>
      </c>
      <c r="V327" s="21" t="s">
        <v>26</v>
      </c>
      <c r="W327" s="21" t="s">
        <v>198</v>
      </c>
      <c r="X327" s="21" t="s">
        <v>22</v>
      </c>
      <c r="Y327" s="21" t="s">
        <v>22</v>
      </c>
      <c r="Z327" s="21" t="s">
        <v>22</v>
      </c>
      <c r="AA327" s="21" t="s">
        <v>26</v>
      </c>
      <c r="AB327" s="21" t="s">
        <v>22</v>
      </c>
      <c r="AC327" s="21" t="s">
        <v>22</v>
      </c>
      <c r="AD327" s="21" t="s">
        <v>22</v>
      </c>
      <c r="AE327" s="21" t="s">
        <v>22</v>
      </c>
      <c r="AF327" s="21" t="s">
        <v>22</v>
      </c>
      <c r="AG327" s="21" t="s">
        <v>22</v>
      </c>
      <c r="AH327" s="21" t="s">
        <v>26</v>
      </c>
      <c r="AI327" s="21" t="s">
        <v>22</v>
      </c>
      <c r="AJ327" s="21" t="s">
        <v>22</v>
      </c>
      <c r="AK327" s="21" t="s">
        <v>22</v>
      </c>
      <c r="AL327" s="21" t="s">
        <v>22</v>
      </c>
      <c r="AM327" s="21" t="s">
        <v>83</v>
      </c>
      <c r="AN327" s="21" t="s">
        <v>83</v>
      </c>
      <c r="AO327" s="21" t="s">
        <v>83</v>
      </c>
      <c r="AP327" s="21" t="s">
        <v>83</v>
      </c>
      <c r="AQ327" s="21" t="s">
        <v>198</v>
      </c>
      <c r="AR327" s="21" t="s">
        <v>83</v>
      </c>
      <c r="AS327" s="21" t="s">
        <v>83</v>
      </c>
      <c r="AT327" s="21" t="s">
        <v>83</v>
      </c>
      <c r="AU327" s="21" t="s">
        <v>83</v>
      </c>
      <c r="AV327" s="21" t="s">
        <v>109</v>
      </c>
      <c r="AW327" s="21" t="s">
        <v>109</v>
      </c>
      <c r="AX327" s="21" t="s">
        <v>83</v>
      </c>
      <c r="AY327" s="21" t="s">
        <v>198</v>
      </c>
      <c r="AZ327" s="21" t="s">
        <v>83</v>
      </c>
      <c r="BA327" s="17" t="s">
        <v>246</v>
      </c>
      <c r="BB327" s="17" t="s">
        <v>250</v>
      </c>
      <c r="BC327" s="18">
        <f>--ISNUMBER(SEARCH("Radio or television",BA327))</f>
        <v>1</v>
      </c>
      <c r="BD327" s="18">
        <f>--ISNUMBER(SEARCH("Newspapers or print media",BA327))</f>
        <v>0</v>
      </c>
      <c r="BE327" s="18">
        <f>--ISNUMBER(SEARCH("Social media (e.g. Facebook, WhatsApp, YouTube, X/Twitter)",BA327))</f>
        <v>1</v>
      </c>
      <c r="BF327" s="18">
        <f>--ISNUMBER(SEARCH("Family members",BA327))</f>
        <v>0</v>
      </c>
      <c r="BG327" s="18">
        <f>--ISNUMBER(SEARCH("Friends or fellow students",BA327))</f>
        <v>0</v>
      </c>
      <c r="BH327" s="18">
        <f>--ISNUMBER(SEARCH("School coursework or lectures",BA327))</f>
        <v>0</v>
      </c>
      <c r="BI327" s="18">
        <f>--ISNUMBER(SEARCH("NHIMA outreach activities or NHIMA offices",BA327))</f>
        <v>0</v>
      </c>
      <c r="BJ327" s="18">
        <f>--ISNUMBER(SEARCH("Health facility staff",BA327))</f>
        <v>0</v>
      </c>
      <c r="BK327" s="18">
        <f>--ISNUMBER(SEARCH("not received information",BA327))</f>
        <v>0</v>
      </c>
      <c r="BL327" s="18">
        <f>IF(T327="","",--(T327='Codebook'!$F$13))</f>
        <v>1</v>
      </c>
      <c r="BM327" s="18">
        <f>IF(U327="","",--(U327='Codebook'!$F$14))</f>
        <v>0</v>
      </c>
      <c r="BN327" s="18">
        <f>IF(V327="","",--(V327='Codebook'!$F$15))</f>
        <v>1</v>
      </c>
      <c r="BO327" s="18">
        <f>IF(W327="","",--(W327='Codebook'!$F$16))</f>
        <v>0</v>
      </c>
      <c r="BP327" s="18">
        <f>IF(X327="","",--(X327='Codebook'!$F$17))</f>
        <v>1</v>
      </c>
      <c r="BQ327" s="18">
        <f>IF(Y327="","",--(Y327='Codebook'!$F$18))</f>
        <v>0</v>
      </c>
      <c r="BR327" s="18">
        <f>IF(Z327="","",--(Z327='Codebook'!$F$19))</f>
        <v>1</v>
      </c>
      <c r="BS327" s="18">
        <f>IF(AA327="","",--(AA327='Codebook'!$F$20))</f>
        <v>0</v>
      </c>
      <c r="BT327" s="18">
        <f>IF(AB327="","",--(AB327='Codebook'!$F$21))</f>
        <v>0</v>
      </c>
      <c r="BU327" s="18">
        <f>IF(AC327="","",--(AC327='Codebook'!$F$22))</f>
        <v>1</v>
      </c>
      <c r="BV327" s="18">
        <f>IF(AD327="","",--(AD327='Codebook'!$F$23))</f>
        <v>1</v>
      </c>
      <c r="BW327" s="18">
        <f>IF(AE327="","",--(AE327='Codebook'!$F$24))</f>
        <v>1</v>
      </c>
      <c r="BX327" s="18">
        <f>IF(AF327="","",--(AF327='Codebook'!$F$25))</f>
        <v>0</v>
      </c>
      <c r="BY327" s="18">
        <f>IF(AG327="","",--(AG327='Codebook'!$F$26))</f>
        <v>1</v>
      </c>
      <c r="BZ327" s="18">
        <f>IF(AH327="","",--(AH327='Codebook'!$F$27))</f>
        <v>0</v>
      </c>
      <c r="CA327" s="18">
        <f>IF(AI327="","",--(AI327='Codebook'!$F$28))</f>
        <v>0</v>
      </c>
      <c r="CB327" s="18">
        <f>IF(AJ327="","",--(AJ327='Codebook'!$F$29))</f>
        <v>0</v>
      </c>
      <c r="CC327" s="18">
        <f>IF(AK327="","",--(AK327='Codebook'!$F$30))</f>
        <v>1</v>
      </c>
      <c r="CD327" s="18">
        <f>IF(AL327="","",--(AL327='Codebook'!$F$31))</f>
        <v>0</v>
      </c>
      <c r="CE327" s="18">
        <f>IF(AM327="","",--(AM327='Codebook'!$F$32))</f>
        <v>1</v>
      </c>
      <c r="CF327" s="18">
        <f>IF(AN327="","",--(AN327='Codebook'!$F$33))</f>
        <v>1</v>
      </c>
      <c r="CG327" s="18">
        <f>IF(AO327="","",--(AO327='Codebook'!$F$34))</f>
        <v>1</v>
      </c>
      <c r="CH327" s="18">
        <f>IF(AP327="","",--(AP327='Codebook'!$F$35))</f>
        <v>1</v>
      </c>
      <c r="CI327" s="18">
        <f>IF(AQ327="","",--(AQ327='Codebook'!$F$36))</f>
        <v>0</v>
      </c>
      <c r="CJ327" s="18">
        <f>IF(AR327="","",--(AR327='Codebook'!$F$37))</f>
        <v>1</v>
      </c>
      <c r="CK327" s="18">
        <f>IF(AS327="","",--(AS327='Codebook'!$F$38))</f>
        <v>1</v>
      </c>
      <c r="CL327" s="18">
        <f>IF(AT327="","",--(AT327='Codebook'!$F$39))</f>
        <v>1</v>
      </c>
      <c r="CM327" s="18">
        <f>IF(AU327="","",--(AU327='Codebook'!$F$40))</f>
        <v>0</v>
      </c>
      <c r="CN327" s="18">
        <f>IF(AV327="","",--(AV327='Codebook'!$F$41))</f>
        <v>1</v>
      </c>
      <c r="CO327" s="18">
        <f>IF(AW327="","",--(AW327='Codebook'!$F$42))</f>
        <v>1</v>
      </c>
      <c r="CP327" s="18">
        <f>IF(AX327="","",--(AX327='Codebook'!$F$43))</f>
        <v>0</v>
      </c>
      <c r="CQ327" s="18">
        <f>IF(AY327="","",--(AY327='Codebook'!$F$44))</f>
        <v>0</v>
      </c>
      <c r="CR327" s="18">
        <f>IF(AZ327="","",--(AZ327='Codebook'!$F$45))</f>
        <v>0</v>
      </c>
    </row>
    <row r="328" spans="2:96" ht="24" customHeight="1">
      <c r="B328" s="18">
        <v>323</v>
      </c>
      <c r="C328" s="23">
        <v>46293.37482381945</v>
      </c>
      <c r="D328" s="21" t="s">
        <v>268</v>
      </c>
      <c r="E328" s="21" t="s">
        <v>206</v>
      </c>
      <c r="F328" s="21" t="s">
        <v>201</v>
      </c>
      <c r="G328" s="17" t="s">
        <v>215</v>
      </c>
      <c r="H328" s="21" t="s">
        <v>197</v>
      </c>
      <c r="I328" s="18">
        <f>SUM(BL328:BU328)</f>
        <v>5</v>
      </c>
      <c r="J328" s="18">
        <f>IF(COUNT(BV328:CD328)=9,SUM(BV328:CD328),"")</f>
        <v>4</v>
      </c>
      <c r="K328" s="18">
        <f>SUM(BL328:CD328)</f>
        <v>9</v>
      </c>
      <c r="L328" s="18">
        <f>--(K328&gt;='Codebook'!$C$8)</f>
        <v>0</v>
      </c>
      <c r="M328" s="18">
        <f>--(COUNT(BL328:CD328)=19)</f>
        <v>1</v>
      </c>
      <c r="N328" s="18">
        <f>SUM(CE328:CL328)</f>
        <v>5</v>
      </c>
      <c r="O328" s="18">
        <f>SUM(CM328:CR328)</f>
        <v>1</v>
      </c>
      <c r="P328" s="18">
        <f>N328+O328</f>
        <v>6</v>
      </c>
      <c r="Q328" s="21" t="s">
        <v>197</v>
      </c>
      <c r="R328" s="17" t="s">
        <v>154</v>
      </c>
      <c r="S328" s="18">
        <f>--OR(Overview!$B$6="All",E328=Overview!$B$6)*--OR(Overview!$F$6="All",F328=Overview!$F$6)*--OR(Overview!$J$6="All",G328=Overview!$J$6)*--OR(Overview!$N$6="All",H328=Overview!$N$6)</f>
        <v>1</v>
      </c>
      <c r="T328" s="21" t="s">
        <v>22</v>
      </c>
      <c r="U328" s="21" t="s">
        <v>22</v>
      </c>
      <c r="V328" s="21" t="s">
        <v>22</v>
      </c>
      <c r="W328" s="21" t="s">
        <v>26</v>
      </c>
      <c r="X328" s="21" t="s">
        <v>22</v>
      </c>
      <c r="Y328" s="21" t="s">
        <v>22</v>
      </c>
      <c r="Z328" s="21" t="s">
        <v>22</v>
      </c>
      <c r="AA328" s="21" t="s">
        <v>22</v>
      </c>
      <c r="AB328" s="21" t="s">
        <v>22</v>
      </c>
      <c r="AC328" s="21" t="s">
        <v>22</v>
      </c>
      <c r="AD328" s="21" t="s">
        <v>22</v>
      </c>
      <c r="AE328" s="21" t="s">
        <v>26</v>
      </c>
      <c r="AF328" s="21" t="s">
        <v>22</v>
      </c>
      <c r="AG328" s="21" t="s">
        <v>22</v>
      </c>
      <c r="AH328" s="21" t="s">
        <v>22</v>
      </c>
      <c r="AI328" s="21" t="s">
        <v>22</v>
      </c>
      <c r="AJ328" s="21" t="s">
        <v>22</v>
      </c>
      <c r="AK328" s="21" t="s">
        <v>22</v>
      </c>
      <c r="AL328" s="21" t="s">
        <v>22</v>
      </c>
      <c r="AM328" s="21" t="s">
        <v>83</v>
      </c>
      <c r="AN328" s="21" t="s">
        <v>83</v>
      </c>
      <c r="AO328" s="21" t="s">
        <v>83</v>
      </c>
      <c r="AP328" s="21" t="s">
        <v>83</v>
      </c>
      <c r="AQ328" s="21" t="s">
        <v>83</v>
      </c>
      <c r="AR328" s="21" t="s">
        <v>109</v>
      </c>
      <c r="AS328" s="21" t="s">
        <v>109</v>
      </c>
      <c r="AT328" s="21" t="s">
        <v>109</v>
      </c>
      <c r="AU328" s="21" t="s">
        <v>109</v>
      </c>
      <c r="AV328" s="21" t="s">
        <v>83</v>
      </c>
      <c r="AW328" s="21" t="s">
        <v>83</v>
      </c>
      <c r="AX328" s="21" t="s">
        <v>83</v>
      </c>
      <c r="AY328" s="21" t="s">
        <v>83</v>
      </c>
      <c r="AZ328" s="21" t="s">
        <v>83</v>
      </c>
      <c r="BA328" s="17" t="s">
        <v>246</v>
      </c>
      <c r="BB328" s="17" t="s">
        <v>250</v>
      </c>
      <c r="BC328" s="18">
        <f>--ISNUMBER(SEARCH("Radio or television",BA328))</f>
        <v>1</v>
      </c>
      <c r="BD328" s="18">
        <f>--ISNUMBER(SEARCH("Newspapers or print media",BA328))</f>
        <v>0</v>
      </c>
      <c r="BE328" s="18">
        <f>--ISNUMBER(SEARCH("Social media (e.g. Facebook, WhatsApp, YouTube, X/Twitter)",BA328))</f>
        <v>1</v>
      </c>
      <c r="BF328" s="18">
        <f>--ISNUMBER(SEARCH("Family members",BA328))</f>
        <v>0</v>
      </c>
      <c r="BG328" s="18">
        <f>--ISNUMBER(SEARCH("Friends or fellow students",BA328))</f>
        <v>0</v>
      </c>
      <c r="BH328" s="18">
        <f>--ISNUMBER(SEARCH("School coursework or lectures",BA328))</f>
        <v>0</v>
      </c>
      <c r="BI328" s="18">
        <f>--ISNUMBER(SEARCH("NHIMA outreach activities or NHIMA offices",BA328))</f>
        <v>0</v>
      </c>
      <c r="BJ328" s="18">
        <f>--ISNUMBER(SEARCH("Health facility staff",BA328))</f>
        <v>0</v>
      </c>
      <c r="BK328" s="18">
        <f>--ISNUMBER(SEARCH("not received information",BA328))</f>
        <v>0</v>
      </c>
      <c r="BL328" s="18">
        <f>IF(T328="","",--(T328='Codebook'!$F$13))</f>
        <v>1</v>
      </c>
      <c r="BM328" s="18">
        <f>IF(U328="","",--(U328='Codebook'!$F$14))</f>
        <v>0</v>
      </c>
      <c r="BN328" s="18">
        <f>IF(V328="","",--(V328='Codebook'!$F$15))</f>
        <v>0</v>
      </c>
      <c r="BO328" s="18">
        <f>IF(W328="","",--(W328='Codebook'!$F$16))</f>
        <v>0</v>
      </c>
      <c r="BP328" s="18">
        <f>IF(X328="","",--(X328='Codebook'!$F$17))</f>
        <v>1</v>
      </c>
      <c r="BQ328" s="18">
        <f>IF(Y328="","",--(Y328='Codebook'!$F$18))</f>
        <v>0</v>
      </c>
      <c r="BR328" s="18">
        <f>IF(Z328="","",--(Z328='Codebook'!$F$19))</f>
        <v>1</v>
      </c>
      <c r="BS328" s="18">
        <f>IF(AA328="","",--(AA328='Codebook'!$F$20))</f>
        <v>1</v>
      </c>
      <c r="BT328" s="18">
        <f>IF(AB328="","",--(AB328='Codebook'!$F$21))</f>
        <v>0</v>
      </c>
      <c r="BU328" s="18">
        <f>IF(AC328="","",--(AC328='Codebook'!$F$22))</f>
        <v>1</v>
      </c>
      <c r="BV328" s="18">
        <f>IF(AD328="","",--(AD328='Codebook'!$F$23))</f>
        <v>1</v>
      </c>
      <c r="BW328" s="18">
        <f>IF(AE328="","",--(AE328='Codebook'!$F$24))</f>
        <v>0</v>
      </c>
      <c r="BX328" s="18">
        <f>IF(AF328="","",--(AF328='Codebook'!$F$25))</f>
        <v>0</v>
      </c>
      <c r="BY328" s="18">
        <f>IF(AG328="","",--(AG328='Codebook'!$F$26))</f>
        <v>1</v>
      </c>
      <c r="BZ328" s="18">
        <f>IF(AH328="","",--(AH328='Codebook'!$F$27))</f>
        <v>1</v>
      </c>
      <c r="CA328" s="18">
        <f>IF(AI328="","",--(AI328='Codebook'!$F$28))</f>
        <v>0</v>
      </c>
      <c r="CB328" s="18">
        <f>IF(AJ328="","",--(AJ328='Codebook'!$F$29))</f>
        <v>0</v>
      </c>
      <c r="CC328" s="18">
        <f>IF(AK328="","",--(AK328='Codebook'!$F$30))</f>
        <v>1</v>
      </c>
      <c r="CD328" s="18">
        <f>IF(AL328="","",--(AL328='Codebook'!$F$31))</f>
        <v>0</v>
      </c>
      <c r="CE328" s="18">
        <f>IF(AM328="","",--(AM328='Codebook'!$F$32))</f>
        <v>1</v>
      </c>
      <c r="CF328" s="18">
        <f>IF(AN328="","",--(AN328='Codebook'!$F$33))</f>
        <v>1</v>
      </c>
      <c r="CG328" s="18">
        <f>IF(AO328="","",--(AO328='Codebook'!$F$34))</f>
        <v>1</v>
      </c>
      <c r="CH328" s="18">
        <f>IF(AP328="","",--(AP328='Codebook'!$F$35))</f>
        <v>1</v>
      </c>
      <c r="CI328" s="18">
        <f>IF(AQ328="","",--(AQ328='Codebook'!$F$36))</f>
        <v>1</v>
      </c>
      <c r="CJ328" s="18">
        <f>IF(AR328="","",--(AR328='Codebook'!$F$37))</f>
        <v>0</v>
      </c>
      <c r="CK328" s="18">
        <f>IF(AS328="","",--(AS328='Codebook'!$F$38))</f>
        <v>0</v>
      </c>
      <c r="CL328" s="18">
        <f>IF(AT328="","",--(AT328='Codebook'!$F$39))</f>
        <v>0</v>
      </c>
      <c r="CM328" s="18">
        <f>IF(AU328="","",--(AU328='Codebook'!$F$40))</f>
        <v>1</v>
      </c>
      <c r="CN328" s="18">
        <f>IF(AV328="","",--(AV328='Codebook'!$F$41))</f>
        <v>0</v>
      </c>
      <c r="CO328" s="18">
        <f>IF(AW328="","",--(AW328='Codebook'!$F$42))</f>
        <v>0</v>
      </c>
      <c r="CP328" s="18">
        <f>IF(AX328="","",--(AX328='Codebook'!$F$43))</f>
        <v>0</v>
      </c>
      <c r="CQ328" s="18">
        <f>IF(AY328="","",--(AY328='Codebook'!$F$44))</f>
        <v>0</v>
      </c>
      <c r="CR328" s="18">
        <f>IF(AZ328="","",--(AZ328='Codebook'!$F$45))</f>
        <v>0</v>
      </c>
    </row>
    <row r="329" spans="2:96" ht="24" customHeight="1">
      <c r="B329" s="18">
        <v>324</v>
      </c>
      <c r="C329" s="23">
        <v>46293.375455</v>
      </c>
      <c r="D329" s="21" t="s">
        <v>268</v>
      </c>
      <c r="E329" s="21" t="s">
        <v>194</v>
      </c>
      <c r="F329" s="21" t="s">
        <v>212</v>
      </c>
      <c r="G329" s="17" t="s">
        <v>202</v>
      </c>
      <c r="H329" s="21" t="s">
        <v>207</v>
      </c>
      <c r="I329" s="18">
        <f>SUM(BL329:BU329)</f>
        <v>6</v>
      </c>
      <c r="J329" s="18">
        <f>IF(COUNT(BV329:CD329)=9,SUM(BV329:CD329),"")</f>
        <v>5</v>
      </c>
      <c r="K329" s="18">
        <f>SUM(BL329:CD329)</f>
        <v>11</v>
      </c>
      <c r="L329" s="18">
        <f>--(K329&gt;='Codebook'!$C$8)</f>
        <v>0</v>
      </c>
      <c r="M329" s="18">
        <f>--(COUNT(BL329:CD329)=19)</f>
        <v>1</v>
      </c>
      <c r="N329" s="18">
        <f>SUM(CE329:CL329)</f>
        <v>6</v>
      </c>
      <c r="O329" s="18">
        <f>SUM(CM329:CR329)</f>
        <v>2</v>
      </c>
      <c r="P329" s="18">
        <f>N329+O329</f>
        <v>8</v>
      </c>
      <c r="Q329" s="21" t="s">
        <v>198</v>
      </c>
      <c r="R329" s="17" t="s">
        <v>154</v>
      </c>
      <c r="S329" s="18">
        <f>--OR(Overview!$B$6="All",E329=Overview!$B$6)*--OR(Overview!$F$6="All",F329=Overview!$F$6)*--OR(Overview!$J$6="All",G329=Overview!$J$6)*--OR(Overview!$N$6="All",H329=Overview!$N$6)</f>
        <v>1</v>
      </c>
      <c r="T329" s="21" t="s">
        <v>22</v>
      </c>
      <c r="U329" s="21" t="s">
        <v>22</v>
      </c>
      <c r="V329" s="21" t="s">
        <v>22</v>
      </c>
      <c r="W329" s="21" t="s">
        <v>22</v>
      </c>
      <c r="X329" s="21" t="s">
        <v>22</v>
      </c>
      <c r="Y329" s="21" t="s">
        <v>22</v>
      </c>
      <c r="Z329" s="21" t="s">
        <v>22</v>
      </c>
      <c r="AA329" s="21" t="s">
        <v>22</v>
      </c>
      <c r="AB329" s="21" t="s">
        <v>22</v>
      </c>
      <c r="AC329" s="21" t="s">
        <v>22</v>
      </c>
      <c r="AD329" s="21" t="s">
        <v>22</v>
      </c>
      <c r="AE329" s="21" t="s">
        <v>22</v>
      </c>
      <c r="AF329" s="21" t="s">
        <v>22</v>
      </c>
      <c r="AG329" s="21" t="s">
        <v>22</v>
      </c>
      <c r="AH329" s="21" t="s">
        <v>22</v>
      </c>
      <c r="AI329" s="21" t="s">
        <v>22</v>
      </c>
      <c r="AJ329" s="21" t="s">
        <v>22</v>
      </c>
      <c r="AK329" s="21" t="s">
        <v>22</v>
      </c>
      <c r="AL329" s="21" t="s">
        <v>22</v>
      </c>
      <c r="AM329" s="21" t="s">
        <v>83</v>
      </c>
      <c r="AN329" s="21" t="s">
        <v>83</v>
      </c>
      <c r="AO329" s="21" t="s">
        <v>109</v>
      </c>
      <c r="AP329" s="21" t="s">
        <v>83</v>
      </c>
      <c r="AQ329" s="21" t="s">
        <v>109</v>
      </c>
      <c r="AR329" s="21" t="s">
        <v>83</v>
      </c>
      <c r="AS329" s="21" t="s">
        <v>83</v>
      </c>
      <c r="AT329" s="21" t="s">
        <v>83</v>
      </c>
      <c r="AU329" s="21" t="s">
        <v>109</v>
      </c>
      <c r="AV329" s="21" t="s">
        <v>198</v>
      </c>
      <c r="AW329" s="21" t="s">
        <v>198</v>
      </c>
      <c r="AX329" s="21" t="s">
        <v>83</v>
      </c>
      <c r="AY329" s="21" t="s">
        <v>83</v>
      </c>
      <c r="AZ329" s="21" t="s">
        <v>109</v>
      </c>
      <c r="BA329" s="17" t="s">
        <v>333</v>
      </c>
      <c r="BB329" s="17" t="s">
        <v>250</v>
      </c>
      <c r="BC329" s="18">
        <f>--ISNUMBER(SEARCH("Radio or television",BA329))</f>
        <v>1</v>
      </c>
      <c r="BD329" s="18">
        <f>--ISNUMBER(SEARCH("Newspapers or print media",BA329))</f>
        <v>0</v>
      </c>
      <c r="BE329" s="18">
        <f>--ISNUMBER(SEARCH("Social media (e.g. Facebook, WhatsApp, YouTube, X/Twitter)",BA329))</f>
        <v>1</v>
      </c>
      <c r="BF329" s="18">
        <f>--ISNUMBER(SEARCH("Family members",BA329))</f>
        <v>1</v>
      </c>
      <c r="BG329" s="18">
        <f>--ISNUMBER(SEARCH("Friends or fellow students",BA329))</f>
        <v>0</v>
      </c>
      <c r="BH329" s="18">
        <f>--ISNUMBER(SEARCH("School coursework or lectures",BA329))</f>
        <v>1</v>
      </c>
      <c r="BI329" s="18">
        <f>--ISNUMBER(SEARCH("NHIMA outreach activities or NHIMA offices",BA329))</f>
        <v>0</v>
      </c>
      <c r="BJ329" s="18">
        <f>--ISNUMBER(SEARCH("Health facility staff",BA329))</f>
        <v>0</v>
      </c>
      <c r="BK329" s="18">
        <f>--ISNUMBER(SEARCH("not received information",BA329))</f>
        <v>0</v>
      </c>
      <c r="BL329" s="18">
        <f>IF(T329="","",--(T329='Codebook'!$F$13))</f>
        <v>1</v>
      </c>
      <c r="BM329" s="18">
        <f>IF(U329="","",--(U329='Codebook'!$F$14))</f>
        <v>0</v>
      </c>
      <c r="BN329" s="18">
        <f>IF(V329="","",--(V329='Codebook'!$F$15))</f>
        <v>0</v>
      </c>
      <c r="BO329" s="18">
        <f>IF(W329="","",--(W329='Codebook'!$F$16))</f>
        <v>1</v>
      </c>
      <c r="BP329" s="18">
        <f>IF(X329="","",--(X329='Codebook'!$F$17))</f>
        <v>1</v>
      </c>
      <c r="BQ329" s="18">
        <f>IF(Y329="","",--(Y329='Codebook'!$F$18))</f>
        <v>0</v>
      </c>
      <c r="BR329" s="18">
        <f>IF(Z329="","",--(Z329='Codebook'!$F$19))</f>
        <v>1</v>
      </c>
      <c r="BS329" s="18">
        <f>IF(AA329="","",--(AA329='Codebook'!$F$20))</f>
        <v>1</v>
      </c>
      <c r="BT329" s="18">
        <f>IF(AB329="","",--(AB329='Codebook'!$F$21))</f>
        <v>0</v>
      </c>
      <c r="BU329" s="18">
        <f>IF(AC329="","",--(AC329='Codebook'!$F$22))</f>
        <v>1</v>
      </c>
      <c r="BV329" s="18">
        <f>IF(AD329="","",--(AD329='Codebook'!$F$23))</f>
        <v>1</v>
      </c>
      <c r="BW329" s="18">
        <f>IF(AE329="","",--(AE329='Codebook'!$F$24))</f>
        <v>1</v>
      </c>
      <c r="BX329" s="18">
        <f>IF(AF329="","",--(AF329='Codebook'!$F$25))</f>
        <v>0</v>
      </c>
      <c r="BY329" s="18">
        <f>IF(AG329="","",--(AG329='Codebook'!$F$26))</f>
        <v>1</v>
      </c>
      <c r="BZ329" s="18">
        <f>IF(AH329="","",--(AH329='Codebook'!$F$27))</f>
        <v>1</v>
      </c>
      <c r="CA329" s="18">
        <f>IF(AI329="","",--(AI329='Codebook'!$F$28))</f>
        <v>0</v>
      </c>
      <c r="CB329" s="18">
        <f>IF(AJ329="","",--(AJ329='Codebook'!$F$29))</f>
        <v>0</v>
      </c>
      <c r="CC329" s="18">
        <f>IF(AK329="","",--(AK329='Codebook'!$F$30))</f>
        <v>1</v>
      </c>
      <c r="CD329" s="18">
        <f>IF(AL329="","",--(AL329='Codebook'!$F$31))</f>
        <v>0</v>
      </c>
      <c r="CE329" s="18">
        <f>IF(AM329="","",--(AM329='Codebook'!$F$32))</f>
        <v>1</v>
      </c>
      <c r="CF329" s="18">
        <f>IF(AN329="","",--(AN329='Codebook'!$F$33))</f>
        <v>1</v>
      </c>
      <c r="CG329" s="18">
        <f>IF(AO329="","",--(AO329='Codebook'!$F$34))</f>
        <v>0</v>
      </c>
      <c r="CH329" s="18">
        <f>IF(AP329="","",--(AP329='Codebook'!$F$35))</f>
        <v>1</v>
      </c>
      <c r="CI329" s="18">
        <f>IF(AQ329="","",--(AQ329='Codebook'!$F$36))</f>
        <v>0</v>
      </c>
      <c r="CJ329" s="18">
        <f>IF(AR329="","",--(AR329='Codebook'!$F$37))</f>
        <v>1</v>
      </c>
      <c r="CK329" s="18">
        <f>IF(AS329="","",--(AS329='Codebook'!$F$38))</f>
        <v>1</v>
      </c>
      <c r="CL329" s="18">
        <f>IF(AT329="","",--(AT329='Codebook'!$F$39))</f>
        <v>1</v>
      </c>
      <c r="CM329" s="18">
        <f>IF(AU329="","",--(AU329='Codebook'!$F$40))</f>
        <v>1</v>
      </c>
      <c r="CN329" s="18">
        <f>IF(AV329="","",--(AV329='Codebook'!$F$41))</f>
        <v>0</v>
      </c>
      <c r="CO329" s="18">
        <f>IF(AW329="","",--(AW329='Codebook'!$F$42))</f>
        <v>0</v>
      </c>
      <c r="CP329" s="18">
        <f>IF(AX329="","",--(AX329='Codebook'!$F$43))</f>
        <v>0</v>
      </c>
      <c r="CQ329" s="18">
        <f>IF(AY329="","",--(AY329='Codebook'!$F$44))</f>
        <v>0</v>
      </c>
      <c r="CR329" s="18">
        <f>IF(AZ329="","",--(AZ329='Codebook'!$F$45))</f>
        <v>1</v>
      </c>
    </row>
    <row r="330" spans="2:96" ht="24" customHeight="1">
      <c r="B330" s="18">
        <v>325</v>
      </c>
      <c r="C330" s="23">
        <v>46293.70585379629</v>
      </c>
      <c r="D330" s="21" t="s">
        <v>275</v>
      </c>
      <c r="E330" s="21" t="s">
        <v>206</v>
      </c>
      <c r="F330" s="21" t="s">
        <v>212</v>
      </c>
      <c r="G330" s="17" t="s">
        <v>202</v>
      </c>
      <c r="H330" s="21" t="s">
        <v>207</v>
      </c>
      <c r="I330" s="18">
        <f>SUM(BL330:BU330)</f>
        <v>5</v>
      </c>
      <c r="J330" s="18">
        <f>IF(COUNT(BV330:CD330)=9,SUM(BV330:CD330),"")</f>
        <v>4</v>
      </c>
      <c r="K330" s="18">
        <f>SUM(BL330:CD330)</f>
        <v>9</v>
      </c>
      <c r="L330" s="18">
        <f>--(K330&gt;='Codebook'!$C$8)</f>
        <v>0</v>
      </c>
      <c r="M330" s="18">
        <f>--(COUNT(BL330:CD330)=19)</f>
        <v>1</v>
      </c>
      <c r="N330" s="18">
        <f>SUM(CE330:CL330)</f>
        <v>7</v>
      </c>
      <c r="O330" s="18">
        <f>SUM(CM330:CR330)</f>
        <v>0</v>
      </c>
      <c r="P330" s="18">
        <f>N330+O330</f>
        <v>7</v>
      </c>
      <c r="Q330" s="21" t="s">
        <v>198</v>
      </c>
      <c r="R330" s="17" t="s">
        <v>154</v>
      </c>
      <c r="S330" s="18">
        <f>--OR(Overview!$B$6="All",E330=Overview!$B$6)*--OR(Overview!$F$6="All",F330=Overview!$F$6)*--OR(Overview!$J$6="All",G330=Overview!$J$6)*--OR(Overview!$N$6="All",H330=Overview!$N$6)</f>
        <v>1</v>
      </c>
      <c r="T330" s="21" t="s">
        <v>22</v>
      </c>
      <c r="U330" s="21" t="s">
        <v>22</v>
      </c>
      <c r="V330" s="21" t="s">
        <v>198</v>
      </c>
      <c r="W330" s="21" t="s">
        <v>22</v>
      </c>
      <c r="X330" s="21" t="s">
        <v>198</v>
      </c>
      <c r="Y330" s="21" t="s">
        <v>22</v>
      </c>
      <c r="Z330" s="21" t="s">
        <v>22</v>
      </c>
      <c r="AA330" s="21" t="s">
        <v>22</v>
      </c>
      <c r="AB330" s="21" t="s">
        <v>22</v>
      </c>
      <c r="AC330" s="21" t="s">
        <v>22</v>
      </c>
      <c r="AD330" s="21" t="s">
        <v>22</v>
      </c>
      <c r="AE330" s="21" t="s">
        <v>198</v>
      </c>
      <c r="AF330" s="21" t="s">
        <v>22</v>
      </c>
      <c r="AG330" s="21" t="s">
        <v>22</v>
      </c>
      <c r="AH330" s="21" t="s">
        <v>22</v>
      </c>
      <c r="AI330" s="21" t="s">
        <v>22</v>
      </c>
      <c r="AJ330" s="21" t="s">
        <v>22</v>
      </c>
      <c r="AK330" s="21" t="s">
        <v>22</v>
      </c>
      <c r="AL330" s="21" t="s">
        <v>22</v>
      </c>
      <c r="AM330" s="21" t="s">
        <v>83</v>
      </c>
      <c r="AN330" s="21" t="s">
        <v>83</v>
      </c>
      <c r="AO330" s="21" t="s">
        <v>109</v>
      </c>
      <c r="AP330" s="21" t="s">
        <v>83</v>
      </c>
      <c r="AQ330" s="21" t="s">
        <v>83</v>
      </c>
      <c r="AR330" s="21" t="s">
        <v>83</v>
      </c>
      <c r="AS330" s="21" t="s">
        <v>83</v>
      </c>
      <c r="AT330" s="21" t="s">
        <v>83</v>
      </c>
      <c r="AU330" s="21" t="s">
        <v>83</v>
      </c>
      <c r="AV330" s="21" t="s">
        <v>83</v>
      </c>
      <c r="AW330" s="21" t="s">
        <v>198</v>
      </c>
      <c r="AX330" s="21" t="s">
        <v>83</v>
      </c>
      <c r="AY330" s="21" t="s">
        <v>198</v>
      </c>
      <c r="AZ330" s="21" t="s">
        <v>83</v>
      </c>
      <c r="BA330" s="17" t="s">
        <v>246</v>
      </c>
      <c r="BB330" s="17" t="s">
        <v>250</v>
      </c>
      <c r="BC330" s="18">
        <f>--ISNUMBER(SEARCH("Radio or television",BA330))</f>
        <v>1</v>
      </c>
      <c r="BD330" s="18">
        <f>--ISNUMBER(SEARCH("Newspapers or print media",BA330))</f>
        <v>0</v>
      </c>
      <c r="BE330" s="18">
        <f>--ISNUMBER(SEARCH("Social media (e.g. Facebook, WhatsApp, YouTube, X/Twitter)",BA330))</f>
        <v>1</v>
      </c>
      <c r="BF330" s="18">
        <f>--ISNUMBER(SEARCH("Family members",BA330))</f>
        <v>0</v>
      </c>
      <c r="BG330" s="18">
        <f>--ISNUMBER(SEARCH("Friends or fellow students",BA330))</f>
        <v>0</v>
      </c>
      <c r="BH330" s="18">
        <f>--ISNUMBER(SEARCH("School coursework or lectures",BA330))</f>
        <v>0</v>
      </c>
      <c r="BI330" s="18">
        <f>--ISNUMBER(SEARCH("NHIMA outreach activities or NHIMA offices",BA330))</f>
        <v>0</v>
      </c>
      <c r="BJ330" s="18">
        <f>--ISNUMBER(SEARCH("Health facility staff",BA330))</f>
        <v>0</v>
      </c>
      <c r="BK330" s="18">
        <f>--ISNUMBER(SEARCH("not received information",BA330))</f>
        <v>0</v>
      </c>
      <c r="BL330" s="18">
        <f>IF(T330="","",--(T330='Codebook'!$F$13))</f>
        <v>1</v>
      </c>
      <c r="BM330" s="18">
        <f>IF(U330="","",--(U330='Codebook'!$F$14))</f>
        <v>0</v>
      </c>
      <c r="BN330" s="18">
        <f>IF(V330="","",--(V330='Codebook'!$F$15))</f>
        <v>0</v>
      </c>
      <c r="BO330" s="18">
        <f>IF(W330="","",--(W330='Codebook'!$F$16))</f>
        <v>1</v>
      </c>
      <c r="BP330" s="18">
        <f>IF(X330="","",--(X330='Codebook'!$F$17))</f>
        <v>0</v>
      </c>
      <c r="BQ330" s="18">
        <f>IF(Y330="","",--(Y330='Codebook'!$F$18))</f>
        <v>0</v>
      </c>
      <c r="BR330" s="18">
        <f>IF(Z330="","",--(Z330='Codebook'!$F$19))</f>
        <v>1</v>
      </c>
      <c r="BS330" s="18">
        <f>IF(AA330="","",--(AA330='Codebook'!$F$20))</f>
        <v>1</v>
      </c>
      <c r="BT330" s="18">
        <f>IF(AB330="","",--(AB330='Codebook'!$F$21))</f>
        <v>0</v>
      </c>
      <c r="BU330" s="18">
        <f>IF(AC330="","",--(AC330='Codebook'!$F$22))</f>
        <v>1</v>
      </c>
      <c r="BV330" s="18">
        <f>IF(AD330="","",--(AD330='Codebook'!$F$23))</f>
        <v>1</v>
      </c>
      <c r="BW330" s="18">
        <f>IF(AE330="","",--(AE330='Codebook'!$F$24))</f>
        <v>0</v>
      </c>
      <c r="BX330" s="18">
        <f>IF(AF330="","",--(AF330='Codebook'!$F$25))</f>
        <v>0</v>
      </c>
      <c r="BY330" s="18">
        <f>IF(AG330="","",--(AG330='Codebook'!$F$26))</f>
        <v>1</v>
      </c>
      <c r="BZ330" s="18">
        <f>IF(AH330="","",--(AH330='Codebook'!$F$27))</f>
        <v>1</v>
      </c>
      <c r="CA330" s="18">
        <f>IF(AI330="","",--(AI330='Codebook'!$F$28))</f>
        <v>0</v>
      </c>
      <c r="CB330" s="18">
        <f>IF(AJ330="","",--(AJ330='Codebook'!$F$29))</f>
        <v>0</v>
      </c>
      <c r="CC330" s="18">
        <f>IF(AK330="","",--(AK330='Codebook'!$F$30))</f>
        <v>1</v>
      </c>
      <c r="CD330" s="18">
        <f>IF(AL330="","",--(AL330='Codebook'!$F$31))</f>
        <v>0</v>
      </c>
      <c r="CE330" s="18">
        <f>IF(AM330="","",--(AM330='Codebook'!$F$32))</f>
        <v>1</v>
      </c>
      <c r="CF330" s="18">
        <f>IF(AN330="","",--(AN330='Codebook'!$F$33))</f>
        <v>1</v>
      </c>
      <c r="CG330" s="18">
        <f>IF(AO330="","",--(AO330='Codebook'!$F$34))</f>
        <v>0</v>
      </c>
      <c r="CH330" s="18">
        <f>IF(AP330="","",--(AP330='Codebook'!$F$35))</f>
        <v>1</v>
      </c>
      <c r="CI330" s="18">
        <f>IF(AQ330="","",--(AQ330='Codebook'!$F$36))</f>
        <v>1</v>
      </c>
      <c r="CJ330" s="18">
        <f>IF(AR330="","",--(AR330='Codebook'!$F$37))</f>
        <v>1</v>
      </c>
      <c r="CK330" s="18">
        <f>IF(AS330="","",--(AS330='Codebook'!$F$38))</f>
        <v>1</v>
      </c>
      <c r="CL330" s="18">
        <f>IF(AT330="","",--(AT330='Codebook'!$F$39))</f>
        <v>1</v>
      </c>
      <c r="CM330" s="18">
        <f>IF(AU330="","",--(AU330='Codebook'!$F$40))</f>
        <v>0</v>
      </c>
      <c r="CN330" s="18">
        <f>IF(AV330="","",--(AV330='Codebook'!$F$41))</f>
        <v>0</v>
      </c>
      <c r="CO330" s="18">
        <f>IF(AW330="","",--(AW330='Codebook'!$F$42))</f>
        <v>0</v>
      </c>
      <c r="CP330" s="18">
        <f>IF(AX330="","",--(AX330='Codebook'!$F$43))</f>
        <v>0</v>
      </c>
      <c r="CQ330" s="18">
        <f>IF(AY330="","",--(AY330='Codebook'!$F$44))</f>
        <v>0</v>
      </c>
      <c r="CR330" s="18">
        <f>IF(AZ330="","",--(AZ330='Codebook'!$F$45))</f>
        <v>0</v>
      </c>
    </row>
    <row r="331" spans="2:96" ht="24" customHeight="1">
      <c r="B331" s="18">
        <v>326</v>
      </c>
      <c r="C331" s="23">
        <v>46293.70650199074</v>
      </c>
      <c r="D331" s="21" t="s">
        <v>268</v>
      </c>
      <c r="E331" s="21" t="s">
        <v>206</v>
      </c>
      <c r="F331" s="21" t="s">
        <v>195</v>
      </c>
      <c r="G331" s="17" t="s">
        <v>202</v>
      </c>
      <c r="H331" s="21" t="s">
        <v>207</v>
      </c>
      <c r="I331" s="18">
        <f>SUM(BL331:BU331)</f>
        <v>5</v>
      </c>
      <c r="J331" s="18">
        <f>IF(COUNT(BV331:CD331)=9,SUM(BV331:CD331),"")</f>
        <v>3</v>
      </c>
      <c r="K331" s="18">
        <f>SUM(BL331:CD331)</f>
        <v>8</v>
      </c>
      <c r="L331" s="18">
        <f>--(K331&gt;='Codebook'!$C$8)</f>
        <v>0</v>
      </c>
      <c r="M331" s="18">
        <f>--(COUNT(BL331:CD331)=19)</f>
        <v>1</v>
      </c>
      <c r="N331" s="18">
        <f>SUM(CE331:CL331)</f>
        <v>5</v>
      </c>
      <c r="O331" s="18">
        <f>SUM(CM331:CR331)</f>
        <v>0</v>
      </c>
      <c r="P331" s="18">
        <f>N331+O331</f>
        <v>5</v>
      </c>
      <c r="Q331" s="21" t="s">
        <v>197</v>
      </c>
      <c r="R331" s="17" t="s">
        <v>154</v>
      </c>
      <c r="S331" s="18">
        <f>--OR(Overview!$B$6="All",E331=Overview!$B$6)*--OR(Overview!$F$6="All",F331=Overview!$F$6)*--OR(Overview!$J$6="All",G331=Overview!$J$6)*--OR(Overview!$N$6="All",H331=Overview!$N$6)</f>
        <v>1</v>
      </c>
      <c r="T331" s="21" t="s">
        <v>22</v>
      </c>
      <c r="U331" s="21" t="s">
        <v>22</v>
      </c>
      <c r="V331" s="21" t="s">
        <v>22</v>
      </c>
      <c r="W331" s="21" t="s">
        <v>22</v>
      </c>
      <c r="X331" s="21" t="s">
        <v>26</v>
      </c>
      <c r="Y331" s="21" t="s">
        <v>22</v>
      </c>
      <c r="Z331" s="21" t="s">
        <v>22</v>
      </c>
      <c r="AA331" s="21" t="s">
        <v>22</v>
      </c>
      <c r="AB331" s="21" t="s">
        <v>22</v>
      </c>
      <c r="AC331" s="21" t="s">
        <v>22</v>
      </c>
      <c r="AD331" s="21" t="s">
        <v>22</v>
      </c>
      <c r="AE331" s="21" t="s">
        <v>198</v>
      </c>
      <c r="AF331" s="21" t="s">
        <v>22</v>
      </c>
      <c r="AG331" s="21" t="s">
        <v>26</v>
      </c>
      <c r="AH331" s="21" t="s">
        <v>22</v>
      </c>
      <c r="AI331" s="21" t="s">
        <v>22</v>
      </c>
      <c r="AJ331" s="21" t="s">
        <v>22</v>
      </c>
      <c r="AK331" s="21" t="s">
        <v>22</v>
      </c>
      <c r="AL331" s="21" t="s">
        <v>198</v>
      </c>
      <c r="AM331" s="21" t="s">
        <v>83</v>
      </c>
      <c r="AN331" s="21" t="s">
        <v>83</v>
      </c>
      <c r="AO331" s="21" t="s">
        <v>83</v>
      </c>
      <c r="AP331" s="21" t="s">
        <v>83</v>
      </c>
      <c r="AQ331" s="21" t="s">
        <v>109</v>
      </c>
      <c r="AR331" s="21" t="s">
        <v>109</v>
      </c>
      <c r="AS331" s="21" t="s">
        <v>198</v>
      </c>
      <c r="AT331" s="21" t="s">
        <v>83</v>
      </c>
      <c r="AU331" s="21" t="s">
        <v>198</v>
      </c>
      <c r="AV331" s="21" t="s">
        <v>198</v>
      </c>
      <c r="AW331" s="21" t="s">
        <v>198</v>
      </c>
      <c r="AX331" s="21" t="s">
        <v>198</v>
      </c>
      <c r="AY331" s="21" t="s">
        <v>198</v>
      </c>
      <c r="AZ331" s="21" t="s">
        <v>198</v>
      </c>
      <c r="BA331" s="17" t="s">
        <v>246</v>
      </c>
      <c r="BB331" s="17" t="s">
        <v>250</v>
      </c>
      <c r="BC331" s="18">
        <f>--ISNUMBER(SEARCH("Radio or television",BA331))</f>
        <v>1</v>
      </c>
      <c r="BD331" s="18">
        <f>--ISNUMBER(SEARCH("Newspapers or print media",BA331))</f>
        <v>0</v>
      </c>
      <c r="BE331" s="18">
        <f>--ISNUMBER(SEARCH("Social media (e.g. Facebook, WhatsApp, YouTube, X/Twitter)",BA331))</f>
        <v>1</v>
      </c>
      <c r="BF331" s="18">
        <f>--ISNUMBER(SEARCH("Family members",BA331))</f>
        <v>0</v>
      </c>
      <c r="BG331" s="18">
        <f>--ISNUMBER(SEARCH("Friends or fellow students",BA331))</f>
        <v>0</v>
      </c>
      <c r="BH331" s="18">
        <f>--ISNUMBER(SEARCH("School coursework or lectures",BA331))</f>
        <v>0</v>
      </c>
      <c r="BI331" s="18">
        <f>--ISNUMBER(SEARCH("NHIMA outreach activities or NHIMA offices",BA331))</f>
        <v>0</v>
      </c>
      <c r="BJ331" s="18">
        <f>--ISNUMBER(SEARCH("Health facility staff",BA331))</f>
        <v>0</v>
      </c>
      <c r="BK331" s="18">
        <f>--ISNUMBER(SEARCH("not received information",BA331))</f>
        <v>0</v>
      </c>
      <c r="BL331" s="18">
        <f>IF(T331="","",--(T331='Codebook'!$F$13))</f>
        <v>1</v>
      </c>
      <c r="BM331" s="18">
        <f>IF(U331="","",--(U331='Codebook'!$F$14))</f>
        <v>0</v>
      </c>
      <c r="BN331" s="18">
        <f>IF(V331="","",--(V331='Codebook'!$F$15))</f>
        <v>0</v>
      </c>
      <c r="BO331" s="18">
        <f>IF(W331="","",--(W331='Codebook'!$F$16))</f>
        <v>1</v>
      </c>
      <c r="BP331" s="18">
        <f>IF(X331="","",--(X331='Codebook'!$F$17))</f>
        <v>0</v>
      </c>
      <c r="BQ331" s="18">
        <f>IF(Y331="","",--(Y331='Codebook'!$F$18))</f>
        <v>0</v>
      </c>
      <c r="BR331" s="18">
        <f>IF(Z331="","",--(Z331='Codebook'!$F$19))</f>
        <v>1</v>
      </c>
      <c r="BS331" s="18">
        <f>IF(AA331="","",--(AA331='Codebook'!$F$20))</f>
        <v>1</v>
      </c>
      <c r="BT331" s="18">
        <f>IF(AB331="","",--(AB331='Codebook'!$F$21))</f>
        <v>0</v>
      </c>
      <c r="BU331" s="18">
        <f>IF(AC331="","",--(AC331='Codebook'!$F$22))</f>
        <v>1</v>
      </c>
      <c r="BV331" s="18">
        <f>IF(AD331="","",--(AD331='Codebook'!$F$23))</f>
        <v>1</v>
      </c>
      <c r="BW331" s="18">
        <f>IF(AE331="","",--(AE331='Codebook'!$F$24))</f>
        <v>0</v>
      </c>
      <c r="BX331" s="18">
        <f>IF(AF331="","",--(AF331='Codebook'!$F$25))</f>
        <v>0</v>
      </c>
      <c r="BY331" s="18">
        <f>IF(AG331="","",--(AG331='Codebook'!$F$26))</f>
        <v>0</v>
      </c>
      <c r="BZ331" s="18">
        <f>IF(AH331="","",--(AH331='Codebook'!$F$27))</f>
        <v>1</v>
      </c>
      <c r="CA331" s="18">
        <f>IF(AI331="","",--(AI331='Codebook'!$F$28))</f>
        <v>0</v>
      </c>
      <c r="CB331" s="18">
        <f>IF(AJ331="","",--(AJ331='Codebook'!$F$29))</f>
        <v>0</v>
      </c>
      <c r="CC331" s="18">
        <f>IF(AK331="","",--(AK331='Codebook'!$F$30))</f>
        <v>1</v>
      </c>
      <c r="CD331" s="18">
        <f>IF(AL331="","",--(AL331='Codebook'!$F$31))</f>
        <v>0</v>
      </c>
      <c r="CE331" s="18">
        <f>IF(AM331="","",--(AM331='Codebook'!$F$32))</f>
        <v>1</v>
      </c>
      <c r="CF331" s="18">
        <f>IF(AN331="","",--(AN331='Codebook'!$F$33))</f>
        <v>1</v>
      </c>
      <c r="CG331" s="18">
        <f>IF(AO331="","",--(AO331='Codebook'!$F$34))</f>
        <v>1</v>
      </c>
      <c r="CH331" s="18">
        <f>IF(AP331="","",--(AP331='Codebook'!$F$35))</f>
        <v>1</v>
      </c>
      <c r="CI331" s="18">
        <f>IF(AQ331="","",--(AQ331='Codebook'!$F$36))</f>
        <v>0</v>
      </c>
      <c r="CJ331" s="18">
        <f>IF(AR331="","",--(AR331='Codebook'!$F$37))</f>
        <v>0</v>
      </c>
      <c r="CK331" s="18">
        <f>IF(AS331="","",--(AS331='Codebook'!$F$38))</f>
        <v>0</v>
      </c>
      <c r="CL331" s="18">
        <f>IF(AT331="","",--(AT331='Codebook'!$F$39))</f>
        <v>1</v>
      </c>
      <c r="CM331" s="18">
        <f>IF(AU331="","",--(AU331='Codebook'!$F$40))</f>
        <v>0</v>
      </c>
      <c r="CN331" s="18">
        <f>IF(AV331="","",--(AV331='Codebook'!$F$41))</f>
        <v>0</v>
      </c>
      <c r="CO331" s="18">
        <f>IF(AW331="","",--(AW331='Codebook'!$F$42))</f>
        <v>0</v>
      </c>
      <c r="CP331" s="18">
        <f>IF(AX331="","",--(AX331='Codebook'!$F$43))</f>
        <v>0</v>
      </c>
      <c r="CQ331" s="18">
        <f>IF(AY331="","",--(AY331='Codebook'!$F$44))</f>
        <v>0</v>
      </c>
      <c r="CR331" s="18">
        <f>IF(AZ331="","",--(AZ331='Codebook'!$F$45))</f>
        <v>0</v>
      </c>
    </row>
    <row r="332" spans="2:96" ht="24" customHeight="1">
      <c r="B332" s="18">
        <v>327</v>
      </c>
      <c r="C332" s="23">
        <v>46293.70709146991</v>
      </c>
      <c r="D332" s="21" t="s">
        <v>275</v>
      </c>
      <c r="E332" s="21" t="s">
        <v>206</v>
      </c>
      <c r="F332" s="21" t="s">
        <v>201</v>
      </c>
      <c r="G332" s="17" t="s">
        <v>247</v>
      </c>
      <c r="H332" s="21" t="s">
        <v>198</v>
      </c>
      <c r="I332" s="18">
        <f>SUM(BL332:BU332)</f>
        <v>0</v>
      </c>
      <c r="J332" s="18">
        <f>IF(COUNT(BV332:CD332)=9,SUM(BV332:CD332),"")</f>
        <v>0</v>
      </c>
      <c r="K332" s="18">
        <f>SUM(BL332:CD332)</f>
        <v>0</v>
      </c>
      <c r="L332" s="18">
        <f>--(K332&gt;='Codebook'!$C$8)</f>
        <v>0</v>
      </c>
      <c r="M332" s="18">
        <f>--(COUNT(BL332:CD332)=19)</f>
        <v>1</v>
      </c>
      <c r="N332" s="18">
        <f>SUM(CE332:CL332)</f>
        <v>0</v>
      </c>
      <c r="O332" s="18">
        <f>SUM(CM332:CR332)</f>
        <v>0</v>
      </c>
      <c r="P332" s="18">
        <f>N332+O332</f>
        <v>0</v>
      </c>
      <c r="Q332" s="21" t="s">
        <v>198</v>
      </c>
      <c r="R332" s="17" t="s">
        <v>154</v>
      </c>
      <c r="S332" s="18">
        <f>--OR(Overview!$B$6="All",E332=Overview!$B$6)*--OR(Overview!$F$6="All",F332=Overview!$F$6)*--OR(Overview!$J$6="All",G332=Overview!$J$6)*--OR(Overview!$N$6="All",H332=Overview!$N$6)</f>
        <v>1</v>
      </c>
      <c r="T332" s="21" t="s">
        <v>198</v>
      </c>
      <c r="U332" s="21" t="s">
        <v>198</v>
      </c>
      <c r="V332" s="21" t="s">
        <v>198</v>
      </c>
      <c r="W332" s="21" t="s">
        <v>198</v>
      </c>
      <c r="X332" s="21" t="s">
        <v>198</v>
      </c>
      <c r="Y332" s="21" t="s">
        <v>198</v>
      </c>
      <c r="Z332" s="21" t="s">
        <v>198</v>
      </c>
      <c r="AA332" s="21" t="s">
        <v>198</v>
      </c>
      <c r="AB332" s="21" t="s">
        <v>198</v>
      </c>
      <c r="AC332" s="21" t="s">
        <v>198</v>
      </c>
      <c r="AD332" s="21" t="s">
        <v>198</v>
      </c>
      <c r="AE332" s="21" t="s">
        <v>198</v>
      </c>
      <c r="AF332" s="21" t="s">
        <v>198</v>
      </c>
      <c r="AG332" s="21" t="s">
        <v>198</v>
      </c>
      <c r="AH332" s="21" t="s">
        <v>198</v>
      </c>
      <c r="AI332" s="21" t="s">
        <v>198</v>
      </c>
      <c r="AJ332" s="21" t="s">
        <v>198</v>
      </c>
      <c r="AK332" s="21" t="s">
        <v>198</v>
      </c>
      <c r="AL332" s="21" t="s">
        <v>198</v>
      </c>
      <c r="AM332" s="21" t="s">
        <v>198</v>
      </c>
      <c r="AN332" s="21" t="s">
        <v>198</v>
      </c>
      <c r="AO332" s="21" t="s">
        <v>198</v>
      </c>
      <c r="AP332" s="21" t="s">
        <v>198</v>
      </c>
      <c r="AQ332" s="21" t="s">
        <v>198</v>
      </c>
      <c r="AR332" s="21" t="s">
        <v>198</v>
      </c>
      <c r="AS332" s="21" t="s">
        <v>198</v>
      </c>
      <c r="AT332" s="21" t="s">
        <v>198</v>
      </c>
      <c r="AU332" s="21" t="s">
        <v>198</v>
      </c>
      <c r="AV332" s="21" t="s">
        <v>198</v>
      </c>
      <c r="AW332" s="21" t="s">
        <v>198</v>
      </c>
      <c r="AX332" s="21" t="s">
        <v>198</v>
      </c>
      <c r="AY332" s="21" t="s">
        <v>198</v>
      </c>
      <c r="AZ332" s="21" t="s">
        <v>198</v>
      </c>
      <c r="BA332" s="17" t="s">
        <v>246</v>
      </c>
      <c r="BB332" s="17" t="s">
        <v>250</v>
      </c>
      <c r="BC332" s="18">
        <f>--ISNUMBER(SEARCH("Radio or television",BA332))</f>
        <v>1</v>
      </c>
      <c r="BD332" s="18">
        <f>--ISNUMBER(SEARCH("Newspapers or print media",BA332))</f>
        <v>0</v>
      </c>
      <c r="BE332" s="18">
        <f>--ISNUMBER(SEARCH("Social media (e.g. Facebook, WhatsApp, YouTube, X/Twitter)",BA332))</f>
        <v>1</v>
      </c>
      <c r="BF332" s="18">
        <f>--ISNUMBER(SEARCH("Family members",BA332))</f>
        <v>0</v>
      </c>
      <c r="BG332" s="18">
        <f>--ISNUMBER(SEARCH("Friends or fellow students",BA332))</f>
        <v>0</v>
      </c>
      <c r="BH332" s="18">
        <f>--ISNUMBER(SEARCH("School coursework or lectures",BA332))</f>
        <v>0</v>
      </c>
      <c r="BI332" s="18">
        <f>--ISNUMBER(SEARCH("NHIMA outreach activities or NHIMA offices",BA332))</f>
        <v>0</v>
      </c>
      <c r="BJ332" s="18">
        <f>--ISNUMBER(SEARCH("Health facility staff",BA332))</f>
        <v>0</v>
      </c>
      <c r="BK332" s="18">
        <f>--ISNUMBER(SEARCH("not received information",BA332))</f>
        <v>0</v>
      </c>
      <c r="BL332" s="18">
        <f>IF(T332="","",--(T332='Codebook'!$F$13))</f>
        <v>0</v>
      </c>
      <c r="BM332" s="18">
        <f>IF(U332="","",--(U332='Codebook'!$F$14))</f>
        <v>0</v>
      </c>
      <c r="BN332" s="18">
        <f>IF(V332="","",--(V332='Codebook'!$F$15))</f>
        <v>0</v>
      </c>
      <c r="BO332" s="18">
        <f>IF(W332="","",--(W332='Codebook'!$F$16))</f>
        <v>0</v>
      </c>
      <c r="BP332" s="18">
        <f>IF(X332="","",--(X332='Codebook'!$F$17))</f>
        <v>0</v>
      </c>
      <c r="BQ332" s="18">
        <f>IF(Y332="","",--(Y332='Codebook'!$F$18))</f>
        <v>0</v>
      </c>
      <c r="BR332" s="18">
        <f>IF(Z332="","",--(Z332='Codebook'!$F$19))</f>
        <v>0</v>
      </c>
      <c r="BS332" s="18">
        <f>IF(AA332="","",--(AA332='Codebook'!$F$20))</f>
        <v>0</v>
      </c>
      <c r="BT332" s="18">
        <f>IF(AB332="","",--(AB332='Codebook'!$F$21))</f>
        <v>0</v>
      </c>
      <c r="BU332" s="18">
        <f>IF(AC332="","",--(AC332='Codebook'!$F$22))</f>
        <v>0</v>
      </c>
      <c r="BV332" s="18">
        <f>IF(AD332="","",--(AD332='Codebook'!$F$23))</f>
        <v>0</v>
      </c>
      <c r="BW332" s="18">
        <f>IF(AE332="","",--(AE332='Codebook'!$F$24))</f>
        <v>0</v>
      </c>
      <c r="BX332" s="18">
        <f>IF(AF332="","",--(AF332='Codebook'!$F$25))</f>
        <v>0</v>
      </c>
      <c r="BY332" s="18">
        <f>IF(AG332="","",--(AG332='Codebook'!$F$26))</f>
        <v>0</v>
      </c>
      <c r="BZ332" s="18">
        <f>IF(AH332="","",--(AH332='Codebook'!$F$27))</f>
        <v>0</v>
      </c>
      <c r="CA332" s="18">
        <f>IF(AI332="","",--(AI332='Codebook'!$F$28))</f>
        <v>0</v>
      </c>
      <c r="CB332" s="18">
        <f>IF(AJ332="","",--(AJ332='Codebook'!$F$29))</f>
        <v>0</v>
      </c>
      <c r="CC332" s="18">
        <f>IF(AK332="","",--(AK332='Codebook'!$F$30))</f>
        <v>0</v>
      </c>
      <c r="CD332" s="18">
        <f>IF(AL332="","",--(AL332='Codebook'!$F$31))</f>
        <v>0</v>
      </c>
      <c r="CE332" s="18">
        <f>IF(AM332="","",--(AM332='Codebook'!$F$32))</f>
        <v>0</v>
      </c>
      <c r="CF332" s="18">
        <f>IF(AN332="","",--(AN332='Codebook'!$F$33))</f>
        <v>0</v>
      </c>
      <c r="CG332" s="18">
        <f>IF(AO332="","",--(AO332='Codebook'!$F$34))</f>
        <v>0</v>
      </c>
      <c r="CH332" s="18">
        <f>IF(AP332="","",--(AP332='Codebook'!$F$35))</f>
        <v>0</v>
      </c>
      <c r="CI332" s="18">
        <f>IF(AQ332="","",--(AQ332='Codebook'!$F$36))</f>
        <v>0</v>
      </c>
      <c r="CJ332" s="18">
        <f>IF(AR332="","",--(AR332='Codebook'!$F$37))</f>
        <v>0</v>
      </c>
      <c r="CK332" s="18">
        <f>IF(AS332="","",--(AS332='Codebook'!$F$38))</f>
        <v>0</v>
      </c>
      <c r="CL332" s="18">
        <f>IF(AT332="","",--(AT332='Codebook'!$F$39))</f>
        <v>0</v>
      </c>
      <c r="CM332" s="18">
        <f>IF(AU332="","",--(AU332='Codebook'!$F$40))</f>
        <v>0</v>
      </c>
      <c r="CN332" s="18">
        <f>IF(AV332="","",--(AV332='Codebook'!$F$41))</f>
        <v>0</v>
      </c>
      <c r="CO332" s="18">
        <f>IF(AW332="","",--(AW332='Codebook'!$F$42))</f>
        <v>0</v>
      </c>
      <c r="CP332" s="18">
        <f>IF(AX332="","",--(AX332='Codebook'!$F$43))</f>
        <v>0</v>
      </c>
      <c r="CQ332" s="18">
        <f>IF(AY332="","",--(AY332='Codebook'!$F$44))</f>
        <v>0</v>
      </c>
      <c r="CR332" s="18">
        <f>IF(AZ332="","",--(AZ332='Codebook'!$F$45))</f>
        <v>0</v>
      </c>
    </row>
    <row r="333" spans="2:96" ht="24" customHeight="1">
      <c r="B333" s="18">
        <v>328</v>
      </c>
      <c r="C333" s="23">
        <v>46293.70761533565</v>
      </c>
      <c r="D333" s="21" t="s">
        <v>275</v>
      </c>
      <c r="E333" s="21" t="s">
        <v>206</v>
      </c>
      <c r="F333" s="21" t="s">
        <v>201</v>
      </c>
      <c r="G333" s="17" t="s">
        <v>215</v>
      </c>
      <c r="H333" s="21" t="s">
        <v>198</v>
      </c>
      <c r="I333" s="18">
        <f>SUM(BL333:BU333)</f>
        <v>0</v>
      </c>
      <c r="J333" s="18">
        <f>IF(COUNT(BV333:CD333)=9,SUM(BV333:CD333),"")</f>
        <v>0</v>
      </c>
      <c r="K333" s="18">
        <f>SUM(BL333:CD333)</f>
        <v>0</v>
      </c>
      <c r="L333" s="18">
        <f>--(K333&gt;='Codebook'!$C$8)</f>
        <v>0</v>
      </c>
      <c r="M333" s="18">
        <f>--(COUNT(BL333:CD333)=19)</f>
        <v>1</v>
      </c>
      <c r="N333" s="18">
        <f>SUM(CE333:CL333)</f>
        <v>0</v>
      </c>
      <c r="O333" s="18">
        <f>SUM(CM333:CR333)</f>
        <v>0</v>
      </c>
      <c r="P333" s="18">
        <f>N333+O333</f>
        <v>0</v>
      </c>
      <c r="Q333" s="21" t="s">
        <v>198</v>
      </c>
      <c r="R333" s="17" t="s">
        <v>154</v>
      </c>
      <c r="S333" s="18">
        <f>--OR(Overview!$B$6="All",E333=Overview!$B$6)*--OR(Overview!$F$6="All",F333=Overview!$F$6)*--OR(Overview!$J$6="All",G333=Overview!$J$6)*--OR(Overview!$N$6="All",H333=Overview!$N$6)</f>
        <v>1</v>
      </c>
      <c r="T333" s="21" t="s">
        <v>198</v>
      </c>
      <c r="U333" s="21" t="s">
        <v>198</v>
      </c>
      <c r="V333" s="21" t="s">
        <v>198</v>
      </c>
      <c r="W333" s="21" t="s">
        <v>198</v>
      </c>
      <c r="X333" s="21" t="s">
        <v>198</v>
      </c>
      <c r="Y333" s="21" t="s">
        <v>198</v>
      </c>
      <c r="Z333" s="21" t="s">
        <v>198</v>
      </c>
      <c r="AA333" s="21" t="s">
        <v>198</v>
      </c>
      <c r="AB333" s="21" t="s">
        <v>198</v>
      </c>
      <c r="AC333" s="21" t="s">
        <v>198</v>
      </c>
      <c r="AD333" s="21" t="s">
        <v>198</v>
      </c>
      <c r="AE333" s="21" t="s">
        <v>198</v>
      </c>
      <c r="AF333" s="21" t="s">
        <v>198</v>
      </c>
      <c r="AG333" s="21" t="s">
        <v>198</v>
      </c>
      <c r="AH333" s="21" t="s">
        <v>198</v>
      </c>
      <c r="AI333" s="21" t="s">
        <v>198</v>
      </c>
      <c r="AJ333" s="21" t="s">
        <v>198</v>
      </c>
      <c r="AK333" s="21" t="s">
        <v>198</v>
      </c>
      <c r="AL333" s="21" t="s">
        <v>198</v>
      </c>
      <c r="AM333" s="21" t="s">
        <v>198</v>
      </c>
      <c r="AN333" s="21" t="s">
        <v>198</v>
      </c>
      <c r="AO333" s="21" t="s">
        <v>198</v>
      </c>
      <c r="AP333" s="21" t="s">
        <v>198</v>
      </c>
      <c r="AQ333" s="21" t="s">
        <v>198</v>
      </c>
      <c r="AR333" s="21" t="s">
        <v>198</v>
      </c>
      <c r="AS333" s="21" t="s">
        <v>198</v>
      </c>
      <c r="AT333" s="21" t="s">
        <v>198</v>
      </c>
      <c r="AU333" s="21" t="s">
        <v>198</v>
      </c>
      <c r="AV333" s="21" t="s">
        <v>198</v>
      </c>
      <c r="AW333" s="21" t="s">
        <v>198</v>
      </c>
      <c r="AX333" s="21" t="s">
        <v>198</v>
      </c>
      <c r="AY333" s="21" t="s">
        <v>198</v>
      </c>
      <c r="AZ333" s="21" t="s">
        <v>198</v>
      </c>
      <c r="BA333" s="17" t="s">
        <v>246</v>
      </c>
      <c r="BB333" s="17" t="s">
        <v>250</v>
      </c>
      <c r="BC333" s="18">
        <f>--ISNUMBER(SEARCH("Radio or television",BA333))</f>
        <v>1</v>
      </c>
      <c r="BD333" s="18">
        <f>--ISNUMBER(SEARCH("Newspapers or print media",BA333))</f>
        <v>0</v>
      </c>
      <c r="BE333" s="18">
        <f>--ISNUMBER(SEARCH("Social media (e.g. Facebook, WhatsApp, YouTube, X/Twitter)",BA333))</f>
        <v>1</v>
      </c>
      <c r="BF333" s="18">
        <f>--ISNUMBER(SEARCH("Family members",BA333))</f>
        <v>0</v>
      </c>
      <c r="BG333" s="18">
        <f>--ISNUMBER(SEARCH("Friends or fellow students",BA333))</f>
        <v>0</v>
      </c>
      <c r="BH333" s="18">
        <f>--ISNUMBER(SEARCH("School coursework or lectures",BA333))</f>
        <v>0</v>
      </c>
      <c r="BI333" s="18">
        <f>--ISNUMBER(SEARCH("NHIMA outreach activities or NHIMA offices",BA333))</f>
        <v>0</v>
      </c>
      <c r="BJ333" s="18">
        <f>--ISNUMBER(SEARCH("Health facility staff",BA333))</f>
        <v>0</v>
      </c>
      <c r="BK333" s="18">
        <f>--ISNUMBER(SEARCH("not received information",BA333))</f>
        <v>0</v>
      </c>
      <c r="BL333" s="18">
        <f>IF(T333="","",--(T333='Codebook'!$F$13))</f>
        <v>0</v>
      </c>
      <c r="BM333" s="18">
        <f>IF(U333="","",--(U333='Codebook'!$F$14))</f>
        <v>0</v>
      </c>
      <c r="BN333" s="18">
        <f>IF(V333="","",--(V333='Codebook'!$F$15))</f>
        <v>0</v>
      </c>
      <c r="BO333" s="18">
        <f>IF(W333="","",--(W333='Codebook'!$F$16))</f>
        <v>0</v>
      </c>
      <c r="BP333" s="18">
        <f>IF(X333="","",--(X333='Codebook'!$F$17))</f>
        <v>0</v>
      </c>
      <c r="BQ333" s="18">
        <f>IF(Y333="","",--(Y333='Codebook'!$F$18))</f>
        <v>0</v>
      </c>
      <c r="BR333" s="18">
        <f>IF(Z333="","",--(Z333='Codebook'!$F$19))</f>
        <v>0</v>
      </c>
      <c r="BS333" s="18">
        <f>IF(AA333="","",--(AA333='Codebook'!$F$20))</f>
        <v>0</v>
      </c>
      <c r="BT333" s="18">
        <f>IF(AB333="","",--(AB333='Codebook'!$F$21))</f>
        <v>0</v>
      </c>
      <c r="BU333" s="18">
        <f>IF(AC333="","",--(AC333='Codebook'!$F$22))</f>
        <v>0</v>
      </c>
      <c r="BV333" s="18">
        <f>IF(AD333="","",--(AD333='Codebook'!$F$23))</f>
        <v>0</v>
      </c>
      <c r="BW333" s="18">
        <f>IF(AE333="","",--(AE333='Codebook'!$F$24))</f>
        <v>0</v>
      </c>
      <c r="BX333" s="18">
        <f>IF(AF333="","",--(AF333='Codebook'!$F$25))</f>
        <v>0</v>
      </c>
      <c r="BY333" s="18">
        <f>IF(AG333="","",--(AG333='Codebook'!$F$26))</f>
        <v>0</v>
      </c>
      <c r="BZ333" s="18">
        <f>IF(AH333="","",--(AH333='Codebook'!$F$27))</f>
        <v>0</v>
      </c>
      <c r="CA333" s="18">
        <f>IF(AI333="","",--(AI333='Codebook'!$F$28))</f>
        <v>0</v>
      </c>
      <c r="CB333" s="18">
        <f>IF(AJ333="","",--(AJ333='Codebook'!$F$29))</f>
        <v>0</v>
      </c>
      <c r="CC333" s="18">
        <f>IF(AK333="","",--(AK333='Codebook'!$F$30))</f>
        <v>0</v>
      </c>
      <c r="CD333" s="18">
        <f>IF(AL333="","",--(AL333='Codebook'!$F$31))</f>
        <v>0</v>
      </c>
      <c r="CE333" s="18">
        <f>IF(AM333="","",--(AM333='Codebook'!$F$32))</f>
        <v>0</v>
      </c>
      <c r="CF333" s="18">
        <f>IF(AN333="","",--(AN333='Codebook'!$F$33))</f>
        <v>0</v>
      </c>
      <c r="CG333" s="18">
        <f>IF(AO333="","",--(AO333='Codebook'!$F$34))</f>
        <v>0</v>
      </c>
      <c r="CH333" s="18">
        <f>IF(AP333="","",--(AP333='Codebook'!$F$35))</f>
        <v>0</v>
      </c>
      <c r="CI333" s="18">
        <f>IF(AQ333="","",--(AQ333='Codebook'!$F$36))</f>
        <v>0</v>
      </c>
      <c r="CJ333" s="18">
        <f>IF(AR333="","",--(AR333='Codebook'!$F$37))</f>
        <v>0</v>
      </c>
      <c r="CK333" s="18">
        <f>IF(AS333="","",--(AS333='Codebook'!$F$38))</f>
        <v>0</v>
      </c>
      <c r="CL333" s="18">
        <f>IF(AT333="","",--(AT333='Codebook'!$F$39))</f>
        <v>0</v>
      </c>
      <c r="CM333" s="18">
        <f>IF(AU333="","",--(AU333='Codebook'!$F$40))</f>
        <v>0</v>
      </c>
      <c r="CN333" s="18">
        <f>IF(AV333="","",--(AV333='Codebook'!$F$41))</f>
        <v>0</v>
      </c>
      <c r="CO333" s="18">
        <f>IF(AW333="","",--(AW333='Codebook'!$F$42))</f>
        <v>0</v>
      </c>
      <c r="CP333" s="18">
        <f>IF(AX333="","",--(AX333='Codebook'!$F$43))</f>
        <v>0</v>
      </c>
      <c r="CQ333" s="18">
        <f>IF(AY333="","",--(AY333='Codebook'!$F$44))</f>
        <v>0</v>
      </c>
      <c r="CR333" s="18">
        <f>IF(AZ333="","",--(AZ333='Codebook'!$F$45))</f>
        <v>0</v>
      </c>
    </row>
    <row r="334" spans="2:96" ht="24" customHeight="1">
      <c r="B334" s="18">
        <v>329</v>
      </c>
      <c r="C334" s="23">
        <v>46293.70816621528</v>
      </c>
      <c r="D334" s="21" t="s">
        <v>275</v>
      </c>
      <c r="E334" s="21" t="s">
        <v>206</v>
      </c>
      <c r="F334" s="21" t="s">
        <v>226</v>
      </c>
      <c r="G334" s="17" t="s">
        <v>247</v>
      </c>
      <c r="H334" s="21" t="s">
        <v>198</v>
      </c>
      <c r="I334" s="18">
        <f>SUM(BL334:BU334)</f>
        <v>0</v>
      </c>
      <c r="J334" s="18">
        <f>IF(COUNT(BV334:CD334)=9,SUM(BV334:CD334),"")</f>
        <v>0</v>
      </c>
      <c r="K334" s="18">
        <f>SUM(BL334:CD334)</f>
        <v>0</v>
      </c>
      <c r="L334" s="18">
        <f>--(K334&gt;='Codebook'!$C$8)</f>
        <v>0</v>
      </c>
      <c r="M334" s="18">
        <f>--(COUNT(BL334:CD334)=19)</f>
        <v>1</v>
      </c>
      <c r="N334" s="18">
        <f>SUM(CE334:CL334)</f>
        <v>0</v>
      </c>
      <c r="O334" s="18">
        <f>SUM(CM334:CR334)</f>
        <v>0</v>
      </c>
      <c r="P334" s="18">
        <f>N334+O334</f>
        <v>0</v>
      </c>
      <c r="Q334" s="21" t="s">
        <v>197</v>
      </c>
      <c r="R334" s="17" t="s">
        <v>154</v>
      </c>
      <c r="S334" s="18">
        <f>--OR(Overview!$B$6="All",E334=Overview!$B$6)*--OR(Overview!$F$6="All",F334=Overview!$F$6)*--OR(Overview!$J$6="All",G334=Overview!$J$6)*--OR(Overview!$N$6="All",H334=Overview!$N$6)</f>
        <v>1</v>
      </c>
      <c r="T334" s="21" t="s">
        <v>198</v>
      </c>
      <c r="U334" s="21" t="s">
        <v>198</v>
      </c>
      <c r="V334" s="21" t="s">
        <v>198</v>
      </c>
      <c r="W334" s="21" t="s">
        <v>198</v>
      </c>
      <c r="X334" s="21" t="s">
        <v>198</v>
      </c>
      <c r="Y334" s="21" t="s">
        <v>198</v>
      </c>
      <c r="Z334" s="21" t="s">
        <v>198</v>
      </c>
      <c r="AA334" s="21" t="s">
        <v>198</v>
      </c>
      <c r="AB334" s="21" t="s">
        <v>198</v>
      </c>
      <c r="AC334" s="21" t="s">
        <v>198</v>
      </c>
      <c r="AD334" s="21" t="s">
        <v>198</v>
      </c>
      <c r="AE334" s="21" t="s">
        <v>198</v>
      </c>
      <c r="AF334" s="21" t="s">
        <v>198</v>
      </c>
      <c r="AG334" s="21" t="s">
        <v>198</v>
      </c>
      <c r="AH334" s="21" t="s">
        <v>198</v>
      </c>
      <c r="AI334" s="21" t="s">
        <v>198</v>
      </c>
      <c r="AJ334" s="21" t="s">
        <v>198</v>
      </c>
      <c r="AK334" s="21" t="s">
        <v>198</v>
      </c>
      <c r="AL334" s="21" t="s">
        <v>198</v>
      </c>
      <c r="AM334" s="21" t="s">
        <v>198</v>
      </c>
      <c r="AN334" s="21" t="s">
        <v>198</v>
      </c>
      <c r="AO334" s="21" t="s">
        <v>198</v>
      </c>
      <c r="AP334" s="21" t="s">
        <v>198</v>
      </c>
      <c r="AQ334" s="21" t="s">
        <v>198</v>
      </c>
      <c r="AR334" s="21" t="s">
        <v>198</v>
      </c>
      <c r="AS334" s="21" t="s">
        <v>198</v>
      </c>
      <c r="AT334" s="21" t="s">
        <v>198</v>
      </c>
      <c r="AU334" s="21" t="s">
        <v>198</v>
      </c>
      <c r="AV334" s="21" t="s">
        <v>198</v>
      </c>
      <c r="AW334" s="21" t="s">
        <v>198</v>
      </c>
      <c r="AX334" s="21" t="s">
        <v>198</v>
      </c>
      <c r="AY334" s="21" t="s">
        <v>198</v>
      </c>
      <c r="AZ334" s="21" t="s">
        <v>198</v>
      </c>
      <c r="BA334" s="17" t="s">
        <v>246</v>
      </c>
      <c r="BB334" s="17" t="s">
        <v>250</v>
      </c>
      <c r="BC334" s="18">
        <f>--ISNUMBER(SEARCH("Radio or television",BA334))</f>
        <v>1</v>
      </c>
      <c r="BD334" s="18">
        <f>--ISNUMBER(SEARCH("Newspapers or print media",BA334))</f>
        <v>0</v>
      </c>
      <c r="BE334" s="18">
        <f>--ISNUMBER(SEARCH("Social media (e.g. Facebook, WhatsApp, YouTube, X/Twitter)",BA334))</f>
        <v>1</v>
      </c>
      <c r="BF334" s="18">
        <f>--ISNUMBER(SEARCH("Family members",BA334))</f>
        <v>0</v>
      </c>
      <c r="BG334" s="18">
        <f>--ISNUMBER(SEARCH("Friends or fellow students",BA334))</f>
        <v>0</v>
      </c>
      <c r="BH334" s="18">
        <f>--ISNUMBER(SEARCH("School coursework or lectures",BA334))</f>
        <v>0</v>
      </c>
      <c r="BI334" s="18">
        <f>--ISNUMBER(SEARCH("NHIMA outreach activities or NHIMA offices",BA334))</f>
        <v>0</v>
      </c>
      <c r="BJ334" s="18">
        <f>--ISNUMBER(SEARCH("Health facility staff",BA334))</f>
        <v>0</v>
      </c>
      <c r="BK334" s="18">
        <f>--ISNUMBER(SEARCH("not received information",BA334))</f>
        <v>0</v>
      </c>
      <c r="BL334" s="18">
        <f>IF(T334="","",--(T334='Codebook'!$F$13))</f>
        <v>0</v>
      </c>
      <c r="BM334" s="18">
        <f>IF(U334="","",--(U334='Codebook'!$F$14))</f>
        <v>0</v>
      </c>
      <c r="BN334" s="18">
        <f>IF(V334="","",--(V334='Codebook'!$F$15))</f>
        <v>0</v>
      </c>
      <c r="BO334" s="18">
        <f>IF(W334="","",--(W334='Codebook'!$F$16))</f>
        <v>0</v>
      </c>
      <c r="BP334" s="18">
        <f>IF(X334="","",--(X334='Codebook'!$F$17))</f>
        <v>0</v>
      </c>
      <c r="BQ334" s="18">
        <f>IF(Y334="","",--(Y334='Codebook'!$F$18))</f>
        <v>0</v>
      </c>
      <c r="BR334" s="18">
        <f>IF(Z334="","",--(Z334='Codebook'!$F$19))</f>
        <v>0</v>
      </c>
      <c r="BS334" s="18">
        <f>IF(AA334="","",--(AA334='Codebook'!$F$20))</f>
        <v>0</v>
      </c>
      <c r="BT334" s="18">
        <f>IF(AB334="","",--(AB334='Codebook'!$F$21))</f>
        <v>0</v>
      </c>
      <c r="BU334" s="18">
        <f>IF(AC334="","",--(AC334='Codebook'!$F$22))</f>
        <v>0</v>
      </c>
      <c r="BV334" s="18">
        <f>IF(AD334="","",--(AD334='Codebook'!$F$23))</f>
        <v>0</v>
      </c>
      <c r="BW334" s="18">
        <f>IF(AE334="","",--(AE334='Codebook'!$F$24))</f>
        <v>0</v>
      </c>
      <c r="BX334" s="18">
        <f>IF(AF334="","",--(AF334='Codebook'!$F$25))</f>
        <v>0</v>
      </c>
      <c r="BY334" s="18">
        <f>IF(AG334="","",--(AG334='Codebook'!$F$26))</f>
        <v>0</v>
      </c>
      <c r="BZ334" s="18">
        <f>IF(AH334="","",--(AH334='Codebook'!$F$27))</f>
        <v>0</v>
      </c>
      <c r="CA334" s="18">
        <f>IF(AI334="","",--(AI334='Codebook'!$F$28))</f>
        <v>0</v>
      </c>
      <c r="CB334" s="18">
        <f>IF(AJ334="","",--(AJ334='Codebook'!$F$29))</f>
        <v>0</v>
      </c>
      <c r="CC334" s="18">
        <f>IF(AK334="","",--(AK334='Codebook'!$F$30))</f>
        <v>0</v>
      </c>
      <c r="CD334" s="18">
        <f>IF(AL334="","",--(AL334='Codebook'!$F$31))</f>
        <v>0</v>
      </c>
      <c r="CE334" s="18">
        <f>IF(AM334="","",--(AM334='Codebook'!$F$32))</f>
        <v>0</v>
      </c>
      <c r="CF334" s="18">
        <f>IF(AN334="","",--(AN334='Codebook'!$F$33))</f>
        <v>0</v>
      </c>
      <c r="CG334" s="18">
        <f>IF(AO334="","",--(AO334='Codebook'!$F$34))</f>
        <v>0</v>
      </c>
      <c r="CH334" s="18">
        <f>IF(AP334="","",--(AP334='Codebook'!$F$35))</f>
        <v>0</v>
      </c>
      <c r="CI334" s="18">
        <f>IF(AQ334="","",--(AQ334='Codebook'!$F$36))</f>
        <v>0</v>
      </c>
      <c r="CJ334" s="18">
        <f>IF(AR334="","",--(AR334='Codebook'!$F$37))</f>
        <v>0</v>
      </c>
      <c r="CK334" s="18">
        <f>IF(AS334="","",--(AS334='Codebook'!$F$38))</f>
        <v>0</v>
      </c>
      <c r="CL334" s="18">
        <f>IF(AT334="","",--(AT334='Codebook'!$F$39))</f>
        <v>0</v>
      </c>
      <c r="CM334" s="18">
        <f>IF(AU334="","",--(AU334='Codebook'!$F$40))</f>
        <v>0</v>
      </c>
      <c r="CN334" s="18">
        <f>IF(AV334="","",--(AV334='Codebook'!$F$41))</f>
        <v>0</v>
      </c>
      <c r="CO334" s="18">
        <f>IF(AW334="","",--(AW334='Codebook'!$F$42))</f>
        <v>0</v>
      </c>
      <c r="CP334" s="18">
        <f>IF(AX334="","",--(AX334='Codebook'!$F$43))</f>
        <v>0</v>
      </c>
      <c r="CQ334" s="18">
        <f>IF(AY334="","",--(AY334='Codebook'!$F$44))</f>
        <v>0</v>
      </c>
      <c r="CR334" s="18">
        <f>IF(AZ334="","",--(AZ334='Codebook'!$F$45))</f>
        <v>0</v>
      </c>
    </row>
    <row r="335" spans="2:96" ht="24" customHeight="1">
      <c r="B335" s="18">
        <v>330</v>
      </c>
      <c r="C335" s="23">
        <v>46293.70876493055</v>
      </c>
      <c r="D335" s="21" t="s">
        <v>275</v>
      </c>
      <c r="E335" s="21" t="s">
        <v>194</v>
      </c>
      <c r="F335" s="21" t="s">
        <v>195</v>
      </c>
      <c r="G335" s="17" t="s">
        <v>215</v>
      </c>
      <c r="H335" s="21" t="s">
        <v>198</v>
      </c>
      <c r="I335" s="18">
        <f>SUM(BL335:BU335)</f>
        <v>0</v>
      </c>
      <c r="J335" s="18">
        <f>IF(COUNT(BV335:CD335)=9,SUM(BV335:CD335),"")</f>
        <v>0</v>
      </c>
      <c r="K335" s="18">
        <f>SUM(BL335:CD335)</f>
        <v>0</v>
      </c>
      <c r="L335" s="18">
        <f>--(K335&gt;='Codebook'!$C$8)</f>
        <v>0</v>
      </c>
      <c r="M335" s="18">
        <f>--(COUNT(BL335:CD335)=19)</f>
        <v>1</v>
      </c>
      <c r="N335" s="18">
        <f>SUM(CE335:CL335)</f>
        <v>0</v>
      </c>
      <c r="O335" s="18">
        <f>SUM(CM335:CR335)</f>
        <v>0</v>
      </c>
      <c r="P335" s="18">
        <f>N335+O335</f>
        <v>0</v>
      </c>
      <c r="Q335" s="21" t="s">
        <v>198</v>
      </c>
      <c r="R335" s="17" t="s">
        <v>154</v>
      </c>
      <c r="S335" s="18">
        <f>--OR(Overview!$B$6="All",E335=Overview!$B$6)*--OR(Overview!$F$6="All",F335=Overview!$F$6)*--OR(Overview!$J$6="All",G335=Overview!$J$6)*--OR(Overview!$N$6="All",H335=Overview!$N$6)</f>
        <v>1</v>
      </c>
      <c r="T335" s="21" t="s">
        <v>198</v>
      </c>
      <c r="U335" s="21" t="s">
        <v>198</v>
      </c>
      <c r="V335" s="21" t="s">
        <v>198</v>
      </c>
      <c r="W335" s="21" t="s">
        <v>198</v>
      </c>
      <c r="X335" s="21" t="s">
        <v>198</v>
      </c>
      <c r="Y335" s="21" t="s">
        <v>198</v>
      </c>
      <c r="Z335" s="21" t="s">
        <v>198</v>
      </c>
      <c r="AA335" s="21" t="s">
        <v>198</v>
      </c>
      <c r="AB335" s="21" t="s">
        <v>198</v>
      </c>
      <c r="AC335" s="21" t="s">
        <v>198</v>
      </c>
      <c r="AD335" s="21" t="s">
        <v>198</v>
      </c>
      <c r="AE335" s="21" t="s">
        <v>198</v>
      </c>
      <c r="AF335" s="21" t="s">
        <v>198</v>
      </c>
      <c r="AG335" s="21" t="s">
        <v>198</v>
      </c>
      <c r="AH335" s="21" t="s">
        <v>198</v>
      </c>
      <c r="AI335" s="21" t="s">
        <v>198</v>
      </c>
      <c r="AJ335" s="21" t="s">
        <v>22</v>
      </c>
      <c r="AK335" s="21" t="s">
        <v>198</v>
      </c>
      <c r="AL335" s="21" t="s">
        <v>198</v>
      </c>
      <c r="AM335" s="21" t="s">
        <v>198</v>
      </c>
      <c r="AN335" s="21" t="s">
        <v>198</v>
      </c>
      <c r="AO335" s="21" t="s">
        <v>198</v>
      </c>
      <c r="AP335" s="21" t="s">
        <v>198</v>
      </c>
      <c r="AQ335" s="21" t="s">
        <v>198</v>
      </c>
      <c r="AR335" s="21" t="s">
        <v>198</v>
      </c>
      <c r="AS335" s="21" t="s">
        <v>198</v>
      </c>
      <c r="AT335" s="21" t="s">
        <v>198</v>
      </c>
      <c r="AU335" s="21" t="s">
        <v>198</v>
      </c>
      <c r="AV335" s="21" t="s">
        <v>198</v>
      </c>
      <c r="AW335" s="21" t="s">
        <v>198</v>
      </c>
      <c r="AX335" s="21" t="s">
        <v>198</v>
      </c>
      <c r="AY335" s="21" t="s">
        <v>198</v>
      </c>
      <c r="AZ335" s="21" t="s">
        <v>198</v>
      </c>
      <c r="BA335" s="17" t="s">
        <v>250</v>
      </c>
      <c r="BB335" s="17" t="s">
        <v>250</v>
      </c>
      <c r="BC335" s="18">
        <f>--ISNUMBER(SEARCH("Radio or television",BA335))</f>
        <v>0</v>
      </c>
      <c r="BD335" s="18">
        <f>--ISNUMBER(SEARCH("Newspapers or print media",BA335))</f>
        <v>0</v>
      </c>
      <c r="BE335" s="18">
        <f>--ISNUMBER(SEARCH("Social media (e.g. Facebook, WhatsApp, YouTube, X/Twitter)",BA335))</f>
        <v>1</v>
      </c>
      <c r="BF335" s="18">
        <f>--ISNUMBER(SEARCH("Family members",BA335))</f>
        <v>0</v>
      </c>
      <c r="BG335" s="18">
        <f>--ISNUMBER(SEARCH("Friends or fellow students",BA335))</f>
        <v>0</v>
      </c>
      <c r="BH335" s="18">
        <f>--ISNUMBER(SEARCH("School coursework or lectures",BA335))</f>
        <v>0</v>
      </c>
      <c r="BI335" s="18">
        <f>--ISNUMBER(SEARCH("NHIMA outreach activities or NHIMA offices",BA335))</f>
        <v>0</v>
      </c>
      <c r="BJ335" s="18">
        <f>--ISNUMBER(SEARCH("Health facility staff",BA335))</f>
        <v>0</v>
      </c>
      <c r="BK335" s="18">
        <f>--ISNUMBER(SEARCH("not received information",BA335))</f>
        <v>0</v>
      </c>
      <c r="BL335" s="18">
        <f>IF(T335="","",--(T335='Codebook'!$F$13))</f>
        <v>0</v>
      </c>
      <c r="BM335" s="18">
        <f>IF(U335="","",--(U335='Codebook'!$F$14))</f>
        <v>0</v>
      </c>
      <c r="BN335" s="18">
        <f>IF(V335="","",--(V335='Codebook'!$F$15))</f>
        <v>0</v>
      </c>
      <c r="BO335" s="18">
        <f>IF(W335="","",--(W335='Codebook'!$F$16))</f>
        <v>0</v>
      </c>
      <c r="BP335" s="18">
        <f>IF(X335="","",--(X335='Codebook'!$F$17))</f>
        <v>0</v>
      </c>
      <c r="BQ335" s="18">
        <f>IF(Y335="","",--(Y335='Codebook'!$F$18))</f>
        <v>0</v>
      </c>
      <c r="BR335" s="18">
        <f>IF(Z335="","",--(Z335='Codebook'!$F$19))</f>
        <v>0</v>
      </c>
      <c r="BS335" s="18">
        <f>IF(AA335="","",--(AA335='Codebook'!$F$20))</f>
        <v>0</v>
      </c>
      <c r="BT335" s="18">
        <f>IF(AB335="","",--(AB335='Codebook'!$F$21))</f>
        <v>0</v>
      </c>
      <c r="BU335" s="18">
        <f>IF(AC335="","",--(AC335='Codebook'!$F$22))</f>
        <v>0</v>
      </c>
      <c r="BV335" s="18">
        <f>IF(AD335="","",--(AD335='Codebook'!$F$23))</f>
        <v>0</v>
      </c>
      <c r="BW335" s="18">
        <f>IF(AE335="","",--(AE335='Codebook'!$F$24))</f>
        <v>0</v>
      </c>
      <c r="BX335" s="18">
        <f>IF(AF335="","",--(AF335='Codebook'!$F$25))</f>
        <v>0</v>
      </c>
      <c r="BY335" s="18">
        <f>IF(AG335="","",--(AG335='Codebook'!$F$26))</f>
        <v>0</v>
      </c>
      <c r="BZ335" s="18">
        <f>IF(AH335="","",--(AH335='Codebook'!$F$27))</f>
        <v>0</v>
      </c>
      <c r="CA335" s="18">
        <f>IF(AI335="","",--(AI335='Codebook'!$F$28))</f>
        <v>0</v>
      </c>
      <c r="CB335" s="18">
        <f>IF(AJ335="","",--(AJ335='Codebook'!$F$29))</f>
        <v>0</v>
      </c>
      <c r="CC335" s="18">
        <f>IF(AK335="","",--(AK335='Codebook'!$F$30))</f>
        <v>0</v>
      </c>
      <c r="CD335" s="18">
        <f>IF(AL335="","",--(AL335='Codebook'!$F$31))</f>
        <v>0</v>
      </c>
      <c r="CE335" s="18">
        <f>IF(AM335="","",--(AM335='Codebook'!$F$32))</f>
        <v>0</v>
      </c>
      <c r="CF335" s="18">
        <f>IF(AN335="","",--(AN335='Codebook'!$F$33))</f>
        <v>0</v>
      </c>
      <c r="CG335" s="18">
        <f>IF(AO335="","",--(AO335='Codebook'!$F$34))</f>
        <v>0</v>
      </c>
      <c r="CH335" s="18">
        <f>IF(AP335="","",--(AP335='Codebook'!$F$35))</f>
        <v>0</v>
      </c>
      <c r="CI335" s="18">
        <f>IF(AQ335="","",--(AQ335='Codebook'!$F$36))</f>
        <v>0</v>
      </c>
      <c r="CJ335" s="18">
        <f>IF(AR335="","",--(AR335='Codebook'!$F$37))</f>
        <v>0</v>
      </c>
      <c r="CK335" s="18">
        <f>IF(AS335="","",--(AS335='Codebook'!$F$38))</f>
        <v>0</v>
      </c>
      <c r="CL335" s="18">
        <f>IF(AT335="","",--(AT335='Codebook'!$F$39))</f>
        <v>0</v>
      </c>
      <c r="CM335" s="18">
        <f>IF(AU335="","",--(AU335='Codebook'!$F$40))</f>
        <v>0</v>
      </c>
      <c r="CN335" s="18">
        <f>IF(AV335="","",--(AV335='Codebook'!$F$41))</f>
        <v>0</v>
      </c>
      <c r="CO335" s="18">
        <f>IF(AW335="","",--(AW335='Codebook'!$F$42))</f>
        <v>0</v>
      </c>
      <c r="CP335" s="18">
        <f>IF(AX335="","",--(AX335='Codebook'!$F$43))</f>
        <v>0</v>
      </c>
      <c r="CQ335" s="18">
        <f>IF(AY335="","",--(AY335='Codebook'!$F$44))</f>
        <v>0</v>
      </c>
      <c r="CR335" s="18">
        <f>IF(AZ335="","",--(AZ335='Codebook'!$F$45))</f>
        <v>0</v>
      </c>
    </row>
    <row r="336" spans="2:96" ht="24" customHeight="1">
      <c r="B336" s="18">
        <v>331</v>
      </c>
      <c r="C336" s="23">
        <v>46294.41217275463</v>
      </c>
      <c r="D336" s="21" t="s">
        <v>268</v>
      </c>
      <c r="E336" s="21" t="s">
        <v>206</v>
      </c>
      <c r="F336" s="21" t="s">
        <v>201</v>
      </c>
      <c r="G336" s="17" t="s">
        <v>215</v>
      </c>
      <c r="H336" s="21" t="s">
        <v>207</v>
      </c>
      <c r="I336" s="18">
        <f>SUM(BL336:BU336)</f>
        <v>0</v>
      </c>
      <c r="J336" s="18">
        <f>IF(COUNT(BV336:CD336)=9,SUM(BV336:CD336),"")</f>
        <v>0</v>
      </c>
      <c r="K336" s="18">
        <f>SUM(BL336:CD336)</f>
        <v>0</v>
      </c>
      <c r="L336" s="18">
        <f>--(K336&gt;='Codebook'!$C$8)</f>
        <v>0</v>
      </c>
      <c r="M336" s="18">
        <f>--(COUNT(BL336:CD336)=19)</f>
        <v>1</v>
      </c>
      <c r="N336" s="18">
        <f>SUM(CE336:CL336)</f>
        <v>0</v>
      </c>
      <c r="O336" s="18">
        <f>SUM(CM336:CR336)</f>
        <v>0</v>
      </c>
      <c r="P336" s="18">
        <f>N336+O336</f>
        <v>0</v>
      </c>
      <c r="Q336" s="21" t="s">
        <v>198</v>
      </c>
      <c r="R336" s="17" t="s">
        <v>154</v>
      </c>
      <c r="S336" s="18">
        <f>--OR(Overview!$B$6="All",E336=Overview!$B$6)*--OR(Overview!$F$6="All",F336=Overview!$F$6)*--OR(Overview!$J$6="All",G336=Overview!$J$6)*--OR(Overview!$N$6="All",H336=Overview!$N$6)</f>
        <v>1</v>
      </c>
      <c r="T336" s="21" t="s">
        <v>198</v>
      </c>
      <c r="U336" s="21" t="s">
        <v>198</v>
      </c>
      <c r="V336" s="21" t="s">
        <v>198</v>
      </c>
      <c r="W336" s="21" t="s">
        <v>198</v>
      </c>
      <c r="X336" s="21" t="s">
        <v>198</v>
      </c>
      <c r="Y336" s="21" t="s">
        <v>198</v>
      </c>
      <c r="Z336" s="21" t="s">
        <v>198</v>
      </c>
      <c r="AA336" s="21" t="s">
        <v>198</v>
      </c>
      <c r="AB336" s="21" t="s">
        <v>198</v>
      </c>
      <c r="AC336" s="21" t="s">
        <v>198</v>
      </c>
      <c r="AD336" s="21" t="s">
        <v>198</v>
      </c>
      <c r="AE336" s="21" t="s">
        <v>198</v>
      </c>
      <c r="AF336" s="21" t="s">
        <v>198</v>
      </c>
      <c r="AG336" s="21" t="s">
        <v>198</v>
      </c>
      <c r="AH336" s="21" t="s">
        <v>198</v>
      </c>
      <c r="AI336" s="21" t="s">
        <v>198</v>
      </c>
      <c r="AJ336" s="21" t="s">
        <v>198</v>
      </c>
      <c r="AK336" s="21" t="s">
        <v>198</v>
      </c>
      <c r="AL336" s="21" t="s">
        <v>198</v>
      </c>
      <c r="AM336" s="21" t="s">
        <v>198</v>
      </c>
      <c r="AN336" s="21" t="s">
        <v>198</v>
      </c>
      <c r="AO336" s="21" t="s">
        <v>198</v>
      </c>
      <c r="AP336" s="21" t="s">
        <v>198</v>
      </c>
      <c r="AQ336" s="21" t="s">
        <v>198</v>
      </c>
      <c r="AR336" s="21" t="s">
        <v>198</v>
      </c>
      <c r="AS336" s="21" t="s">
        <v>198</v>
      </c>
      <c r="AT336" s="21" t="s">
        <v>198</v>
      </c>
      <c r="AU336" s="21" t="s">
        <v>198</v>
      </c>
      <c r="AV336" s="21" t="s">
        <v>198</v>
      </c>
      <c r="AW336" s="21" t="s">
        <v>198</v>
      </c>
      <c r="AX336" s="21" t="s">
        <v>198</v>
      </c>
      <c r="AY336" s="21" t="s">
        <v>198</v>
      </c>
      <c r="AZ336" s="21" t="s">
        <v>198</v>
      </c>
      <c r="BA336" s="17" t="s">
        <v>246</v>
      </c>
      <c r="BB336" s="17" t="s">
        <v>250</v>
      </c>
      <c r="BC336" s="18">
        <f>--ISNUMBER(SEARCH("Radio or television",BA336))</f>
        <v>1</v>
      </c>
      <c r="BD336" s="18">
        <f>--ISNUMBER(SEARCH("Newspapers or print media",BA336))</f>
        <v>0</v>
      </c>
      <c r="BE336" s="18">
        <f>--ISNUMBER(SEARCH("Social media (e.g. Facebook, WhatsApp, YouTube, X/Twitter)",BA336))</f>
        <v>1</v>
      </c>
      <c r="BF336" s="18">
        <f>--ISNUMBER(SEARCH("Family members",BA336))</f>
        <v>0</v>
      </c>
      <c r="BG336" s="18">
        <f>--ISNUMBER(SEARCH("Friends or fellow students",BA336))</f>
        <v>0</v>
      </c>
      <c r="BH336" s="18">
        <f>--ISNUMBER(SEARCH("School coursework or lectures",BA336))</f>
        <v>0</v>
      </c>
      <c r="BI336" s="18">
        <f>--ISNUMBER(SEARCH("NHIMA outreach activities or NHIMA offices",BA336))</f>
        <v>0</v>
      </c>
      <c r="BJ336" s="18">
        <f>--ISNUMBER(SEARCH("Health facility staff",BA336))</f>
        <v>0</v>
      </c>
      <c r="BK336" s="18">
        <f>--ISNUMBER(SEARCH("not received information",BA336))</f>
        <v>0</v>
      </c>
      <c r="BL336" s="18">
        <f>IF(T336="","",--(T336='Codebook'!$F$13))</f>
        <v>0</v>
      </c>
      <c r="BM336" s="18">
        <f>IF(U336="","",--(U336='Codebook'!$F$14))</f>
        <v>0</v>
      </c>
      <c r="BN336" s="18">
        <f>IF(V336="","",--(V336='Codebook'!$F$15))</f>
        <v>0</v>
      </c>
      <c r="BO336" s="18">
        <f>IF(W336="","",--(W336='Codebook'!$F$16))</f>
        <v>0</v>
      </c>
      <c r="BP336" s="18">
        <f>IF(X336="","",--(X336='Codebook'!$F$17))</f>
        <v>0</v>
      </c>
      <c r="BQ336" s="18">
        <f>IF(Y336="","",--(Y336='Codebook'!$F$18))</f>
        <v>0</v>
      </c>
      <c r="BR336" s="18">
        <f>IF(Z336="","",--(Z336='Codebook'!$F$19))</f>
        <v>0</v>
      </c>
      <c r="BS336" s="18">
        <f>IF(AA336="","",--(AA336='Codebook'!$F$20))</f>
        <v>0</v>
      </c>
      <c r="BT336" s="18">
        <f>IF(AB336="","",--(AB336='Codebook'!$F$21))</f>
        <v>0</v>
      </c>
      <c r="BU336" s="18">
        <f>IF(AC336="","",--(AC336='Codebook'!$F$22))</f>
        <v>0</v>
      </c>
      <c r="BV336" s="18">
        <f>IF(AD336="","",--(AD336='Codebook'!$F$23))</f>
        <v>0</v>
      </c>
      <c r="BW336" s="18">
        <f>IF(AE336="","",--(AE336='Codebook'!$F$24))</f>
        <v>0</v>
      </c>
      <c r="BX336" s="18">
        <f>IF(AF336="","",--(AF336='Codebook'!$F$25))</f>
        <v>0</v>
      </c>
      <c r="BY336" s="18">
        <f>IF(AG336="","",--(AG336='Codebook'!$F$26))</f>
        <v>0</v>
      </c>
      <c r="BZ336" s="18">
        <f>IF(AH336="","",--(AH336='Codebook'!$F$27))</f>
        <v>0</v>
      </c>
      <c r="CA336" s="18">
        <f>IF(AI336="","",--(AI336='Codebook'!$F$28))</f>
        <v>0</v>
      </c>
      <c r="CB336" s="18">
        <f>IF(AJ336="","",--(AJ336='Codebook'!$F$29))</f>
        <v>0</v>
      </c>
      <c r="CC336" s="18">
        <f>IF(AK336="","",--(AK336='Codebook'!$F$30))</f>
        <v>0</v>
      </c>
      <c r="CD336" s="18">
        <f>IF(AL336="","",--(AL336='Codebook'!$F$31))</f>
        <v>0</v>
      </c>
      <c r="CE336" s="18">
        <f>IF(AM336="","",--(AM336='Codebook'!$F$32))</f>
        <v>0</v>
      </c>
      <c r="CF336" s="18">
        <f>IF(AN336="","",--(AN336='Codebook'!$F$33))</f>
        <v>0</v>
      </c>
      <c r="CG336" s="18">
        <f>IF(AO336="","",--(AO336='Codebook'!$F$34))</f>
        <v>0</v>
      </c>
      <c r="CH336" s="18">
        <f>IF(AP336="","",--(AP336='Codebook'!$F$35))</f>
        <v>0</v>
      </c>
      <c r="CI336" s="18">
        <f>IF(AQ336="","",--(AQ336='Codebook'!$F$36))</f>
        <v>0</v>
      </c>
      <c r="CJ336" s="18">
        <f>IF(AR336="","",--(AR336='Codebook'!$F$37))</f>
        <v>0</v>
      </c>
      <c r="CK336" s="18">
        <f>IF(AS336="","",--(AS336='Codebook'!$F$38))</f>
        <v>0</v>
      </c>
      <c r="CL336" s="18">
        <f>IF(AT336="","",--(AT336='Codebook'!$F$39))</f>
        <v>0</v>
      </c>
      <c r="CM336" s="18">
        <f>IF(AU336="","",--(AU336='Codebook'!$F$40))</f>
        <v>0</v>
      </c>
      <c r="CN336" s="18">
        <f>IF(AV336="","",--(AV336='Codebook'!$F$41))</f>
        <v>0</v>
      </c>
      <c r="CO336" s="18">
        <f>IF(AW336="","",--(AW336='Codebook'!$F$42))</f>
        <v>0</v>
      </c>
      <c r="CP336" s="18">
        <f>IF(AX336="","",--(AX336='Codebook'!$F$43))</f>
        <v>0</v>
      </c>
      <c r="CQ336" s="18">
        <f>IF(AY336="","",--(AY336='Codebook'!$F$44))</f>
        <v>0</v>
      </c>
      <c r="CR336" s="18">
        <f>IF(AZ336="","",--(AZ336='Codebook'!$F$45))</f>
        <v>0</v>
      </c>
    </row>
    <row r="337" spans="2:96" ht="24" customHeight="1">
      <c r="B337" s="18">
        <v>332</v>
      </c>
      <c r="C337" s="23">
        <v>46294.41403239583</v>
      </c>
      <c r="D337" s="21" t="s">
        <v>268</v>
      </c>
      <c r="E337" s="21" t="s">
        <v>194</v>
      </c>
      <c r="F337" s="21" t="s">
        <v>226</v>
      </c>
      <c r="G337" s="17" t="s">
        <v>202</v>
      </c>
      <c r="H337" s="21" t="s">
        <v>197</v>
      </c>
      <c r="I337" s="18">
        <f>SUM(BL337:BU337)</f>
        <v>2</v>
      </c>
      <c r="J337" s="18">
        <f>IF(COUNT(BV337:CD337)=9,SUM(BV337:CD337),"")</f>
        <v>0</v>
      </c>
      <c r="K337" s="18">
        <f>SUM(BL337:CD337)</f>
        <v>2</v>
      </c>
      <c r="L337" s="18">
        <f>--(K337&gt;='Codebook'!$C$8)</f>
        <v>0</v>
      </c>
      <c r="M337" s="18">
        <f>--(COUNT(BL337:CD337)=19)</f>
        <v>1</v>
      </c>
      <c r="N337" s="18">
        <f>SUM(CE337:CL337)</f>
        <v>0</v>
      </c>
      <c r="O337" s="18">
        <f>SUM(CM337:CR337)</f>
        <v>0</v>
      </c>
      <c r="P337" s="18">
        <f>N337+O337</f>
        <v>0</v>
      </c>
      <c r="Q337" s="21" t="s">
        <v>207</v>
      </c>
      <c r="R337" s="17" t="s">
        <v>154</v>
      </c>
      <c r="S337" s="18">
        <f>--OR(Overview!$B$6="All",E337=Overview!$B$6)*--OR(Overview!$F$6="All",F337=Overview!$F$6)*--OR(Overview!$J$6="All",G337=Overview!$J$6)*--OR(Overview!$N$6="All",H337=Overview!$N$6)</f>
        <v>1</v>
      </c>
      <c r="T337" s="21" t="s">
        <v>22</v>
      </c>
      <c r="U337" s="21" t="s">
        <v>26</v>
      </c>
      <c r="V337" s="21" t="s">
        <v>198</v>
      </c>
      <c r="W337" s="21" t="s">
        <v>198</v>
      </c>
      <c r="X337" s="21" t="s">
        <v>198</v>
      </c>
      <c r="Y337" s="21" t="s">
        <v>198</v>
      </c>
      <c r="Z337" s="21" t="s">
        <v>198</v>
      </c>
      <c r="AA337" s="21" t="s">
        <v>198</v>
      </c>
      <c r="AB337" s="21" t="s">
        <v>198</v>
      </c>
      <c r="AC337" s="21" t="s">
        <v>198</v>
      </c>
      <c r="AD337" s="21" t="s">
        <v>198</v>
      </c>
      <c r="AE337" s="21" t="s">
        <v>198</v>
      </c>
      <c r="AF337" s="21" t="s">
        <v>198</v>
      </c>
      <c r="AG337" s="21" t="s">
        <v>198</v>
      </c>
      <c r="AH337" s="21" t="s">
        <v>198</v>
      </c>
      <c r="AI337" s="21" t="s">
        <v>198</v>
      </c>
      <c r="AJ337" s="21" t="s">
        <v>198</v>
      </c>
      <c r="AK337" s="21" t="s">
        <v>198</v>
      </c>
      <c r="AL337" s="21" t="s">
        <v>198</v>
      </c>
      <c r="AM337" s="21" t="s">
        <v>198</v>
      </c>
      <c r="AN337" s="21" t="s">
        <v>198</v>
      </c>
      <c r="AO337" s="21" t="s">
        <v>198</v>
      </c>
      <c r="AP337" s="21" t="s">
        <v>198</v>
      </c>
      <c r="AQ337" s="21" t="s">
        <v>198</v>
      </c>
      <c r="AR337" s="21" t="s">
        <v>198</v>
      </c>
      <c r="AS337" s="21" t="s">
        <v>198</v>
      </c>
      <c r="AT337" s="21" t="s">
        <v>198</v>
      </c>
      <c r="AU337" s="21" t="s">
        <v>198</v>
      </c>
      <c r="AV337" s="21" t="s">
        <v>198</v>
      </c>
      <c r="AW337" s="21" t="s">
        <v>198</v>
      </c>
      <c r="AX337" s="21" t="s">
        <v>198</v>
      </c>
      <c r="AY337" s="21" t="s">
        <v>198</v>
      </c>
      <c r="AZ337" s="21" t="s">
        <v>198</v>
      </c>
      <c r="BA337" s="17" t="s">
        <v>246</v>
      </c>
      <c r="BB337" s="17" t="s">
        <v>250</v>
      </c>
      <c r="BC337" s="18">
        <f>--ISNUMBER(SEARCH("Radio or television",BA337))</f>
        <v>1</v>
      </c>
      <c r="BD337" s="18">
        <f>--ISNUMBER(SEARCH("Newspapers or print media",BA337))</f>
        <v>0</v>
      </c>
      <c r="BE337" s="18">
        <f>--ISNUMBER(SEARCH("Social media (e.g. Facebook, WhatsApp, YouTube, X/Twitter)",BA337))</f>
        <v>1</v>
      </c>
      <c r="BF337" s="18">
        <f>--ISNUMBER(SEARCH("Family members",BA337))</f>
        <v>0</v>
      </c>
      <c r="BG337" s="18">
        <f>--ISNUMBER(SEARCH("Friends or fellow students",BA337))</f>
        <v>0</v>
      </c>
      <c r="BH337" s="18">
        <f>--ISNUMBER(SEARCH("School coursework or lectures",BA337))</f>
        <v>0</v>
      </c>
      <c r="BI337" s="18">
        <f>--ISNUMBER(SEARCH("NHIMA outreach activities or NHIMA offices",BA337))</f>
        <v>0</v>
      </c>
      <c r="BJ337" s="18">
        <f>--ISNUMBER(SEARCH("Health facility staff",BA337))</f>
        <v>0</v>
      </c>
      <c r="BK337" s="18">
        <f>--ISNUMBER(SEARCH("not received information",BA337))</f>
        <v>0</v>
      </c>
      <c r="BL337" s="18">
        <f>IF(T337="","",--(T337='Codebook'!$F$13))</f>
        <v>1</v>
      </c>
      <c r="BM337" s="18">
        <f>IF(U337="","",--(U337='Codebook'!$F$14))</f>
        <v>1</v>
      </c>
      <c r="BN337" s="18">
        <f>IF(V337="","",--(V337='Codebook'!$F$15))</f>
        <v>0</v>
      </c>
      <c r="BO337" s="18">
        <f>IF(W337="","",--(W337='Codebook'!$F$16))</f>
        <v>0</v>
      </c>
      <c r="BP337" s="18">
        <f>IF(X337="","",--(X337='Codebook'!$F$17))</f>
        <v>0</v>
      </c>
      <c r="BQ337" s="18">
        <f>IF(Y337="","",--(Y337='Codebook'!$F$18))</f>
        <v>0</v>
      </c>
      <c r="BR337" s="18">
        <f>IF(Z337="","",--(Z337='Codebook'!$F$19))</f>
        <v>0</v>
      </c>
      <c r="BS337" s="18">
        <f>IF(AA337="","",--(AA337='Codebook'!$F$20))</f>
        <v>0</v>
      </c>
      <c r="BT337" s="18">
        <f>IF(AB337="","",--(AB337='Codebook'!$F$21))</f>
        <v>0</v>
      </c>
      <c r="BU337" s="18">
        <f>IF(AC337="","",--(AC337='Codebook'!$F$22))</f>
        <v>0</v>
      </c>
      <c r="BV337" s="18">
        <f>IF(AD337="","",--(AD337='Codebook'!$F$23))</f>
        <v>0</v>
      </c>
      <c r="BW337" s="18">
        <f>IF(AE337="","",--(AE337='Codebook'!$F$24))</f>
        <v>0</v>
      </c>
      <c r="BX337" s="18">
        <f>IF(AF337="","",--(AF337='Codebook'!$F$25))</f>
        <v>0</v>
      </c>
      <c r="BY337" s="18">
        <f>IF(AG337="","",--(AG337='Codebook'!$F$26))</f>
        <v>0</v>
      </c>
      <c r="BZ337" s="18">
        <f>IF(AH337="","",--(AH337='Codebook'!$F$27))</f>
        <v>0</v>
      </c>
      <c r="CA337" s="18">
        <f>IF(AI337="","",--(AI337='Codebook'!$F$28))</f>
        <v>0</v>
      </c>
      <c r="CB337" s="18">
        <f>IF(AJ337="","",--(AJ337='Codebook'!$F$29))</f>
        <v>0</v>
      </c>
      <c r="CC337" s="18">
        <f>IF(AK337="","",--(AK337='Codebook'!$F$30))</f>
        <v>0</v>
      </c>
      <c r="CD337" s="18">
        <f>IF(AL337="","",--(AL337='Codebook'!$F$31))</f>
        <v>0</v>
      </c>
      <c r="CE337" s="18">
        <f>IF(AM337="","",--(AM337='Codebook'!$F$32))</f>
        <v>0</v>
      </c>
      <c r="CF337" s="18">
        <f>IF(AN337="","",--(AN337='Codebook'!$F$33))</f>
        <v>0</v>
      </c>
      <c r="CG337" s="18">
        <f>IF(AO337="","",--(AO337='Codebook'!$F$34))</f>
        <v>0</v>
      </c>
      <c r="CH337" s="18">
        <f>IF(AP337="","",--(AP337='Codebook'!$F$35))</f>
        <v>0</v>
      </c>
      <c r="CI337" s="18">
        <f>IF(AQ337="","",--(AQ337='Codebook'!$F$36))</f>
        <v>0</v>
      </c>
      <c r="CJ337" s="18">
        <f>IF(AR337="","",--(AR337='Codebook'!$F$37))</f>
        <v>0</v>
      </c>
      <c r="CK337" s="18">
        <f>IF(AS337="","",--(AS337='Codebook'!$F$38))</f>
        <v>0</v>
      </c>
      <c r="CL337" s="18">
        <f>IF(AT337="","",--(AT337='Codebook'!$F$39))</f>
        <v>0</v>
      </c>
      <c r="CM337" s="18">
        <f>IF(AU337="","",--(AU337='Codebook'!$F$40))</f>
        <v>0</v>
      </c>
      <c r="CN337" s="18">
        <f>IF(AV337="","",--(AV337='Codebook'!$F$41))</f>
        <v>0</v>
      </c>
      <c r="CO337" s="18">
        <f>IF(AW337="","",--(AW337='Codebook'!$F$42))</f>
        <v>0</v>
      </c>
      <c r="CP337" s="18">
        <f>IF(AX337="","",--(AX337='Codebook'!$F$43))</f>
        <v>0</v>
      </c>
      <c r="CQ337" s="18">
        <f>IF(AY337="","",--(AY337='Codebook'!$F$44))</f>
        <v>0</v>
      </c>
      <c r="CR337" s="18">
        <f>IF(AZ337="","",--(AZ337='Codebook'!$F$45))</f>
        <v>0</v>
      </c>
    </row>
    <row r="338" spans="2:96" ht="24" customHeight="1">
      <c r="B338" s="18">
        <v>333</v>
      </c>
      <c r="C338" s="23">
        <v>46294.4146508912</v>
      </c>
      <c r="D338" s="21" t="s">
        <v>268</v>
      </c>
      <c r="E338" s="21" t="s">
        <v>206</v>
      </c>
      <c r="F338" s="21" t="s">
        <v>201</v>
      </c>
      <c r="G338" s="17" t="s">
        <v>202</v>
      </c>
      <c r="H338" s="21" t="s">
        <v>207</v>
      </c>
      <c r="I338" s="18">
        <f>SUM(BL338:BU338)</f>
        <v>6</v>
      </c>
      <c r="J338" s="18">
        <f>IF(COUNT(BV338:CD338)=9,SUM(BV338:CD338),"")</f>
        <v>5</v>
      </c>
      <c r="K338" s="18">
        <f>SUM(BL338:CD338)</f>
        <v>11</v>
      </c>
      <c r="L338" s="18">
        <f>--(K338&gt;='Codebook'!$C$8)</f>
        <v>0</v>
      </c>
      <c r="M338" s="18">
        <f>--(COUNT(BL338:CD338)=19)</f>
        <v>1</v>
      </c>
      <c r="N338" s="18">
        <f>SUM(CE338:CL338)</f>
        <v>0</v>
      </c>
      <c r="O338" s="18">
        <f>SUM(CM338:CR338)</f>
        <v>0</v>
      </c>
      <c r="P338" s="18">
        <f>N338+O338</f>
        <v>0</v>
      </c>
      <c r="Q338" s="21" t="s">
        <v>198</v>
      </c>
      <c r="R338" s="17" t="s">
        <v>154</v>
      </c>
      <c r="S338" s="18">
        <f>--OR(Overview!$B$6="All",E338=Overview!$B$6)*--OR(Overview!$F$6="All",F338=Overview!$F$6)*--OR(Overview!$J$6="All",G338=Overview!$J$6)*--OR(Overview!$N$6="All",H338=Overview!$N$6)</f>
        <v>1</v>
      </c>
      <c r="T338" s="21" t="s">
        <v>22</v>
      </c>
      <c r="U338" s="21" t="s">
        <v>22</v>
      </c>
      <c r="V338" s="21" t="s">
        <v>22</v>
      </c>
      <c r="W338" s="21" t="s">
        <v>22</v>
      </c>
      <c r="X338" s="21" t="s">
        <v>22</v>
      </c>
      <c r="Y338" s="21" t="s">
        <v>22</v>
      </c>
      <c r="Z338" s="21" t="s">
        <v>22</v>
      </c>
      <c r="AA338" s="21" t="s">
        <v>22</v>
      </c>
      <c r="AB338" s="21" t="s">
        <v>22</v>
      </c>
      <c r="AC338" s="21" t="s">
        <v>22</v>
      </c>
      <c r="AD338" s="21" t="s">
        <v>22</v>
      </c>
      <c r="AE338" s="21" t="s">
        <v>22</v>
      </c>
      <c r="AF338" s="21" t="s">
        <v>22</v>
      </c>
      <c r="AG338" s="21" t="s">
        <v>22</v>
      </c>
      <c r="AH338" s="21" t="s">
        <v>22</v>
      </c>
      <c r="AI338" s="21" t="s">
        <v>22</v>
      </c>
      <c r="AJ338" s="21" t="s">
        <v>22</v>
      </c>
      <c r="AK338" s="21" t="s">
        <v>22</v>
      </c>
      <c r="AL338" s="21" t="s">
        <v>22</v>
      </c>
      <c r="AM338" s="21" t="s">
        <v>198</v>
      </c>
      <c r="AN338" s="21" t="s">
        <v>198</v>
      </c>
      <c r="AO338" s="21" t="s">
        <v>198</v>
      </c>
      <c r="AP338" s="21" t="s">
        <v>198</v>
      </c>
      <c r="AQ338" s="21" t="s">
        <v>198</v>
      </c>
      <c r="AR338" s="21" t="s">
        <v>198</v>
      </c>
      <c r="AS338" s="21" t="s">
        <v>198</v>
      </c>
      <c r="AT338" s="21" t="s">
        <v>198</v>
      </c>
      <c r="AU338" s="21" t="s">
        <v>198</v>
      </c>
      <c r="AV338" s="21" t="s">
        <v>198</v>
      </c>
      <c r="AW338" s="21" t="s">
        <v>198</v>
      </c>
      <c r="AX338" s="21" t="s">
        <v>198</v>
      </c>
      <c r="AY338" s="21" t="s">
        <v>198</v>
      </c>
      <c r="AZ338" s="21" t="s">
        <v>198</v>
      </c>
      <c r="BA338" s="17" t="s">
        <v>246</v>
      </c>
      <c r="BB338" s="17" t="s">
        <v>250</v>
      </c>
      <c r="BC338" s="18">
        <f>--ISNUMBER(SEARCH("Radio or television",BA338))</f>
        <v>1</v>
      </c>
      <c r="BD338" s="18">
        <f>--ISNUMBER(SEARCH("Newspapers or print media",BA338))</f>
        <v>0</v>
      </c>
      <c r="BE338" s="18">
        <f>--ISNUMBER(SEARCH("Social media (e.g. Facebook, WhatsApp, YouTube, X/Twitter)",BA338))</f>
        <v>1</v>
      </c>
      <c r="BF338" s="18">
        <f>--ISNUMBER(SEARCH("Family members",BA338))</f>
        <v>0</v>
      </c>
      <c r="BG338" s="18">
        <f>--ISNUMBER(SEARCH("Friends or fellow students",BA338))</f>
        <v>0</v>
      </c>
      <c r="BH338" s="18">
        <f>--ISNUMBER(SEARCH("School coursework or lectures",BA338))</f>
        <v>0</v>
      </c>
      <c r="BI338" s="18">
        <f>--ISNUMBER(SEARCH("NHIMA outreach activities or NHIMA offices",BA338))</f>
        <v>0</v>
      </c>
      <c r="BJ338" s="18">
        <f>--ISNUMBER(SEARCH("Health facility staff",BA338))</f>
        <v>0</v>
      </c>
      <c r="BK338" s="18">
        <f>--ISNUMBER(SEARCH("not received information",BA338))</f>
        <v>0</v>
      </c>
      <c r="BL338" s="18">
        <f>IF(T338="","",--(T338='Codebook'!$F$13))</f>
        <v>1</v>
      </c>
      <c r="BM338" s="18">
        <f>IF(U338="","",--(U338='Codebook'!$F$14))</f>
        <v>0</v>
      </c>
      <c r="BN338" s="18">
        <f>IF(V338="","",--(V338='Codebook'!$F$15))</f>
        <v>0</v>
      </c>
      <c r="BO338" s="18">
        <f>IF(W338="","",--(W338='Codebook'!$F$16))</f>
        <v>1</v>
      </c>
      <c r="BP338" s="18">
        <f>IF(X338="","",--(X338='Codebook'!$F$17))</f>
        <v>1</v>
      </c>
      <c r="BQ338" s="18">
        <f>IF(Y338="","",--(Y338='Codebook'!$F$18))</f>
        <v>0</v>
      </c>
      <c r="BR338" s="18">
        <f>IF(Z338="","",--(Z338='Codebook'!$F$19))</f>
        <v>1</v>
      </c>
      <c r="BS338" s="18">
        <f>IF(AA338="","",--(AA338='Codebook'!$F$20))</f>
        <v>1</v>
      </c>
      <c r="BT338" s="18">
        <f>IF(AB338="","",--(AB338='Codebook'!$F$21))</f>
        <v>0</v>
      </c>
      <c r="BU338" s="18">
        <f>IF(AC338="","",--(AC338='Codebook'!$F$22))</f>
        <v>1</v>
      </c>
      <c r="BV338" s="18">
        <f>IF(AD338="","",--(AD338='Codebook'!$F$23))</f>
        <v>1</v>
      </c>
      <c r="BW338" s="18">
        <f>IF(AE338="","",--(AE338='Codebook'!$F$24))</f>
        <v>1</v>
      </c>
      <c r="BX338" s="18">
        <f>IF(AF338="","",--(AF338='Codebook'!$F$25))</f>
        <v>0</v>
      </c>
      <c r="BY338" s="18">
        <f>IF(AG338="","",--(AG338='Codebook'!$F$26))</f>
        <v>1</v>
      </c>
      <c r="BZ338" s="18">
        <f>IF(AH338="","",--(AH338='Codebook'!$F$27))</f>
        <v>1</v>
      </c>
      <c r="CA338" s="18">
        <f>IF(AI338="","",--(AI338='Codebook'!$F$28))</f>
        <v>0</v>
      </c>
      <c r="CB338" s="18">
        <f>IF(AJ338="","",--(AJ338='Codebook'!$F$29))</f>
        <v>0</v>
      </c>
      <c r="CC338" s="18">
        <f>IF(AK338="","",--(AK338='Codebook'!$F$30))</f>
        <v>1</v>
      </c>
      <c r="CD338" s="18">
        <f>IF(AL338="","",--(AL338='Codebook'!$F$31))</f>
        <v>0</v>
      </c>
      <c r="CE338" s="18">
        <f>IF(AM338="","",--(AM338='Codebook'!$F$32))</f>
        <v>0</v>
      </c>
      <c r="CF338" s="18">
        <f>IF(AN338="","",--(AN338='Codebook'!$F$33))</f>
        <v>0</v>
      </c>
      <c r="CG338" s="18">
        <f>IF(AO338="","",--(AO338='Codebook'!$F$34))</f>
        <v>0</v>
      </c>
      <c r="CH338" s="18">
        <f>IF(AP338="","",--(AP338='Codebook'!$F$35))</f>
        <v>0</v>
      </c>
      <c r="CI338" s="18">
        <f>IF(AQ338="","",--(AQ338='Codebook'!$F$36))</f>
        <v>0</v>
      </c>
      <c r="CJ338" s="18">
        <f>IF(AR338="","",--(AR338='Codebook'!$F$37))</f>
        <v>0</v>
      </c>
      <c r="CK338" s="18">
        <f>IF(AS338="","",--(AS338='Codebook'!$F$38))</f>
        <v>0</v>
      </c>
      <c r="CL338" s="18">
        <f>IF(AT338="","",--(AT338='Codebook'!$F$39))</f>
        <v>0</v>
      </c>
      <c r="CM338" s="18">
        <f>IF(AU338="","",--(AU338='Codebook'!$F$40))</f>
        <v>0</v>
      </c>
      <c r="CN338" s="18">
        <f>IF(AV338="","",--(AV338='Codebook'!$F$41))</f>
        <v>0</v>
      </c>
      <c r="CO338" s="18">
        <f>IF(AW338="","",--(AW338='Codebook'!$F$42))</f>
        <v>0</v>
      </c>
      <c r="CP338" s="18">
        <f>IF(AX338="","",--(AX338='Codebook'!$F$43))</f>
        <v>0</v>
      </c>
      <c r="CQ338" s="18">
        <f>IF(AY338="","",--(AY338='Codebook'!$F$44))</f>
        <v>0</v>
      </c>
      <c r="CR338" s="18">
        <f>IF(AZ338="","",--(AZ338='Codebook'!$F$45))</f>
        <v>0</v>
      </c>
    </row>
    <row r="339" spans="2:96" ht="24" customHeight="1">
      <c r="B339" s="18">
        <v>334</v>
      </c>
      <c r="C339" s="23">
        <v>46294.41526104166</v>
      </c>
      <c r="D339" s="21" t="s">
        <v>268</v>
      </c>
      <c r="E339" s="21" t="s">
        <v>206</v>
      </c>
      <c r="F339" s="21" t="s">
        <v>201</v>
      </c>
      <c r="G339" s="17" t="s">
        <v>215</v>
      </c>
      <c r="H339" s="21" t="s">
        <v>198</v>
      </c>
      <c r="I339" s="18">
        <f>SUM(BL339:BU339)</f>
        <v>6</v>
      </c>
      <c r="J339" s="18">
        <f>IF(COUNT(BV339:CD339)=9,SUM(BV339:CD339),"")</f>
        <v>5</v>
      </c>
      <c r="K339" s="18">
        <f>SUM(BL339:CD339)</f>
        <v>11</v>
      </c>
      <c r="L339" s="18">
        <f>--(K339&gt;='Codebook'!$C$8)</f>
        <v>0</v>
      </c>
      <c r="M339" s="18">
        <f>--(COUNT(BL339:CD339)=19)</f>
        <v>1</v>
      </c>
      <c r="N339" s="18">
        <f>SUM(CE339:CL339)</f>
        <v>0</v>
      </c>
      <c r="O339" s="18">
        <f>SUM(CM339:CR339)</f>
        <v>0</v>
      </c>
      <c r="P339" s="18">
        <f>N339+O339</f>
        <v>0</v>
      </c>
      <c r="Q339" s="21" t="s">
        <v>207</v>
      </c>
      <c r="R339" s="17" t="s">
        <v>154</v>
      </c>
      <c r="S339" s="18">
        <f>--OR(Overview!$B$6="All",E339=Overview!$B$6)*--OR(Overview!$F$6="All",F339=Overview!$F$6)*--OR(Overview!$J$6="All",G339=Overview!$J$6)*--OR(Overview!$N$6="All",H339=Overview!$N$6)</f>
        <v>1</v>
      </c>
      <c r="T339" s="21" t="s">
        <v>22</v>
      </c>
      <c r="U339" s="21" t="s">
        <v>22</v>
      </c>
      <c r="V339" s="21" t="s">
        <v>22</v>
      </c>
      <c r="W339" s="21" t="s">
        <v>22</v>
      </c>
      <c r="X339" s="21" t="s">
        <v>22</v>
      </c>
      <c r="Y339" s="21" t="s">
        <v>22</v>
      </c>
      <c r="Z339" s="21" t="s">
        <v>22</v>
      </c>
      <c r="AA339" s="21" t="s">
        <v>22</v>
      </c>
      <c r="AB339" s="21" t="s">
        <v>22</v>
      </c>
      <c r="AC339" s="21" t="s">
        <v>22</v>
      </c>
      <c r="AD339" s="21" t="s">
        <v>22</v>
      </c>
      <c r="AE339" s="21" t="s">
        <v>22</v>
      </c>
      <c r="AF339" s="21" t="s">
        <v>22</v>
      </c>
      <c r="AG339" s="21" t="s">
        <v>22</v>
      </c>
      <c r="AH339" s="21" t="s">
        <v>22</v>
      </c>
      <c r="AI339" s="21" t="s">
        <v>22</v>
      </c>
      <c r="AJ339" s="21" t="s">
        <v>22</v>
      </c>
      <c r="AK339" s="21" t="s">
        <v>22</v>
      </c>
      <c r="AL339" s="21" t="s">
        <v>22</v>
      </c>
      <c r="AM339" s="21" t="s">
        <v>198</v>
      </c>
      <c r="AN339" s="21" t="s">
        <v>198</v>
      </c>
      <c r="AO339" s="21" t="s">
        <v>198</v>
      </c>
      <c r="AP339" s="21" t="s">
        <v>198</v>
      </c>
      <c r="AQ339" s="21" t="s">
        <v>198</v>
      </c>
      <c r="AR339" s="21" t="s">
        <v>198</v>
      </c>
      <c r="AS339" s="21" t="s">
        <v>198</v>
      </c>
      <c r="AT339" s="21" t="s">
        <v>198</v>
      </c>
      <c r="AU339" s="21" t="s">
        <v>198</v>
      </c>
      <c r="AV339" s="21" t="s">
        <v>198</v>
      </c>
      <c r="AW339" s="21" t="s">
        <v>198</v>
      </c>
      <c r="AX339" s="21" t="s">
        <v>198</v>
      </c>
      <c r="AY339" s="21" t="s">
        <v>198</v>
      </c>
      <c r="AZ339" s="21" t="s">
        <v>198</v>
      </c>
      <c r="BA339" s="17" t="s">
        <v>246</v>
      </c>
      <c r="BB339" s="17" t="s">
        <v>250</v>
      </c>
      <c r="BC339" s="18">
        <f>--ISNUMBER(SEARCH("Radio or television",BA339))</f>
        <v>1</v>
      </c>
      <c r="BD339" s="18">
        <f>--ISNUMBER(SEARCH("Newspapers or print media",BA339))</f>
        <v>0</v>
      </c>
      <c r="BE339" s="18">
        <f>--ISNUMBER(SEARCH("Social media (e.g. Facebook, WhatsApp, YouTube, X/Twitter)",BA339))</f>
        <v>1</v>
      </c>
      <c r="BF339" s="18">
        <f>--ISNUMBER(SEARCH("Family members",BA339))</f>
        <v>0</v>
      </c>
      <c r="BG339" s="18">
        <f>--ISNUMBER(SEARCH("Friends or fellow students",BA339))</f>
        <v>0</v>
      </c>
      <c r="BH339" s="18">
        <f>--ISNUMBER(SEARCH("School coursework or lectures",BA339))</f>
        <v>0</v>
      </c>
      <c r="BI339" s="18">
        <f>--ISNUMBER(SEARCH("NHIMA outreach activities or NHIMA offices",BA339))</f>
        <v>0</v>
      </c>
      <c r="BJ339" s="18">
        <f>--ISNUMBER(SEARCH("Health facility staff",BA339))</f>
        <v>0</v>
      </c>
      <c r="BK339" s="18">
        <f>--ISNUMBER(SEARCH("not received information",BA339))</f>
        <v>0</v>
      </c>
      <c r="BL339" s="18">
        <f>IF(T339="","",--(T339='Codebook'!$F$13))</f>
        <v>1</v>
      </c>
      <c r="BM339" s="18">
        <f>IF(U339="","",--(U339='Codebook'!$F$14))</f>
        <v>0</v>
      </c>
      <c r="BN339" s="18">
        <f>IF(V339="","",--(V339='Codebook'!$F$15))</f>
        <v>0</v>
      </c>
      <c r="BO339" s="18">
        <f>IF(W339="","",--(W339='Codebook'!$F$16))</f>
        <v>1</v>
      </c>
      <c r="BP339" s="18">
        <f>IF(X339="","",--(X339='Codebook'!$F$17))</f>
        <v>1</v>
      </c>
      <c r="BQ339" s="18">
        <f>IF(Y339="","",--(Y339='Codebook'!$F$18))</f>
        <v>0</v>
      </c>
      <c r="BR339" s="18">
        <f>IF(Z339="","",--(Z339='Codebook'!$F$19))</f>
        <v>1</v>
      </c>
      <c r="BS339" s="18">
        <f>IF(AA339="","",--(AA339='Codebook'!$F$20))</f>
        <v>1</v>
      </c>
      <c r="BT339" s="18">
        <f>IF(AB339="","",--(AB339='Codebook'!$F$21))</f>
        <v>0</v>
      </c>
      <c r="BU339" s="18">
        <f>IF(AC339="","",--(AC339='Codebook'!$F$22))</f>
        <v>1</v>
      </c>
      <c r="BV339" s="18">
        <f>IF(AD339="","",--(AD339='Codebook'!$F$23))</f>
        <v>1</v>
      </c>
      <c r="BW339" s="18">
        <f>IF(AE339="","",--(AE339='Codebook'!$F$24))</f>
        <v>1</v>
      </c>
      <c r="BX339" s="18">
        <f>IF(AF339="","",--(AF339='Codebook'!$F$25))</f>
        <v>0</v>
      </c>
      <c r="BY339" s="18">
        <f>IF(AG339="","",--(AG339='Codebook'!$F$26))</f>
        <v>1</v>
      </c>
      <c r="BZ339" s="18">
        <f>IF(AH339="","",--(AH339='Codebook'!$F$27))</f>
        <v>1</v>
      </c>
      <c r="CA339" s="18">
        <f>IF(AI339="","",--(AI339='Codebook'!$F$28))</f>
        <v>0</v>
      </c>
      <c r="CB339" s="18">
        <f>IF(AJ339="","",--(AJ339='Codebook'!$F$29))</f>
        <v>0</v>
      </c>
      <c r="CC339" s="18">
        <f>IF(AK339="","",--(AK339='Codebook'!$F$30))</f>
        <v>1</v>
      </c>
      <c r="CD339" s="18">
        <f>IF(AL339="","",--(AL339='Codebook'!$F$31))</f>
        <v>0</v>
      </c>
      <c r="CE339" s="18">
        <f>IF(AM339="","",--(AM339='Codebook'!$F$32))</f>
        <v>0</v>
      </c>
      <c r="CF339" s="18">
        <f>IF(AN339="","",--(AN339='Codebook'!$F$33))</f>
        <v>0</v>
      </c>
      <c r="CG339" s="18">
        <f>IF(AO339="","",--(AO339='Codebook'!$F$34))</f>
        <v>0</v>
      </c>
      <c r="CH339" s="18">
        <f>IF(AP339="","",--(AP339='Codebook'!$F$35))</f>
        <v>0</v>
      </c>
      <c r="CI339" s="18">
        <f>IF(AQ339="","",--(AQ339='Codebook'!$F$36))</f>
        <v>0</v>
      </c>
      <c r="CJ339" s="18">
        <f>IF(AR339="","",--(AR339='Codebook'!$F$37))</f>
        <v>0</v>
      </c>
      <c r="CK339" s="18">
        <f>IF(AS339="","",--(AS339='Codebook'!$F$38))</f>
        <v>0</v>
      </c>
      <c r="CL339" s="18">
        <f>IF(AT339="","",--(AT339='Codebook'!$F$39))</f>
        <v>0</v>
      </c>
      <c r="CM339" s="18">
        <f>IF(AU339="","",--(AU339='Codebook'!$F$40))</f>
        <v>0</v>
      </c>
      <c r="CN339" s="18">
        <f>IF(AV339="","",--(AV339='Codebook'!$F$41))</f>
        <v>0</v>
      </c>
      <c r="CO339" s="18">
        <f>IF(AW339="","",--(AW339='Codebook'!$F$42))</f>
        <v>0</v>
      </c>
      <c r="CP339" s="18">
        <f>IF(AX339="","",--(AX339='Codebook'!$F$43))</f>
        <v>0</v>
      </c>
      <c r="CQ339" s="18">
        <f>IF(AY339="","",--(AY339='Codebook'!$F$44))</f>
        <v>0</v>
      </c>
      <c r="CR339" s="18">
        <f>IF(AZ339="","",--(AZ339='Codebook'!$F$45))</f>
        <v>0</v>
      </c>
    </row>
    <row r="340" spans="2:96" ht="24" customHeight="1">
      <c r="B340" s="18">
        <v>335</v>
      </c>
      <c r="C340" s="23">
        <v>46294.41588857639</v>
      </c>
      <c r="D340" s="21" t="s">
        <v>275</v>
      </c>
      <c r="E340" s="21" t="s">
        <v>194</v>
      </c>
      <c r="F340" s="21" t="s">
        <v>212</v>
      </c>
      <c r="G340" s="17" t="s">
        <v>202</v>
      </c>
      <c r="H340" s="21" t="s">
        <v>198</v>
      </c>
      <c r="I340" s="18">
        <f>SUM(BL340:BU340)</f>
        <v>6</v>
      </c>
      <c r="J340" s="18">
        <f>IF(COUNT(BV340:CD340)=9,SUM(BV340:CD340),"")</f>
        <v>5</v>
      </c>
      <c r="K340" s="18">
        <f>SUM(BL340:CD340)</f>
        <v>11</v>
      </c>
      <c r="L340" s="18">
        <f>--(K340&gt;='Codebook'!$C$8)</f>
        <v>0</v>
      </c>
      <c r="M340" s="18">
        <f>--(COUNT(BL340:CD340)=19)</f>
        <v>1</v>
      </c>
      <c r="N340" s="18">
        <f>SUM(CE340:CL340)</f>
        <v>3</v>
      </c>
      <c r="O340" s="18">
        <f>SUM(CM340:CR340)</f>
        <v>0</v>
      </c>
      <c r="P340" s="18">
        <f>N340+O340</f>
        <v>3</v>
      </c>
      <c r="Q340" s="21" t="s">
        <v>198</v>
      </c>
      <c r="R340" s="17" t="s">
        <v>216</v>
      </c>
      <c r="S340" s="18">
        <f>--OR(Overview!$B$6="All",E340=Overview!$B$6)*--OR(Overview!$F$6="All",F340=Overview!$F$6)*--OR(Overview!$J$6="All",G340=Overview!$J$6)*--OR(Overview!$N$6="All",H340=Overview!$N$6)</f>
        <v>1</v>
      </c>
      <c r="T340" s="21" t="s">
        <v>22</v>
      </c>
      <c r="U340" s="21" t="s">
        <v>22</v>
      </c>
      <c r="V340" s="21" t="s">
        <v>22</v>
      </c>
      <c r="W340" s="21" t="s">
        <v>22</v>
      </c>
      <c r="X340" s="21" t="s">
        <v>22</v>
      </c>
      <c r="Y340" s="21" t="s">
        <v>22</v>
      </c>
      <c r="Z340" s="21" t="s">
        <v>22</v>
      </c>
      <c r="AA340" s="21" t="s">
        <v>22</v>
      </c>
      <c r="AB340" s="21" t="s">
        <v>22</v>
      </c>
      <c r="AC340" s="21" t="s">
        <v>22</v>
      </c>
      <c r="AD340" s="21" t="s">
        <v>22</v>
      </c>
      <c r="AE340" s="21" t="s">
        <v>22</v>
      </c>
      <c r="AF340" s="21" t="s">
        <v>22</v>
      </c>
      <c r="AG340" s="21" t="s">
        <v>22</v>
      </c>
      <c r="AH340" s="21" t="s">
        <v>22</v>
      </c>
      <c r="AI340" s="21" t="s">
        <v>22</v>
      </c>
      <c r="AJ340" s="21" t="s">
        <v>22</v>
      </c>
      <c r="AK340" s="21" t="s">
        <v>22</v>
      </c>
      <c r="AL340" s="21" t="s">
        <v>22</v>
      </c>
      <c r="AM340" s="21" t="s">
        <v>83</v>
      </c>
      <c r="AN340" s="21" t="s">
        <v>198</v>
      </c>
      <c r="AO340" s="21" t="s">
        <v>198</v>
      </c>
      <c r="AP340" s="21" t="s">
        <v>198</v>
      </c>
      <c r="AQ340" s="21" t="s">
        <v>83</v>
      </c>
      <c r="AR340" s="21" t="s">
        <v>198</v>
      </c>
      <c r="AS340" s="21" t="s">
        <v>198</v>
      </c>
      <c r="AT340" s="21" t="s">
        <v>83</v>
      </c>
      <c r="AU340" s="21" t="s">
        <v>198</v>
      </c>
      <c r="AV340" s="21" t="s">
        <v>198</v>
      </c>
      <c r="AW340" s="21" t="s">
        <v>198</v>
      </c>
      <c r="AX340" s="21" t="s">
        <v>198</v>
      </c>
      <c r="AY340" s="21" t="s">
        <v>198</v>
      </c>
      <c r="AZ340" s="21" t="s">
        <v>198</v>
      </c>
      <c r="BA340" s="17" t="s">
        <v>203</v>
      </c>
      <c r="BB340" s="17" t="s">
        <v>235</v>
      </c>
      <c r="BC340" s="18">
        <f>--ISNUMBER(SEARCH("Radio or television",BA340))</f>
        <v>1</v>
      </c>
      <c r="BD340" s="18">
        <f>--ISNUMBER(SEARCH("Newspapers or print media",BA340))</f>
        <v>0</v>
      </c>
      <c r="BE340" s="18">
        <f>--ISNUMBER(SEARCH("Social media (e.g. Facebook, WhatsApp, YouTube, X/Twitter)",BA340))</f>
        <v>1</v>
      </c>
      <c r="BF340" s="18">
        <f>--ISNUMBER(SEARCH("Family members",BA340))</f>
        <v>1</v>
      </c>
      <c r="BG340" s="18">
        <f>--ISNUMBER(SEARCH("Friends or fellow students",BA340))</f>
        <v>1</v>
      </c>
      <c r="BH340" s="18">
        <f>--ISNUMBER(SEARCH("School coursework or lectures",BA340))</f>
        <v>1</v>
      </c>
      <c r="BI340" s="18">
        <f>--ISNUMBER(SEARCH("NHIMA outreach activities or NHIMA offices",BA340))</f>
        <v>0</v>
      </c>
      <c r="BJ340" s="18">
        <f>--ISNUMBER(SEARCH("Health facility staff",BA340))</f>
        <v>0</v>
      </c>
      <c r="BK340" s="18">
        <f>--ISNUMBER(SEARCH("not received information",BA340))</f>
        <v>0</v>
      </c>
      <c r="BL340" s="18">
        <f>IF(T340="","",--(T340='Codebook'!$F$13))</f>
        <v>1</v>
      </c>
      <c r="BM340" s="18">
        <f>IF(U340="","",--(U340='Codebook'!$F$14))</f>
        <v>0</v>
      </c>
      <c r="BN340" s="18">
        <f>IF(V340="","",--(V340='Codebook'!$F$15))</f>
        <v>0</v>
      </c>
      <c r="BO340" s="18">
        <f>IF(W340="","",--(W340='Codebook'!$F$16))</f>
        <v>1</v>
      </c>
      <c r="BP340" s="18">
        <f>IF(X340="","",--(X340='Codebook'!$F$17))</f>
        <v>1</v>
      </c>
      <c r="BQ340" s="18">
        <f>IF(Y340="","",--(Y340='Codebook'!$F$18))</f>
        <v>0</v>
      </c>
      <c r="BR340" s="18">
        <f>IF(Z340="","",--(Z340='Codebook'!$F$19))</f>
        <v>1</v>
      </c>
      <c r="BS340" s="18">
        <f>IF(AA340="","",--(AA340='Codebook'!$F$20))</f>
        <v>1</v>
      </c>
      <c r="BT340" s="18">
        <f>IF(AB340="","",--(AB340='Codebook'!$F$21))</f>
        <v>0</v>
      </c>
      <c r="BU340" s="18">
        <f>IF(AC340="","",--(AC340='Codebook'!$F$22))</f>
        <v>1</v>
      </c>
      <c r="BV340" s="18">
        <f>IF(AD340="","",--(AD340='Codebook'!$F$23))</f>
        <v>1</v>
      </c>
      <c r="BW340" s="18">
        <f>IF(AE340="","",--(AE340='Codebook'!$F$24))</f>
        <v>1</v>
      </c>
      <c r="BX340" s="18">
        <f>IF(AF340="","",--(AF340='Codebook'!$F$25))</f>
        <v>0</v>
      </c>
      <c r="BY340" s="18">
        <f>IF(AG340="","",--(AG340='Codebook'!$F$26))</f>
        <v>1</v>
      </c>
      <c r="BZ340" s="18">
        <f>IF(AH340="","",--(AH340='Codebook'!$F$27))</f>
        <v>1</v>
      </c>
      <c r="CA340" s="18">
        <f>IF(AI340="","",--(AI340='Codebook'!$F$28))</f>
        <v>0</v>
      </c>
      <c r="CB340" s="18">
        <f>IF(AJ340="","",--(AJ340='Codebook'!$F$29))</f>
        <v>0</v>
      </c>
      <c r="CC340" s="18">
        <f>IF(AK340="","",--(AK340='Codebook'!$F$30))</f>
        <v>1</v>
      </c>
      <c r="CD340" s="18">
        <f>IF(AL340="","",--(AL340='Codebook'!$F$31))</f>
        <v>0</v>
      </c>
      <c r="CE340" s="18">
        <f>IF(AM340="","",--(AM340='Codebook'!$F$32))</f>
        <v>1</v>
      </c>
      <c r="CF340" s="18">
        <f>IF(AN340="","",--(AN340='Codebook'!$F$33))</f>
        <v>0</v>
      </c>
      <c r="CG340" s="18">
        <f>IF(AO340="","",--(AO340='Codebook'!$F$34))</f>
        <v>0</v>
      </c>
      <c r="CH340" s="18">
        <f>IF(AP340="","",--(AP340='Codebook'!$F$35))</f>
        <v>0</v>
      </c>
      <c r="CI340" s="18">
        <f>IF(AQ340="","",--(AQ340='Codebook'!$F$36))</f>
        <v>1</v>
      </c>
      <c r="CJ340" s="18">
        <f>IF(AR340="","",--(AR340='Codebook'!$F$37))</f>
        <v>0</v>
      </c>
      <c r="CK340" s="18">
        <f>IF(AS340="","",--(AS340='Codebook'!$F$38))</f>
        <v>0</v>
      </c>
      <c r="CL340" s="18">
        <f>IF(AT340="","",--(AT340='Codebook'!$F$39))</f>
        <v>1</v>
      </c>
      <c r="CM340" s="18">
        <f>IF(AU340="","",--(AU340='Codebook'!$F$40))</f>
        <v>0</v>
      </c>
      <c r="CN340" s="18">
        <f>IF(AV340="","",--(AV340='Codebook'!$F$41))</f>
        <v>0</v>
      </c>
      <c r="CO340" s="18">
        <f>IF(AW340="","",--(AW340='Codebook'!$F$42))</f>
        <v>0</v>
      </c>
      <c r="CP340" s="18">
        <f>IF(AX340="","",--(AX340='Codebook'!$F$43))</f>
        <v>0</v>
      </c>
      <c r="CQ340" s="18">
        <f>IF(AY340="","",--(AY340='Codebook'!$F$44))</f>
        <v>0</v>
      </c>
      <c r="CR340" s="18">
        <f>IF(AZ340="","",--(AZ340='Codebook'!$F$45))</f>
        <v>0</v>
      </c>
    </row>
    <row r="341" spans="2:96" ht="24" customHeight="1">
      <c r="B341" s="18">
        <v>336</v>
      </c>
      <c r="C341" s="23">
        <v>46294.41643626158</v>
      </c>
      <c r="D341" s="21" t="s">
        <v>275</v>
      </c>
      <c r="E341" s="21" t="s">
        <v>206</v>
      </c>
      <c r="F341" s="21" t="s">
        <v>212</v>
      </c>
      <c r="G341" s="17" t="s">
        <v>247</v>
      </c>
      <c r="H341" s="21" t="s">
        <v>207</v>
      </c>
      <c r="I341" s="18">
        <f>SUM(BL341:BU341)</f>
        <v>6</v>
      </c>
      <c r="J341" s="18">
        <f>IF(COUNT(BV341:CD341)=9,SUM(BV341:CD341),"")</f>
        <v>5</v>
      </c>
      <c r="K341" s="18">
        <f>SUM(BL341:CD341)</f>
        <v>11</v>
      </c>
      <c r="L341" s="18">
        <f>--(K341&gt;='Codebook'!$C$8)</f>
        <v>0</v>
      </c>
      <c r="M341" s="18">
        <f>--(COUNT(BL341:CD341)=19)</f>
        <v>1</v>
      </c>
      <c r="N341" s="18">
        <f>SUM(CE341:CL341)</f>
        <v>0</v>
      </c>
      <c r="O341" s="18">
        <f>SUM(CM341:CR341)</f>
        <v>0</v>
      </c>
      <c r="P341" s="18">
        <f>N341+O341</f>
        <v>0</v>
      </c>
      <c r="Q341" s="21" t="s">
        <v>198</v>
      </c>
      <c r="R341" s="17" t="s">
        <v>154</v>
      </c>
      <c r="S341" s="18">
        <f>--OR(Overview!$B$6="All",E341=Overview!$B$6)*--OR(Overview!$F$6="All",F341=Overview!$F$6)*--OR(Overview!$J$6="All",G341=Overview!$J$6)*--OR(Overview!$N$6="All",H341=Overview!$N$6)</f>
        <v>1</v>
      </c>
      <c r="T341" s="21" t="s">
        <v>22</v>
      </c>
      <c r="U341" s="21" t="s">
        <v>22</v>
      </c>
      <c r="V341" s="21" t="s">
        <v>22</v>
      </c>
      <c r="W341" s="21" t="s">
        <v>22</v>
      </c>
      <c r="X341" s="21" t="s">
        <v>22</v>
      </c>
      <c r="Y341" s="21" t="s">
        <v>22</v>
      </c>
      <c r="Z341" s="21" t="s">
        <v>22</v>
      </c>
      <c r="AA341" s="21" t="s">
        <v>22</v>
      </c>
      <c r="AB341" s="21" t="s">
        <v>22</v>
      </c>
      <c r="AC341" s="21" t="s">
        <v>22</v>
      </c>
      <c r="AD341" s="21" t="s">
        <v>22</v>
      </c>
      <c r="AE341" s="21" t="s">
        <v>22</v>
      </c>
      <c r="AF341" s="21" t="s">
        <v>22</v>
      </c>
      <c r="AG341" s="21" t="s">
        <v>22</v>
      </c>
      <c r="AH341" s="21" t="s">
        <v>22</v>
      </c>
      <c r="AI341" s="21" t="s">
        <v>22</v>
      </c>
      <c r="AJ341" s="21" t="s">
        <v>22</v>
      </c>
      <c r="AK341" s="21" t="s">
        <v>22</v>
      </c>
      <c r="AL341" s="21" t="s">
        <v>22</v>
      </c>
      <c r="AM341" s="21" t="s">
        <v>198</v>
      </c>
      <c r="AN341" s="21" t="s">
        <v>198</v>
      </c>
      <c r="AO341" s="21" t="s">
        <v>198</v>
      </c>
      <c r="AP341" s="21" t="s">
        <v>198</v>
      </c>
      <c r="AQ341" s="21" t="s">
        <v>198</v>
      </c>
      <c r="AR341" s="21" t="s">
        <v>198</v>
      </c>
      <c r="AS341" s="21" t="s">
        <v>198</v>
      </c>
      <c r="AT341" s="21" t="s">
        <v>198</v>
      </c>
      <c r="AU341" s="21" t="s">
        <v>198</v>
      </c>
      <c r="AV341" s="21" t="s">
        <v>198</v>
      </c>
      <c r="AW341" s="21" t="s">
        <v>198</v>
      </c>
      <c r="AX341" s="21" t="s">
        <v>198</v>
      </c>
      <c r="AY341" s="21" t="s">
        <v>198</v>
      </c>
      <c r="AZ341" s="21" t="s">
        <v>198</v>
      </c>
      <c r="BA341" s="17" t="s">
        <v>250</v>
      </c>
      <c r="BB341" s="17" t="s">
        <v>250</v>
      </c>
      <c r="BC341" s="18">
        <f>--ISNUMBER(SEARCH("Radio or television",BA341))</f>
        <v>0</v>
      </c>
      <c r="BD341" s="18">
        <f>--ISNUMBER(SEARCH("Newspapers or print media",BA341))</f>
        <v>0</v>
      </c>
      <c r="BE341" s="18">
        <f>--ISNUMBER(SEARCH("Social media (e.g. Facebook, WhatsApp, YouTube, X/Twitter)",BA341))</f>
        <v>1</v>
      </c>
      <c r="BF341" s="18">
        <f>--ISNUMBER(SEARCH("Family members",BA341))</f>
        <v>0</v>
      </c>
      <c r="BG341" s="18">
        <f>--ISNUMBER(SEARCH("Friends or fellow students",BA341))</f>
        <v>0</v>
      </c>
      <c r="BH341" s="18">
        <f>--ISNUMBER(SEARCH("School coursework or lectures",BA341))</f>
        <v>0</v>
      </c>
      <c r="BI341" s="18">
        <f>--ISNUMBER(SEARCH("NHIMA outreach activities or NHIMA offices",BA341))</f>
        <v>0</v>
      </c>
      <c r="BJ341" s="18">
        <f>--ISNUMBER(SEARCH("Health facility staff",BA341))</f>
        <v>0</v>
      </c>
      <c r="BK341" s="18">
        <f>--ISNUMBER(SEARCH("not received information",BA341))</f>
        <v>0</v>
      </c>
      <c r="BL341" s="18">
        <f>IF(T341="","",--(T341='Codebook'!$F$13))</f>
        <v>1</v>
      </c>
      <c r="BM341" s="18">
        <f>IF(U341="","",--(U341='Codebook'!$F$14))</f>
        <v>0</v>
      </c>
      <c r="BN341" s="18">
        <f>IF(V341="","",--(V341='Codebook'!$F$15))</f>
        <v>0</v>
      </c>
      <c r="BO341" s="18">
        <f>IF(W341="","",--(W341='Codebook'!$F$16))</f>
        <v>1</v>
      </c>
      <c r="BP341" s="18">
        <f>IF(X341="","",--(X341='Codebook'!$F$17))</f>
        <v>1</v>
      </c>
      <c r="BQ341" s="18">
        <f>IF(Y341="","",--(Y341='Codebook'!$F$18))</f>
        <v>0</v>
      </c>
      <c r="BR341" s="18">
        <f>IF(Z341="","",--(Z341='Codebook'!$F$19))</f>
        <v>1</v>
      </c>
      <c r="BS341" s="18">
        <f>IF(AA341="","",--(AA341='Codebook'!$F$20))</f>
        <v>1</v>
      </c>
      <c r="BT341" s="18">
        <f>IF(AB341="","",--(AB341='Codebook'!$F$21))</f>
        <v>0</v>
      </c>
      <c r="BU341" s="18">
        <f>IF(AC341="","",--(AC341='Codebook'!$F$22))</f>
        <v>1</v>
      </c>
      <c r="BV341" s="18">
        <f>IF(AD341="","",--(AD341='Codebook'!$F$23))</f>
        <v>1</v>
      </c>
      <c r="BW341" s="18">
        <f>IF(AE341="","",--(AE341='Codebook'!$F$24))</f>
        <v>1</v>
      </c>
      <c r="BX341" s="18">
        <f>IF(AF341="","",--(AF341='Codebook'!$F$25))</f>
        <v>0</v>
      </c>
      <c r="BY341" s="18">
        <f>IF(AG341="","",--(AG341='Codebook'!$F$26))</f>
        <v>1</v>
      </c>
      <c r="BZ341" s="18">
        <f>IF(AH341="","",--(AH341='Codebook'!$F$27))</f>
        <v>1</v>
      </c>
      <c r="CA341" s="18">
        <f>IF(AI341="","",--(AI341='Codebook'!$F$28))</f>
        <v>0</v>
      </c>
      <c r="CB341" s="18">
        <f>IF(AJ341="","",--(AJ341='Codebook'!$F$29))</f>
        <v>0</v>
      </c>
      <c r="CC341" s="18">
        <f>IF(AK341="","",--(AK341='Codebook'!$F$30))</f>
        <v>1</v>
      </c>
      <c r="CD341" s="18">
        <f>IF(AL341="","",--(AL341='Codebook'!$F$31))</f>
        <v>0</v>
      </c>
      <c r="CE341" s="18">
        <f>IF(AM341="","",--(AM341='Codebook'!$F$32))</f>
        <v>0</v>
      </c>
      <c r="CF341" s="18">
        <f>IF(AN341="","",--(AN341='Codebook'!$F$33))</f>
        <v>0</v>
      </c>
      <c r="CG341" s="18">
        <f>IF(AO341="","",--(AO341='Codebook'!$F$34))</f>
        <v>0</v>
      </c>
      <c r="CH341" s="18">
        <f>IF(AP341="","",--(AP341='Codebook'!$F$35))</f>
        <v>0</v>
      </c>
      <c r="CI341" s="18">
        <f>IF(AQ341="","",--(AQ341='Codebook'!$F$36))</f>
        <v>0</v>
      </c>
      <c r="CJ341" s="18">
        <f>IF(AR341="","",--(AR341='Codebook'!$F$37))</f>
        <v>0</v>
      </c>
      <c r="CK341" s="18">
        <f>IF(AS341="","",--(AS341='Codebook'!$F$38))</f>
        <v>0</v>
      </c>
      <c r="CL341" s="18">
        <f>IF(AT341="","",--(AT341='Codebook'!$F$39))</f>
        <v>0</v>
      </c>
      <c r="CM341" s="18">
        <f>IF(AU341="","",--(AU341='Codebook'!$F$40))</f>
        <v>0</v>
      </c>
      <c r="CN341" s="18">
        <f>IF(AV341="","",--(AV341='Codebook'!$F$41))</f>
        <v>0</v>
      </c>
      <c r="CO341" s="18">
        <f>IF(AW341="","",--(AW341='Codebook'!$F$42))</f>
        <v>0</v>
      </c>
      <c r="CP341" s="18">
        <f>IF(AX341="","",--(AX341='Codebook'!$F$43))</f>
        <v>0</v>
      </c>
      <c r="CQ341" s="18">
        <f>IF(AY341="","",--(AY341='Codebook'!$F$44))</f>
        <v>0</v>
      </c>
      <c r="CR341" s="18">
        <f>IF(AZ341="","",--(AZ341='Codebook'!$F$45))</f>
        <v>0</v>
      </c>
    </row>
    <row r="342" spans="2:96" ht="24" customHeight="1">
      <c r="B342" s="18">
        <v>337</v>
      </c>
      <c r="C342" s="23">
        <v>46294.41703217592</v>
      </c>
      <c r="D342" s="21" t="s">
        <v>275</v>
      </c>
      <c r="E342" s="21" t="s">
        <v>206</v>
      </c>
      <c r="F342" s="21" t="s">
        <v>201</v>
      </c>
      <c r="G342" s="17" t="s">
        <v>196</v>
      </c>
      <c r="H342" s="21" t="s">
        <v>198</v>
      </c>
      <c r="I342" s="18">
        <f>SUM(BL342:BU342)</f>
        <v>6</v>
      </c>
      <c r="J342" s="18">
        <f>IF(COUNT(BV342:CD342)=9,SUM(BV342:CD342),"")</f>
        <v>5</v>
      </c>
      <c r="K342" s="18">
        <f>SUM(BL342:CD342)</f>
        <v>11</v>
      </c>
      <c r="L342" s="18">
        <f>--(K342&gt;='Codebook'!$C$8)</f>
        <v>0</v>
      </c>
      <c r="M342" s="18">
        <f>--(COUNT(BL342:CD342)=19)</f>
        <v>1</v>
      </c>
      <c r="N342" s="18">
        <f>SUM(CE342:CL342)</f>
        <v>0</v>
      </c>
      <c r="O342" s="18">
        <f>SUM(CM342:CR342)</f>
        <v>0</v>
      </c>
      <c r="P342" s="18">
        <f>N342+O342</f>
        <v>0</v>
      </c>
      <c r="Q342" s="21" t="s">
        <v>197</v>
      </c>
      <c r="R342" s="17" t="s">
        <v>152</v>
      </c>
      <c r="S342" s="18">
        <f>--OR(Overview!$B$6="All",E342=Overview!$B$6)*--OR(Overview!$F$6="All",F342=Overview!$F$6)*--OR(Overview!$J$6="All",G342=Overview!$J$6)*--OR(Overview!$N$6="All",H342=Overview!$N$6)</f>
        <v>1</v>
      </c>
      <c r="T342" s="21" t="s">
        <v>22</v>
      </c>
      <c r="U342" s="21" t="s">
        <v>22</v>
      </c>
      <c r="V342" s="21" t="s">
        <v>22</v>
      </c>
      <c r="W342" s="21" t="s">
        <v>22</v>
      </c>
      <c r="X342" s="21" t="s">
        <v>22</v>
      </c>
      <c r="Y342" s="21" t="s">
        <v>22</v>
      </c>
      <c r="Z342" s="21" t="s">
        <v>22</v>
      </c>
      <c r="AA342" s="21" t="s">
        <v>22</v>
      </c>
      <c r="AB342" s="21" t="s">
        <v>22</v>
      </c>
      <c r="AC342" s="21" t="s">
        <v>22</v>
      </c>
      <c r="AD342" s="21" t="s">
        <v>22</v>
      </c>
      <c r="AE342" s="21" t="s">
        <v>22</v>
      </c>
      <c r="AF342" s="21" t="s">
        <v>22</v>
      </c>
      <c r="AG342" s="21" t="s">
        <v>22</v>
      </c>
      <c r="AH342" s="21" t="s">
        <v>22</v>
      </c>
      <c r="AI342" s="21" t="s">
        <v>22</v>
      </c>
      <c r="AJ342" s="21" t="s">
        <v>22</v>
      </c>
      <c r="AK342" s="21" t="s">
        <v>22</v>
      </c>
      <c r="AL342" s="21" t="s">
        <v>22</v>
      </c>
      <c r="AM342" s="21" t="s">
        <v>198</v>
      </c>
      <c r="AN342" s="21" t="s">
        <v>198</v>
      </c>
      <c r="AO342" s="21" t="s">
        <v>198</v>
      </c>
      <c r="AP342" s="21" t="s">
        <v>198</v>
      </c>
      <c r="AQ342" s="21" t="s">
        <v>198</v>
      </c>
      <c r="AR342" s="21" t="s">
        <v>198</v>
      </c>
      <c r="AS342" s="21" t="s">
        <v>198</v>
      </c>
      <c r="AT342" s="21" t="s">
        <v>198</v>
      </c>
      <c r="AU342" s="21" t="s">
        <v>198</v>
      </c>
      <c r="AV342" s="21" t="s">
        <v>198</v>
      </c>
      <c r="AW342" s="21" t="s">
        <v>198</v>
      </c>
      <c r="AX342" s="21" t="s">
        <v>198</v>
      </c>
      <c r="AY342" s="21" t="s">
        <v>198</v>
      </c>
      <c r="AZ342" s="21" t="s">
        <v>198</v>
      </c>
      <c r="BA342" s="17" t="s">
        <v>264</v>
      </c>
      <c r="BB342" s="17" t="s">
        <v>223</v>
      </c>
      <c r="BC342" s="18">
        <f>--ISNUMBER(SEARCH("Radio or television",BA342))</f>
        <v>1</v>
      </c>
      <c r="BD342" s="18">
        <f>--ISNUMBER(SEARCH("Newspapers or print media",BA342))</f>
        <v>0</v>
      </c>
      <c r="BE342" s="18">
        <f>--ISNUMBER(SEARCH("Social media (e.g. Facebook, WhatsApp, YouTube, X/Twitter)",BA342))</f>
        <v>1</v>
      </c>
      <c r="BF342" s="18">
        <f>--ISNUMBER(SEARCH("Family members",BA342))</f>
        <v>1</v>
      </c>
      <c r="BG342" s="18">
        <f>--ISNUMBER(SEARCH("Friends or fellow students",BA342))</f>
        <v>1</v>
      </c>
      <c r="BH342" s="18">
        <f>--ISNUMBER(SEARCH("School coursework or lectures",BA342))</f>
        <v>0</v>
      </c>
      <c r="BI342" s="18">
        <f>--ISNUMBER(SEARCH("NHIMA outreach activities or NHIMA offices",BA342))</f>
        <v>0</v>
      </c>
      <c r="BJ342" s="18">
        <f>--ISNUMBER(SEARCH("Health facility staff",BA342))</f>
        <v>0</v>
      </c>
      <c r="BK342" s="18">
        <f>--ISNUMBER(SEARCH("not received information",BA342))</f>
        <v>0</v>
      </c>
      <c r="BL342" s="18">
        <f>IF(T342="","",--(T342='Codebook'!$F$13))</f>
        <v>1</v>
      </c>
      <c r="BM342" s="18">
        <f>IF(U342="","",--(U342='Codebook'!$F$14))</f>
        <v>0</v>
      </c>
      <c r="BN342" s="18">
        <f>IF(V342="","",--(V342='Codebook'!$F$15))</f>
        <v>0</v>
      </c>
      <c r="BO342" s="18">
        <f>IF(W342="","",--(W342='Codebook'!$F$16))</f>
        <v>1</v>
      </c>
      <c r="BP342" s="18">
        <f>IF(X342="","",--(X342='Codebook'!$F$17))</f>
        <v>1</v>
      </c>
      <c r="BQ342" s="18">
        <f>IF(Y342="","",--(Y342='Codebook'!$F$18))</f>
        <v>0</v>
      </c>
      <c r="BR342" s="18">
        <f>IF(Z342="","",--(Z342='Codebook'!$F$19))</f>
        <v>1</v>
      </c>
      <c r="BS342" s="18">
        <f>IF(AA342="","",--(AA342='Codebook'!$F$20))</f>
        <v>1</v>
      </c>
      <c r="BT342" s="18">
        <f>IF(AB342="","",--(AB342='Codebook'!$F$21))</f>
        <v>0</v>
      </c>
      <c r="BU342" s="18">
        <f>IF(AC342="","",--(AC342='Codebook'!$F$22))</f>
        <v>1</v>
      </c>
      <c r="BV342" s="18">
        <f>IF(AD342="","",--(AD342='Codebook'!$F$23))</f>
        <v>1</v>
      </c>
      <c r="BW342" s="18">
        <f>IF(AE342="","",--(AE342='Codebook'!$F$24))</f>
        <v>1</v>
      </c>
      <c r="BX342" s="18">
        <f>IF(AF342="","",--(AF342='Codebook'!$F$25))</f>
        <v>0</v>
      </c>
      <c r="BY342" s="18">
        <f>IF(AG342="","",--(AG342='Codebook'!$F$26))</f>
        <v>1</v>
      </c>
      <c r="BZ342" s="18">
        <f>IF(AH342="","",--(AH342='Codebook'!$F$27))</f>
        <v>1</v>
      </c>
      <c r="CA342" s="18">
        <f>IF(AI342="","",--(AI342='Codebook'!$F$28))</f>
        <v>0</v>
      </c>
      <c r="CB342" s="18">
        <f>IF(AJ342="","",--(AJ342='Codebook'!$F$29))</f>
        <v>0</v>
      </c>
      <c r="CC342" s="18">
        <f>IF(AK342="","",--(AK342='Codebook'!$F$30))</f>
        <v>1</v>
      </c>
      <c r="CD342" s="18">
        <f>IF(AL342="","",--(AL342='Codebook'!$F$31))</f>
        <v>0</v>
      </c>
      <c r="CE342" s="18">
        <f>IF(AM342="","",--(AM342='Codebook'!$F$32))</f>
        <v>0</v>
      </c>
      <c r="CF342" s="18">
        <f>IF(AN342="","",--(AN342='Codebook'!$F$33))</f>
        <v>0</v>
      </c>
      <c r="CG342" s="18">
        <f>IF(AO342="","",--(AO342='Codebook'!$F$34))</f>
        <v>0</v>
      </c>
      <c r="CH342" s="18">
        <f>IF(AP342="","",--(AP342='Codebook'!$F$35))</f>
        <v>0</v>
      </c>
      <c r="CI342" s="18">
        <f>IF(AQ342="","",--(AQ342='Codebook'!$F$36))</f>
        <v>0</v>
      </c>
      <c r="CJ342" s="18">
        <f>IF(AR342="","",--(AR342='Codebook'!$F$37))</f>
        <v>0</v>
      </c>
      <c r="CK342" s="18">
        <f>IF(AS342="","",--(AS342='Codebook'!$F$38))</f>
        <v>0</v>
      </c>
      <c r="CL342" s="18">
        <f>IF(AT342="","",--(AT342='Codebook'!$F$39))</f>
        <v>0</v>
      </c>
      <c r="CM342" s="18">
        <f>IF(AU342="","",--(AU342='Codebook'!$F$40))</f>
        <v>0</v>
      </c>
      <c r="CN342" s="18">
        <f>IF(AV342="","",--(AV342='Codebook'!$F$41))</f>
        <v>0</v>
      </c>
      <c r="CO342" s="18">
        <f>IF(AW342="","",--(AW342='Codebook'!$F$42))</f>
        <v>0</v>
      </c>
      <c r="CP342" s="18">
        <f>IF(AX342="","",--(AX342='Codebook'!$F$43))</f>
        <v>0</v>
      </c>
      <c r="CQ342" s="18">
        <f>IF(AY342="","",--(AY342='Codebook'!$F$44))</f>
        <v>0</v>
      </c>
      <c r="CR342" s="18">
        <f>IF(AZ342="","",--(AZ342='Codebook'!$F$45))</f>
        <v>0</v>
      </c>
    </row>
    <row r="343" spans="2:96" ht="24" customHeight="1">
      <c r="B343" s="18">
        <v>338</v>
      </c>
      <c r="C343" s="23">
        <v>46294.4520575</v>
      </c>
      <c r="D343" s="21" t="s">
        <v>275</v>
      </c>
      <c r="E343" s="21" t="s">
        <v>194</v>
      </c>
      <c r="F343" s="21" t="s">
        <v>195</v>
      </c>
      <c r="G343" s="17" t="s">
        <v>196</v>
      </c>
      <c r="H343" s="21" t="s">
        <v>198</v>
      </c>
      <c r="I343" s="18">
        <f>SUM(BL343:BU343)</f>
        <v>6</v>
      </c>
      <c r="J343" s="18">
        <f>IF(COUNT(BV343:CD343)=9,SUM(BV343:CD343),"")</f>
        <v>5</v>
      </c>
      <c r="K343" s="18">
        <f>SUM(BL343:CD343)</f>
        <v>11</v>
      </c>
      <c r="L343" s="18">
        <f>--(K343&gt;='Codebook'!$C$8)</f>
        <v>0</v>
      </c>
      <c r="M343" s="18">
        <f>--(COUNT(BL343:CD343)=19)</f>
        <v>1</v>
      </c>
      <c r="N343" s="18">
        <f>SUM(CE343:CL343)</f>
        <v>0</v>
      </c>
      <c r="O343" s="18">
        <f>SUM(CM343:CR343)</f>
        <v>0</v>
      </c>
      <c r="P343" s="18">
        <f>N343+O343</f>
        <v>0</v>
      </c>
      <c r="Q343" s="21" t="s">
        <v>198</v>
      </c>
      <c r="R343" s="17" t="s">
        <v>158</v>
      </c>
      <c r="S343" s="18">
        <f>--OR(Overview!$B$6="All",E343=Overview!$B$6)*--OR(Overview!$F$6="All",F343=Overview!$F$6)*--OR(Overview!$J$6="All",G343=Overview!$J$6)*--OR(Overview!$N$6="All",H343=Overview!$N$6)</f>
        <v>1</v>
      </c>
      <c r="T343" s="21" t="s">
        <v>22</v>
      </c>
      <c r="U343" s="21" t="s">
        <v>22</v>
      </c>
      <c r="V343" s="21" t="s">
        <v>22</v>
      </c>
      <c r="W343" s="21" t="s">
        <v>22</v>
      </c>
      <c r="X343" s="21" t="s">
        <v>22</v>
      </c>
      <c r="Y343" s="21" t="s">
        <v>22</v>
      </c>
      <c r="Z343" s="21" t="s">
        <v>22</v>
      </c>
      <c r="AA343" s="21" t="s">
        <v>22</v>
      </c>
      <c r="AB343" s="21" t="s">
        <v>22</v>
      </c>
      <c r="AC343" s="21" t="s">
        <v>22</v>
      </c>
      <c r="AD343" s="21" t="s">
        <v>22</v>
      </c>
      <c r="AE343" s="21" t="s">
        <v>22</v>
      </c>
      <c r="AF343" s="21" t="s">
        <v>22</v>
      </c>
      <c r="AG343" s="21" t="s">
        <v>22</v>
      </c>
      <c r="AH343" s="21" t="s">
        <v>22</v>
      </c>
      <c r="AI343" s="21" t="s">
        <v>22</v>
      </c>
      <c r="AJ343" s="21" t="s">
        <v>22</v>
      </c>
      <c r="AK343" s="21" t="s">
        <v>22</v>
      </c>
      <c r="AL343" s="21" t="s">
        <v>22</v>
      </c>
      <c r="AM343" s="21" t="s">
        <v>198</v>
      </c>
      <c r="AN343" s="21" t="s">
        <v>198</v>
      </c>
      <c r="AO343" s="21" t="s">
        <v>198</v>
      </c>
      <c r="AP343" s="21" t="s">
        <v>198</v>
      </c>
      <c r="AQ343" s="21" t="s">
        <v>198</v>
      </c>
      <c r="AR343" s="21" t="s">
        <v>198</v>
      </c>
      <c r="AS343" s="21" t="s">
        <v>198</v>
      </c>
      <c r="AT343" s="21" t="s">
        <v>198</v>
      </c>
      <c r="AU343" s="21" t="s">
        <v>198</v>
      </c>
      <c r="AV343" s="21" t="s">
        <v>198</v>
      </c>
      <c r="AW343" s="21" t="s">
        <v>198</v>
      </c>
      <c r="AX343" s="21" t="s">
        <v>198</v>
      </c>
      <c r="AY343" s="21" t="s">
        <v>198</v>
      </c>
      <c r="AZ343" s="21" t="s">
        <v>198</v>
      </c>
      <c r="BA343" s="17" t="s">
        <v>246</v>
      </c>
      <c r="BB343" s="17" t="s">
        <v>225</v>
      </c>
      <c r="BC343" s="18">
        <f>--ISNUMBER(SEARCH("Radio or television",BA343))</f>
        <v>1</v>
      </c>
      <c r="BD343" s="18">
        <f>--ISNUMBER(SEARCH("Newspapers or print media",BA343))</f>
        <v>0</v>
      </c>
      <c r="BE343" s="18">
        <f>--ISNUMBER(SEARCH("Social media (e.g. Facebook, WhatsApp, YouTube, X/Twitter)",BA343))</f>
        <v>1</v>
      </c>
      <c r="BF343" s="18">
        <f>--ISNUMBER(SEARCH("Family members",BA343))</f>
        <v>0</v>
      </c>
      <c r="BG343" s="18">
        <f>--ISNUMBER(SEARCH("Friends or fellow students",BA343))</f>
        <v>0</v>
      </c>
      <c r="BH343" s="18">
        <f>--ISNUMBER(SEARCH("School coursework or lectures",BA343))</f>
        <v>0</v>
      </c>
      <c r="BI343" s="18">
        <f>--ISNUMBER(SEARCH("NHIMA outreach activities or NHIMA offices",BA343))</f>
        <v>0</v>
      </c>
      <c r="BJ343" s="18">
        <f>--ISNUMBER(SEARCH("Health facility staff",BA343))</f>
        <v>0</v>
      </c>
      <c r="BK343" s="18">
        <f>--ISNUMBER(SEARCH("not received information",BA343))</f>
        <v>0</v>
      </c>
      <c r="BL343" s="18">
        <f>IF(T343="","",--(T343='Codebook'!$F$13))</f>
        <v>1</v>
      </c>
      <c r="BM343" s="18">
        <f>IF(U343="","",--(U343='Codebook'!$F$14))</f>
        <v>0</v>
      </c>
      <c r="BN343" s="18">
        <f>IF(V343="","",--(V343='Codebook'!$F$15))</f>
        <v>0</v>
      </c>
      <c r="BO343" s="18">
        <f>IF(W343="","",--(W343='Codebook'!$F$16))</f>
        <v>1</v>
      </c>
      <c r="BP343" s="18">
        <f>IF(X343="","",--(X343='Codebook'!$F$17))</f>
        <v>1</v>
      </c>
      <c r="BQ343" s="18">
        <f>IF(Y343="","",--(Y343='Codebook'!$F$18))</f>
        <v>0</v>
      </c>
      <c r="BR343" s="18">
        <f>IF(Z343="","",--(Z343='Codebook'!$F$19))</f>
        <v>1</v>
      </c>
      <c r="BS343" s="18">
        <f>IF(AA343="","",--(AA343='Codebook'!$F$20))</f>
        <v>1</v>
      </c>
      <c r="BT343" s="18">
        <f>IF(AB343="","",--(AB343='Codebook'!$F$21))</f>
        <v>0</v>
      </c>
      <c r="BU343" s="18">
        <f>IF(AC343="","",--(AC343='Codebook'!$F$22))</f>
        <v>1</v>
      </c>
      <c r="BV343" s="18">
        <f>IF(AD343="","",--(AD343='Codebook'!$F$23))</f>
        <v>1</v>
      </c>
      <c r="BW343" s="18">
        <f>IF(AE343="","",--(AE343='Codebook'!$F$24))</f>
        <v>1</v>
      </c>
      <c r="BX343" s="18">
        <f>IF(AF343="","",--(AF343='Codebook'!$F$25))</f>
        <v>0</v>
      </c>
      <c r="BY343" s="18">
        <f>IF(AG343="","",--(AG343='Codebook'!$F$26))</f>
        <v>1</v>
      </c>
      <c r="BZ343" s="18">
        <f>IF(AH343="","",--(AH343='Codebook'!$F$27))</f>
        <v>1</v>
      </c>
      <c r="CA343" s="18">
        <f>IF(AI343="","",--(AI343='Codebook'!$F$28))</f>
        <v>0</v>
      </c>
      <c r="CB343" s="18">
        <f>IF(AJ343="","",--(AJ343='Codebook'!$F$29))</f>
        <v>0</v>
      </c>
      <c r="CC343" s="18">
        <f>IF(AK343="","",--(AK343='Codebook'!$F$30))</f>
        <v>1</v>
      </c>
      <c r="CD343" s="18">
        <f>IF(AL343="","",--(AL343='Codebook'!$F$31))</f>
        <v>0</v>
      </c>
      <c r="CE343" s="18">
        <f>IF(AM343="","",--(AM343='Codebook'!$F$32))</f>
        <v>0</v>
      </c>
      <c r="CF343" s="18">
        <f>IF(AN343="","",--(AN343='Codebook'!$F$33))</f>
        <v>0</v>
      </c>
      <c r="CG343" s="18">
        <f>IF(AO343="","",--(AO343='Codebook'!$F$34))</f>
        <v>0</v>
      </c>
      <c r="CH343" s="18">
        <f>IF(AP343="","",--(AP343='Codebook'!$F$35))</f>
        <v>0</v>
      </c>
      <c r="CI343" s="18">
        <f>IF(AQ343="","",--(AQ343='Codebook'!$F$36))</f>
        <v>0</v>
      </c>
      <c r="CJ343" s="18">
        <f>IF(AR343="","",--(AR343='Codebook'!$F$37))</f>
        <v>0</v>
      </c>
      <c r="CK343" s="18">
        <f>IF(AS343="","",--(AS343='Codebook'!$F$38))</f>
        <v>0</v>
      </c>
      <c r="CL343" s="18">
        <f>IF(AT343="","",--(AT343='Codebook'!$F$39))</f>
        <v>0</v>
      </c>
      <c r="CM343" s="18">
        <f>IF(AU343="","",--(AU343='Codebook'!$F$40))</f>
        <v>0</v>
      </c>
      <c r="CN343" s="18">
        <f>IF(AV343="","",--(AV343='Codebook'!$F$41))</f>
        <v>0</v>
      </c>
      <c r="CO343" s="18">
        <f>IF(AW343="","",--(AW343='Codebook'!$F$42))</f>
        <v>0</v>
      </c>
      <c r="CP343" s="18">
        <f>IF(AX343="","",--(AX343='Codebook'!$F$43))</f>
        <v>0</v>
      </c>
      <c r="CQ343" s="18">
        <f>IF(AY343="","",--(AY343='Codebook'!$F$44))</f>
        <v>0</v>
      </c>
      <c r="CR343" s="18">
        <f>IF(AZ343="","",--(AZ343='Codebook'!$F$45))</f>
        <v>0</v>
      </c>
    </row>
    <row r="344" spans="2:96" ht="24" customHeight="1">
      <c r="B344" s="18">
        <v>339</v>
      </c>
      <c r="C344" s="23">
        <v>46294.45264679398</v>
      </c>
      <c r="D344" s="21" t="s">
        <v>275</v>
      </c>
      <c r="E344" s="21" t="s">
        <v>194</v>
      </c>
      <c r="F344" s="21" t="s">
        <v>195</v>
      </c>
      <c r="G344" s="17" t="s">
        <v>215</v>
      </c>
      <c r="H344" s="21" t="s">
        <v>207</v>
      </c>
      <c r="I344" s="18">
        <f>SUM(BL344:BU344)</f>
        <v>6</v>
      </c>
      <c r="J344" s="18">
        <f>IF(COUNT(BV344:CD344)=9,SUM(BV344:CD344),"")</f>
        <v>5</v>
      </c>
      <c r="K344" s="18">
        <f>SUM(BL344:CD344)</f>
        <v>11</v>
      </c>
      <c r="L344" s="18">
        <f>--(K344&gt;='Codebook'!$C$8)</f>
        <v>0</v>
      </c>
      <c r="M344" s="18">
        <f>--(COUNT(BL344:CD344)=19)</f>
        <v>1</v>
      </c>
      <c r="N344" s="18">
        <f>SUM(CE344:CL344)</f>
        <v>0</v>
      </c>
      <c r="O344" s="18">
        <f>SUM(CM344:CR344)</f>
        <v>0</v>
      </c>
      <c r="P344" s="18">
        <f>N344+O344</f>
        <v>0</v>
      </c>
      <c r="Q344" s="21" t="s">
        <v>207</v>
      </c>
      <c r="R344" s="17" t="s">
        <v>154</v>
      </c>
      <c r="S344" s="18">
        <f>--OR(Overview!$B$6="All",E344=Overview!$B$6)*--OR(Overview!$F$6="All",F344=Overview!$F$6)*--OR(Overview!$J$6="All",G344=Overview!$J$6)*--OR(Overview!$N$6="All",H344=Overview!$N$6)</f>
        <v>1</v>
      </c>
      <c r="T344" s="21" t="s">
        <v>22</v>
      </c>
      <c r="U344" s="21" t="s">
        <v>22</v>
      </c>
      <c r="V344" s="21" t="s">
        <v>22</v>
      </c>
      <c r="W344" s="21" t="s">
        <v>22</v>
      </c>
      <c r="X344" s="21" t="s">
        <v>22</v>
      </c>
      <c r="Y344" s="21" t="s">
        <v>22</v>
      </c>
      <c r="Z344" s="21" t="s">
        <v>22</v>
      </c>
      <c r="AA344" s="21" t="s">
        <v>22</v>
      </c>
      <c r="AB344" s="21" t="s">
        <v>22</v>
      </c>
      <c r="AC344" s="21" t="s">
        <v>22</v>
      </c>
      <c r="AD344" s="21" t="s">
        <v>22</v>
      </c>
      <c r="AE344" s="21" t="s">
        <v>22</v>
      </c>
      <c r="AF344" s="21" t="s">
        <v>22</v>
      </c>
      <c r="AG344" s="21" t="s">
        <v>22</v>
      </c>
      <c r="AH344" s="21" t="s">
        <v>22</v>
      </c>
      <c r="AI344" s="21" t="s">
        <v>22</v>
      </c>
      <c r="AJ344" s="21" t="s">
        <v>22</v>
      </c>
      <c r="AK344" s="21" t="s">
        <v>22</v>
      </c>
      <c r="AL344" s="21" t="s">
        <v>22</v>
      </c>
      <c r="AM344" s="21" t="s">
        <v>198</v>
      </c>
      <c r="AN344" s="21" t="s">
        <v>198</v>
      </c>
      <c r="AO344" s="21" t="s">
        <v>198</v>
      </c>
      <c r="AP344" s="21" t="s">
        <v>198</v>
      </c>
      <c r="AQ344" s="21" t="s">
        <v>198</v>
      </c>
      <c r="AR344" s="21" t="s">
        <v>198</v>
      </c>
      <c r="AS344" s="21" t="s">
        <v>198</v>
      </c>
      <c r="AT344" s="21" t="s">
        <v>198</v>
      </c>
      <c r="AU344" s="21" t="s">
        <v>198</v>
      </c>
      <c r="AV344" s="21" t="s">
        <v>198</v>
      </c>
      <c r="AW344" s="21" t="s">
        <v>198</v>
      </c>
      <c r="AX344" s="21" t="s">
        <v>198</v>
      </c>
      <c r="AY344" s="21" t="s">
        <v>198</v>
      </c>
      <c r="AZ344" s="21" t="s">
        <v>198</v>
      </c>
      <c r="BA344" s="17" t="s">
        <v>246</v>
      </c>
      <c r="BB344" s="17" t="s">
        <v>250</v>
      </c>
      <c r="BC344" s="18">
        <f>--ISNUMBER(SEARCH("Radio or television",BA344))</f>
        <v>1</v>
      </c>
      <c r="BD344" s="18">
        <f>--ISNUMBER(SEARCH("Newspapers or print media",BA344))</f>
        <v>0</v>
      </c>
      <c r="BE344" s="18">
        <f>--ISNUMBER(SEARCH("Social media (e.g. Facebook, WhatsApp, YouTube, X/Twitter)",BA344))</f>
        <v>1</v>
      </c>
      <c r="BF344" s="18">
        <f>--ISNUMBER(SEARCH("Family members",BA344))</f>
        <v>0</v>
      </c>
      <c r="BG344" s="18">
        <f>--ISNUMBER(SEARCH("Friends or fellow students",BA344))</f>
        <v>0</v>
      </c>
      <c r="BH344" s="18">
        <f>--ISNUMBER(SEARCH("School coursework or lectures",BA344))</f>
        <v>0</v>
      </c>
      <c r="BI344" s="18">
        <f>--ISNUMBER(SEARCH("NHIMA outreach activities or NHIMA offices",BA344))</f>
        <v>0</v>
      </c>
      <c r="BJ344" s="18">
        <f>--ISNUMBER(SEARCH("Health facility staff",BA344))</f>
        <v>0</v>
      </c>
      <c r="BK344" s="18">
        <f>--ISNUMBER(SEARCH("not received information",BA344))</f>
        <v>0</v>
      </c>
      <c r="BL344" s="18">
        <f>IF(T344="","",--(T344='Codebook'!$F$13))</f>
        <v>1</v>
      </c>
      <c r="BM344" s="18">
        <f>IF(U344="","",--(U344='Codebook'!$F$14))</f>
        <v>0</v>
      </c>
      <c r="BN344" s="18">
        <f>IF(V344="","",--(V344='Codebook'!$F$15))</f>
        <v>0</v>
      </c>
      <c r="BO344" s="18">
        <f>IF(W344="","",--(W344='Codebook'!$F$16))</f>
        <v>1</v>
      </c>
      <c r="BP344" s="18">
        <f>IF(X344="","",--(X344='Codebook'!$F$17))</f>
        <v>1</v>
      </c>
      <c r="BQ344" s="18">
        <f>IF(Y344="","",--(Y344='Codebook'!$F$18))</f>
        <v>0</v>
      </c>
      <c r="BR344" s="18">
        <f>IF(Z344="","",--(Z344='Codebook'!$F$19))</f>
        <v>1</v>
      </c>
      <c r="BS344" s="18">
        <f>IF(AA344="","",--(AA344='Codebook'!$F$20))</f>
        <v>1</v>
      </c>
      <c r="BT344" s="18">
        <f>IF(AB344="","",--(AB344='Codebook'!$F$21))</f>
        <v>0</v>
      </c>
      <c r="BU344" s="18">
        <f>IF(AC344="","",--(AC344='Codebook'!$F$22))</f>
        <v>1</v>
      </c>
      <c r="BV344" s="18">
        <f>IF(AD344="","",--(AD344='Codebook'!$F$23))</f>
        <v>1</v>
      </c>
      <c r="BW344" s="18">
        <f>IF(AE344="","",--(AE344='Codebook'!$F$24))</f>
        <v>1</v>
      </c>
      <c r="BX344" s="18">
        <f>IF(AF344="","",--(AF344='Codebook'!$F$25))</f>
        <v>0</v>
      </c>
      <c r="BY344" s="18">
        <f>IF(AG344="","",--(AG344='Codebook'!$F$26))</f>
        <v>1</v>
      </c>
      <c r="BZ344" s="18">
        <f>IF(AH344="","",--(AH344='Codebook'!$F$27))</f>
        <v>1</v>
      </c>
      <c r="CA344" s="18">
        <f>IF(AI344="","",--(AI344='Codebook'!$F$28))</f>
        <v>0</v>
      </c>
      <c r="CB344" s="18">
        <f>IF(AJ344="","",--(AJ344='Codebook'!$F$29))</f>
        <v>0</v>
      </c>
      <c r="CC344" s="18">
        <f>IF(AK344="","",--(AK344='Codebook'!$F$30))</f>
        <v>1</v>
      </c>
      <c r="CD344" s="18">
        <f>IF(AL344="","",--(AL344='Codebook'!$F$31))</f>
        <v>0</v>
      </c>
      <c r="CE344" s="18">
        <f>IF(AM344="","",--(AM344='Codebook'!$F$32))</f>
        <v>0</v>
      </c>
      <c r="CF344" s="18">
        <f>IF(AN344="","",--(AN344='Codebook'!$F$33))</f>
        <v>0</v>
      </c>
      <c r="CG344" s="18">
        <f>IF(AO344="","",--(AO344='Codebook'!$F$34))</f>
        <v>0</v>
      </c>
      <c r="CH344" s="18">
        <f>IF(AP344="","",--(AP344='Codebook'!$F$35))</f>
        <v>0</v>
      </c>
      <c r="CI344" s="18">
        <f>IF(AQ344="","",--(AQ344='Codebook'!$F$36))</f>
        <v>0</v>
      </c>
      <c r="CJ344" s="18">
        <f>IF(AR344="","",--(AR344='Codebook'!$F$37))</f>
        <v>0</v>
      </c>
      <c r="CK344" s="18">
        <f>IF(AS344="","",--(AS344='Codebook'!$F$38))</f>
        <v>0</v>
      </c>
      <c r="CL344" s="18">
        <f>IF(AT344="","",--(AT344='Codebook'!$F$39))</f>
        <v>0</v>
      </c>
      <c r="CM344" s="18">
        <f>IF(AU344="","",--(AU344='Codebook'!$F$40))</f>
        <v>0</v>
      </c>
      <c r="CN344" s="18">
        <f>IF(AV344="","",--(AV344='Codebook'!$F$41))</f>
        <v>0</v>
      </c>
      <c r="CO344" s="18">
        <f>IF(AW344="","",--(AW344='Codebook'!$F$42))</f>
        <v>0</v>
      </c>
      <c r="CP344" s="18">
        <f>IF(AX344="","",--(AX344='Codebook'!$F$43))</f>
        <v>0</v>
      </c>
      <c r="CQ344" s="18">
        <f>IF(AY344="","",--(AY344='Codebook'!$F$44))</f>
        <v>0</v>
      </c>
      <c r="CR344" s="18">
        <f>IF(AZ344="","",--(AZ344='Codebook'!$F$45))</f>
        <v>0</v>
      </c>
    </row>
    <row r="345" spans="2:96" ht="24" customHeight="1">
      <c r="B345" s="18">
        <v>340</v>
      </c>
      <c r="C345" s="23">
        <v>46294.45318150463</v>
      </c>
      <c r="D345" s="21" t="s">
        <v>275</v>
      </c>
      <c r="E345" s="21" t="s">
        <v>206</v>
      </c>
      <c r="F345" s="21" t="s">
        <v>212</v>
      </c>
      <c r="G345" s="17" t="s">
        <v>202</v>
      </c>
      <c r="H345" s="21" t="s">
        <v>198</v>
      </c>
      <c r="I345" s="18">
        <f>SUM(BL345:BU345)</f>
        <v>6</v>
      </c>
      <c r="J345" s="18">
        <f>IF(COUNT(BV345:CD345)=9,SUM(BV345:CD345),"")</f>
        <v>5</v>
      </c>
      <c r="K345" s="18">
        <f>SUM(BL345:CD345)</f>
        <v>11</v>
      </c>
      <c r="L345" s="18">
        <f>--(K345&gt;='Codebook'!$C$8)</f>
        <v>0</v>
      </c>
      <c r="M345" s="18">
        <f>--(COUNT(BL345:CD345)=19)</f>
        <v>1</v>
      </c>
      <c r="N345" s="18">
        <f>SUM(CE345:CL345)</f>
        <v>1</v>
      </c>
      <c r="O345" s="18">
        <f>SUM(CM345:CR345)</f>
        <v>0</v>
      </c>
      <c r="P345" s="18">
        <f>N345+O345</f>
        <v>1</v>
      </c>
      <c r="Q345" s="21" t="s">
        <v>198</v>
      </c>
      <c r="R345" s="17" t="s">
        <v>154</v>
      </c>
      <c r="S345" s="18">
        <f>--OR(Overview!$B$6="All",E345=Overview!$B$6)*--OR(Overview!$F$6="All",F345=Overview!$F$6)*--OR(Overview!$J$6="All",G345=Overview!$J$6)*--OR(Overview!$N$6="All",H345=Overview!$N$6)</f>
        <v>1</v>
      </c>
      <c r="T345" s="21" t="s">
        <v>22</v>
      </c>
      <c r="U345" s="21" t="s">
        <v>26</v>
      </c>
      <c r="V345" s="21" t="s">
        <v>22</v>
      </c>
      <c r="W345" s="21" t="s">
        <v>22</v>
      </c>
      <c r="X345" s="21" t="s">
        <v>22</v>
      </c>
      <c r="Y345" s="21" t="s">
        <v>198</v>
      </c>
      <c r="Z345" s="21" t="s">
        <v>26</v>
      </c>
      <c r="AA345" s="21" t="s">
        <v>22</v>
      </c>
      <c r="AB345" s="21" t="s">
        <v>22</v>
      </c>
      <c r="AC345" s="21" t="s">
        <v>22</v>
      </c>
      <c r="AD345" s="21" t="s">
        <v>22</v>
      </c>
      <c r="AE345" s="21" t="s">
        <v>22</v>
      </c>
      <c r="AF345" s="21" t="s">
        <v>22</v>
      </c>
      <c r="AG345" s="21" t="s">
        <v>22</v>
      </c>
      <c r="AH345" s="21" t="s">
        <v>22</v>
      </c>
      <c r="AI345" s="21" t="s">
        <v>22</v>
      </c>
      <c r="AJ345" s="21" t="s">
        <v>22</v>
      </c>
      <c r="AK345" s="21" t="s">
        <v>22</v>
      </c>
      <c r="AL345" s="21" t="s">
        <v>22</v>
      </c>
      <c r="AM345" s="21" t="s">
        <v>83</v>
      </c>
      <c r="AN345" s="21" t="s">
        <v>198</v>
      </c>
      <c r="AO345" s="21" t="s">
        <v>198</v>
      </c>
      <c r="AP345" s="21" t="s">
        <v>198</v>
      </c>
      <c r="AQ345" s="21" t="s">
        <v>198</v>
      </c>
      <c r="AR345" s="21" t="s">
        <v>198</v>
      </c>
      <c r="AS345" s="21" t="s">
        <v>198</v>
      </c>
      <c r="AT345" s="21" t="s">
        <v>198</v>
      </c>
      <c r="AU345" s="21" t="s">
        <v>198</v>
      </c>
      <c r="AV345" s="21" t="s">
        <v>198</v>
      </c>
      <c r="AW345" s="21" t="s">
        <v>198</v>
      </c>
      <c r="AX345" s="21" t="s">
        <v>198</v>
      </c>
      <c r="AY345" s="21" t="s">
        <v>198</v>
      </c>
      <c r="AZ345" s="21" t="s">
        <v>198</v>
      </c>
      <c r="BA345" s="17" t="s">
        <v>246</v>
      </c>
      <c r="BB345" s="17" t="s">
        <v>250</v>
      </c>
      <c r="BC345" s="18">
        <f>--ISNUMBER(SEARCH("Radio or television",BA345))</f>
        <v>1</v>
      </c>
      <c r="BD345" s="18">
        <f>--ISNUMBER(SEARCH("Newspapers or print media",BA345))</f>
        <v>0</v>
      </c>
      <c r="BE345" s="18">
        <f>--ISNUMBER(SEARCH("Social media (e.g. Facebook, WhatsApp, YouTube, X/Twitter)",BA345))</f>
        <v>1</v>
      </c>
      <c r="BF345" s="18">
        <f>--ISNUMBER(SEARCH("Family members",BA345))</f>
        <v>0</v>
      </c>
      <c r="BG345" s="18">
        <f>--ISNUMBER(SEARCH("Friends or fellow students",BA345))</f>
        <v>0</v>
      </c>
      <c r="BH345" s="18">
        <f>--ISNUMBER(SEARCH("School coursework or lectures",BA345))</f>
        <v>0</v>
      </c>
      <c r="BI345" s="18">
        <f>--ISNUMBER(SEARCH("NHIMA outreach activities or NHIMA offices",BA345))</f>
        <v>0</v>
      </c>
      <c r="BJ345" s="18">
        <f>--ISNUMBER(SEARCH("Health facility staff",BA345))</f>
        <v>0</v>
      </c>
      <c r="BK345" s="18">
        <f>--ISNUMBER(SEARCH("not received information",BA345))</f>
        <v>0</v>
      </c>
      <c r="BL345" s="18">
        <f>IF(T345="","",--(T345='Codebook'!$F$13))</f>
        <v>1</v>
      </c>
      <c r="BM345" s="18">
        <f>IF(U345="","",--(U345='Codebook'!$F$14))</f>
        <v>1</v>
      </c>
      <c r="BN345" s="18">
        <f>IF(V345="","",--(V345='Codebook'!$F$15))</f>
        <v>0</v>
      </c>
      <c r="BO345" s="18">
        <f>IF(W345="","",--(W345='Codebook'!$F$16))</f>
        <v>1</v>
      </c>
      <c r="BP345" s="18">
        <f>IF(X345="","",--(X345='Codebook'!$F$17))</f>
        <v>1</v>
      </c>
      <c r="BQ345" s="18">
        <f>IF(Y345="","",--(Y345='Codebook'!$F$18))</f>
        <v>0</v>
      </c>
      <c r="BR345" s="18">
        <f>IF(Z345="","",--(Z345='Codebook'!$F$19))</f>
        <v>0</v>
      </c>
      <c r="BS345" s="18">
        <f>IF(AA345="","",--(AA345='Codebook'!$F$20))</f>
        <v>1</v>
      </c>
      <c r="BT345" s="18">
        <f>IF(AB345="","",--(AB345='Codebook'!$F$21))</f>
        <v>0</v>
      </c>
      <c r="BU345" s="18">
        <f>IF(AC345="","",--(AC345='Codebook'!$F$22))</f>
        <v>1</v>
      </c>
      <c r="BV345" s="18">
        <f>IF(AD345="","",--(AD345='Codebook'!$F$23))</f>
        <v>1</v>
      </c>
      <c r="BW345" s="18">
        <f>IF(AE345="","",--(AE345='Codebook'!$F$24))</f>
        <v>1</v>
      </c>
      <c r="BX345" s="18">
        <f>IF(AF345="","",--(AF345='Codebook'!$F$25))</f>
        <v>0</v>
      </c>
      <c r="BY345" s="18">
        <f>IF(AG345="","",--(AG345='Codebook'!$F$26))</f>
        <v>1</v>
      </c>
      <c r="BZ345" s="18">
        <f>IF(AH345="","",--(AH345='Codebook'!$F$27))</f>
        <v>1</v>
      </c>
      <c r="CA345" s="18">
        <f>IF(AI345="","",--(AI345='Codebook'!$F$28))</f>
        <v>0</v>
      </c>
      <c r="CB345" s="18">
        <f>IF(AJ345="","",--(AJ345='Codebook'!$F$29))</f>
        <v>0</v>
      </c>
      <c r="CC345" s="18">
        <f>IF(AK345="","",--(AK345='Codebook'!$F$30))</f>
        <v>1</v>
      </c>
      <c r="CD345" s="18">
        <f>IF(AL345="","",--(AL345='Codebook'!$F$31))</f>
        <v>0</v>
      </c>
      <c r="CE345" s="18">
        <f>IF(AM345="","",--(AM345='Codebook'!$F$32))</f>
        <v>1</v>
      </c>
      <c r="CF345" s="18">
        <f>IF(AN345="","",--(AN345='Codebook'!$F$33))</f>
        <v>0</v>
      </c>
      <c r="CG345" s="18">
        <f>IF(AO345="","",--(AO345='Codebook'!$F$34))</f>
        <v>0</v>
      </c>
      <c r="CH345" s="18">
        <f>IF(AP345="","",--(AP345='Codebook'!$F$35))</f>
        <v>0</v>
      </c>
      <c r="CI345" s="18">
        <f>IF(AQ345="","",--(AQ345='Codebook'!$F$36))</f>
        <v>0</v>
      </c>
      <c r="CJ345" s="18">
        <f>IF(AR345="","",--(AR345='Codebook'!$F$37))</f>
        <v>0</v>
      </c>
      <c r="CK345" s="18">
        <f>IF(AS345="","",--(AS345='Codebook'!$F$38))</f>
        <v>0</v>
      </c>
      <c r="CL345" s="18">
        <f>IF(AT345="","",--(AT345='Codebook'!$F$39))</f>
        <v>0</v>
      </c>
      <c r="CM345" s="18">
        <f>IF(AU345="","",--(AU345='Codebook'!$F$40))</f>
        <v>0</v>
      </c>
      <c r="CN345" s="18">
        <f>IF(AV345="","",--(AV345='Codebook'!$F$41))</f>
        <v>0</v>
      </c>
      <c r="CO345" s="18">
        <f>IF(AW345="","",--(AW345='Codebook'!$F$42))</f>
        <v>0</v>
      </c>
      <c r="CP345" s="18">
        <f>IF(AX345="","",--(AX345='Codebook'!$F$43))</f>
        <v>0</v>
      </c>
      <c r="CQ345" s="18">
        <f>IF(AY345="","",--(AY345='Codebook'!$F$44))</f>
        <v>0</v>
      </c>
      <c r="CR345" s="18">
        <f>IF(AZ345="","",--(AZ345='Codebook'!$F$45))</f>
        <v>0</v>
      </c>
    </row>
    <row r="346" spans="2:96" ht="24" customHeight="1">
      <c r="B346" s="18">
        <v>341</v>
      </c>
      <c r="C346" s="23">
        <v>46294.45372706019</v>
      </c>
      <c r="D346" s="21" t="s">
        <v>275</v>
      </c>
      <c r="E346" s="21" t="s">
        <v>206</v>
      </c>
      <c r="F346" s="21" t="s">
        <v>201</v>
      </c>
      <c r="G346" s="17" t="s">
        <v>196</v>
      </c>
      <c r="H346" s="21" t="s">
        <v>198</v>
      </c>
      <c r="I346" s="18">
        <f>SUM(BL346:BU346)</f>
        <v>6</v>
      </c>
      <c r="J346" s="18">
        <f>IF(COUNT(BV346:CD346)=9,SUM(BV346:CD346),"")</f>
        <v>5</v>
      </c>
      <c r="K346" s="18">
        <f>SUM(BL346:CD346)</f>
        <v>11</v>
      </c>
      <c r="L346" s="18">
        <f>--(K346&gt;='Codebook'!$C$8)</f>
        <v>0</v>
      </c>
      <c r="M346" s="18">
        <f>--(COUNT(BL346:CD346)=19)</f>
        <v>1</v>
      </c>
      <c r="N346" s="18">
        <f>SUM(CE346:CL346)</f>
        <v>0</v>
      </c>
      <c r="O346" s="18">
        <f>SUM(CM346:CR346)</f>
        <v>0</v>
      </c>
      <c r="P346" s="18">
        <f>N346+O346</f>
        <v>0</v>
      </c>
      <c r="Q346" s="21" t="s">
        <v>198</v>
      </c>
      <c r="R346" s="17" t="s">
        <v>154</v>
      </c>
      <c r="S346" s="18">
        <f>--OR(Overview!$B$6="All",E346=Overview!$B$6)*--OR(Overview!$F$6="All",F346=Overview!$F$6)*--OR(Overview!$J$6="All",G346=Overview!$J$6)*--OR(Overview!$N$6="All",H346=Overview!$N$6)</f>
        <v>1</v>
      </c>
      <c r="T346" s="21" t="s">
        <v>22</v>
      </c>
      <c r="U346" s="21" t="s">
        <v>22</v>
      </c>
      <c r="V346" s="21" t="s">
        <v>22</v>
      </c>
      <c r="W346" s="21" t="s">
        <v>22</v>
      </c>
      <c r="X346" s="21" t="s">
        <v>22</v>
      </c>
      <c r="Y346" s="21" t="s">
        <v>22</v>
      </c>
      <c r="Z346" s="21" t="s">
        <v>22</v>
      </c>
      <c r="AA346" s="21" t="s">
        <v>22</v>
      </c>
      <c r="AB346" s="21" t="s">
        <v>22</v>
      </c>
      <c r="AC346" s="21" t="s">
        <v>22</v>
      </c>
      <c r="AD346" s="21" t="s">
        <v>22</v>
      </c>
      <c r="AE346" s="21" t="s">
        <v>22</v>
      </c>
      <c r="AF346" s="21" t="s">
        <v>22</v>
      </c>
      <c r="AG346" s="21" t="s">
        <v>22</v>
      </c>
      <c r="AH346" s="21" t="s">
        <v>22</v>
      </c>
      <c r="AI346" s="21" t="s">
        <v>22</v>
      </c>
      <c r="AJ346" s="21" t="s">
        <v>22</v>
      </c>
      <c r="AK346" s="21" t="s">
        <v>22</v>
      </c>
      <c r="AL346" s="21" t="s">
        <v>22</v>
      </c>
      <c r="AM346" s="21" t="s">
        <v>198</v>
      </c>
      <c r="AN346" s="21" t="s">
        <v>198</v>
      </c>
      <c r="AO346" s="21" t="s">
        <v>198</v>
      </c>
      <c r="AP346" s="21" t="s">
        <v>198</v>
      </c>
      <c r="AQ346" s="21" t="s">
        <v>198</v>
      </c>
      <c r="AR346" s="21" t="s">
        <v>198</v>
      </c>
      <c r="AS346" s="21" t="s">
        <v>198</v>
      </c>
      <c r="AT346" s="21" t="s">
        <v>198</v>
      </c>
      <c r="AU346" s="21" t="s">
        <v>198</v>
      </c>
      <c r="AV346" s="21" t="s">
        <v>198</v>
      </c>
      <c r="AW346" s="21" t="s">
        <v>198</v>
      </c>
      <c r="AX346" s="21" t="s">
        <v>198</v>
      </c>
      <c r="AY346" s="21" t="s">
        <v>198</v>
      </c>
      <c r="AZ346" s="21" t="s">
        <v>198</v>
      </c>
      <c r="BA346" s="17" t="s">
        <v>335</v>
      </c>
      <c r="BB346" s="17" t="s">
        <v>250</v>
      </c>
      <c r="BC346" s="18">
        <f>--ISNUMBER(SEARCH("Radio or television",BA346))</f>
        <v>1</v>
      </c>
      <c r="BD346" s="18">
        <f>--ISNUMBER(SEARCH("Newspapers or print media",BA346))</f>
        <v>0</v>
      </c>
      <c r="BE346" s="18">
        <f>--ISNUMBER(SEARCH("Social media (e.g. Facebook, WhatsApp, YouTube, X/Twitter)",BA346))</f>
        <v>0</v>
      </c>
      <c r="BF346" s="18">
        <f>--ISNUMBER(SEARCH("Family members",BA346))</f>
        <v>1</v>
      </c>
      <c r="BG346" s="18">
        <f>--ISNUMBER(SEARCH("Friends or fellow students",BA346))</f>
        <v>1</v>
      </c>
      <c r="BH346" s="18">
        <f>--ISNUMBER(SEARCH("School coursework or lectures",BA346))</f>
        <v>1</v>
      </c>
      <c r="BI346" s="18">
        <f>--ISNUMBER(SEARCH("NHIMA outreach activities or NHIMA offices",BA346))</f>
        <v>0</v>
      </c>
      <c r="BJ346" s="18">
        <f>--ISNUMBER(SEARCH("Health facility staff",BA346))</f>
        <v>0</v>
      </c>
      <c r="BK346" s="18">
        <f>--ISNUMBER(SEARCH("not received information",BA346))</f>
        <v>0</v>
      </c>
      <c r="BL346" s="18">
        <f>IF(T346="","",--(T346='Codebook'!$F$13))</f>
        <v>1</v>
      </c>
      <c r="BM346" s="18">
        <f>IF(U346="","",--(U346='Codebook'!$F$14))</f>
        <v>0</v>
      </c>
      <c r="BN346" s="18">
        <f>IF(V346="","",--(V346='Codebook'!$F$15))</f>
        <v>0</v>
      </c>
      <c r="BO346" s="18">
        <f>IF(W346="","",--(W346='Codebook'!$F$16))</f>
        <v>1</v>
      </c>
      <c r="BP346" s="18">
        <f>IF(X346="","",--(X346='Codebook'!$F$17))</f>
        <v>1</v>
      </c>
      <c r="BQ346" s="18">
        <f>IF(Y346="","",--(Y346='Codebook'!$F$18))</f>
        <v>0</v>
      </c>
      <c r="BR346" s="18">
        <f>IF(Z346="","",--(Z346='Codebook'!$F$19))</f>
        <v>1</v>
      </c>
      <c r="BS346" s="18">
        <f>IF(AA346="","",--(AA346='Codebook'!$F$20))</f>
        <v>1</v>
      </c>
      <c r="BT346" s="18">
        <f>IF(AB346="","",--(AB346='Codebook'!$F$21))</f>
        <v>0</v>
      </c>
      <c r="BU346" s="18">
        <f>IF(AC346="","",--(AC346='Codebook'!$F$22))</f>
        <v>1</v>
      </c>
      <c r="BV346" s="18">
        <f>IF(AD346="","",--(AD346='Codebook'!$F$23))</f>
        <v>1</v>
      </c>
      <c r="BW346" s="18">
        <f>IF(AE346="","",--(AE346='Codebook'!$F$24))</f>
        <v>1</v>
      </c>
      <c r="BX346" s="18">
        <f>IF(AF346="","",--(AF346='Codebook'!$F$25))</f>
        <v>0</v>
      </c>
      <c r="BY346" s="18">
        <f>IF(AG346="","",--(AG346='Codebook'!$F$26))</f>
        <v>1</v>
      </c>
      <c r="BZ346" s="18">
        <f>IF(AH346="","",--(AH346='Codebook'!$F$27))</f>
        <v>1</v>
      </c>
      <c r="CA346" s="18">
        <f>IF(AI346="","",--(AI346='Codebook'!$F$28))</f>
        <v>0</v>
      </c>
      <c r="CB346" s="18">
        <f>IF(AJ346="","",--(AJ346='Codebook'!$F$29))</f>
        <v>0</v>
      </c>
      <c r="CC346" s="18">
        <f>IF(AK346="","",--(AK346='Codebook'!$F$30))</f>
        <v>1</v>
      </c>
      <c r="CD346" s="18">
        <f>IF(AL346="","",--(AL346='Codebook'!$F$31))</f>
        <v>0</v>
      </c>
      <c r="CE346" s="18">
        <f>IF(AM346="","",--(AM346='Codebook'!$F$32))</f>
        <v>0</v>
      </c>
      <c r="CF346" s="18">
        <f>IF(AN346="","",--(AN346='Codebook'!$F$33))</f>
        <v>0</v>
      </c>
      <c r="CG346" s="18">
        <f>IF(AO346="","",--(AO346='Codebook'!$F$34))</f>
        <v>0</v>
      </c>
      <c r="CH346" s="18">
        <f>IF(AP346="","",--(AP346='Codebook'!$F$35))</f>
        <v>0</v>
      </c>
      <c r="CI346" s="18">
        <f>IF(AQ346="","",--(AQ346='Codebook'!$F$36))</f>
        <v>0</v>
      </c>
      <c r="CJ346" s="18">
        <f>IF(AR346="","",--(AR346='Codebook'!$F$37))</f>
        <v>0</v>
      </c>
      <c r="CK346" s="18">
        <f>IF(AS346="","",--(AS346='Codebook'!$F$38))</f>
        <v>0</v>
      </c>
      <c r="CL346" s="18">
        <f>IF(AT346="","",--(AT346='Codebook'!$F$39))</f>
        <v>0</v>
      </c>
      <c r="CM346" s="18">
        <f>IF(AU346="","",--(AU346='Codebook'!$F$40))</f>
        <v>0</v>
      </c>
      <c r="CN346" s="18">
        <f>IF(AV346="","",--(AV346='Codebook'!$F$41))</f>
        <v>0</v>
      </c>
      <c r="CO346" s="18">
        <f>IF(AW346="","",--(AW346='Codebook'!$F$42))</f>
        <v>0</v>
      </c>
      <c r="CP346" s="18">
        <f>IF(AX346="","",--(AX346='Codebook'!$F$43))</f>
        <v>0</v>
      </c>
      <c r="CQ346" s="18">
        <f>IF(AY346="","",--(AY346='Codebook'!$F$44))</f>
        <v>0</v>
      </c>
      <c r="CR346" s="18">
        <f>IF(AZ346="","",--(AZ346='Codebook'!$F$45))</f>
        <v>0</v>
      </c>
    </row>
    <row r="347" spans="2:96" ht="24" customHeight="1">
      <c r="B347" s="18">
        <v>342</v>
      </c>
      <c r="C347" s="23">
        <v>46294.45430413194</v>
      </c>
      <c r="D347" s="21" t="s">
        <v>275</v>
      </c>
      <c r="E347" s="21" t="s">
        <v>206</v>
      </c>
      <c r="F347" s="21" t="s">
        <v>201</v>
      </c>
      <c r="G347" s="17" t="s">
        <v>202</v>
      </c>
      <c r="H347" s="21" t="s">
        <v>198</v>
      </c>
      <c r="I347" s="18">
        <f>SUM(BL347:BU347)</f>
        <v>4</v>
      </c>
      <c r="J347" s="18">
        <f>IF(COUNT(BV347:CD347)=9,SUM(BV347:CD347),"")</f>
        <v>2</v>
      </c>
      <c r="K347" s="18">
        <f>SUM(BL347:CD347)</f>
        <v>6</v>
      </c>
      <c r="L347" s="18">
        <f>--(K347&gt;='Codebook'!$C$8)</f>
        <v>0</v>
      </c>
      <c r="M347" s="18">
        <f>--(COUNT(BL347:CD347)=19)</f>
        <v>1</v>
      </c>
      <c r="N347" s="18">
        <f>SUM(CE347:CL347)</f>
        <v>0</v>
      </c>
      <c r="O347" s="18">
        <f>SUM(CM347:CR347)</f>
        <v>0</v>
      </c>
      <c r="P347" s="18">
        <f>N347+O347</f>
        <v>0</v>
      </c>
      <c r="Q347" s="21" t="s">
        <v>207</v>
      </c>
      <c r="R347" s="17" t="s">
        <v>154</v>
      </c>
      <c r="S347" s="18">
        <f>--OR(Overview!$B$6="All",E347=Overview!$B$6)*--OR(Overview!$F$6="All",F347=Overview!$F$6)*--OR(Overview!$J$6="All",G347=Overview!$J$6)*--OR(Overview!$N$6="All",H347=Overview!$N$6)</f>
        <v>1</v>
      </c>
      <c r="T347" s="21" t="s">
        <v>22</v>
      </c>
      <c r="U347" s="21" t="s">
        <v>22</v>
      </c>
      <c r="V347" s="21" t="s">
        <v>198</v>
      </c>
      <c r="W347" s="21" t="s">
        <v>22</v>
      </c>
      <c r="X347" s="21" t="s">
        <v>22</v>
      </c>
      <c r="Y347" s="21" t="s">
        <v>26</v>
      </c>
      <c r="Z347" s="21" t="s">
        <v>26</v>
      </c>
      <c r="AA347" s="21" t="s">
        <v>26</v>
      </c>
      <c r="AB347" s="21" t="s">
        <v>22</v>
      </c>
      <c r="AC347" s="21" t="s">
        <v>198</v>
      </c>
      <c r="AD347" s="21" t="s">
        <v>198</v>
      </c>
      <c r="AE347" s="21" t="s">
        <v>198</v>
      </c>
      <c r="AF347" s="21" t="s">
        <v>198</v>
      </c>
      <c r="AG347" s="21" t="s">
        <v>198</v>
      </c>
      <c r="AH347" s="21" t="s">
        <v>22</v>
      </c>
      <c r="AI347" s="21" t="s">
        <v>22</v>
      </c>
      <c r="AJ347" s="21" t="s">
        <v>22</v>
      </c>
      <c r="AK347" s="21" t="s">
        <v>22</v>
      </c>
      <c r="AL347" s="21" t="s">
        <v>22</v>
      </c>
      <c r="AM347" s="21" t="s">
        <v>198</v>
      </c>
      <c r="AN347" s="21" t="s">
        <v>198</v>
      </c>
      <c r="AO347" s="21" t="s">
        <v>198</v>
      </c>
      <c r="AP347" s="21" t="s">
        <v>198</v>
      </c>
      <c r="AQ347" s="21" t="s">
        <v>198</v>
      </c>
      <c r="AR347" s="21" t="s">
        <v>198</v>
      </c>
      <c r="AS347" s="21" t="s">
        <v>198</v>
      </c>
      <c r="AT347" s="21" t="s">
        <v>198</v>
      </c>
      <c r="AU347" s="21" t="s">
        <v>198</v>
      </c>
      <c r="AV347" s="21" t="s">
        <v>198</v>
      </c>
      <c r="AW347" s="21" t="s">
        <v>198</v>
      </c>
      <c r="AX347" s="21" t="s">
        <v>198</v>
      </c>
      <c r="AY347" s="21" t="s">
        <v>198</v>
      </c>
      <c r="AZ347" s="21" t="s">
        <v>198</v>
      </c>
      <c r="BA347" s="17" t="s">
        <v>246</v>
      </c>
      <c r="BB347" s="17" t="s">
        <v>250</v>
      </c>
      <c r="BC347" s="18">
        <f>--ISNUMBER(SEARCH("Radio or television",BA347))</f>
        <v>1</v>
      </c>
      <c r="BD347" s="18">
        <f>--ISNUMBER(SEARCH("Newspapers or print media",BA347))</f>
        <v>0</v>
      </c>
      <c r="BE347" s="18">
        <f>--ISNUMBER(SEARCH("Social media (e.g. Facebook, WhatsApp, YouTube, X/Twitter)",BA347))</f>
        <v>1</v>
      </c>
      <c r="BF347" s="18">
        <f>--ISNUMBER(SEARCH("Family members",BA347))</f>
        <v>0</v>
      </c>
      <c r="BG347" s="18">
        <f>--ISNUMBER(SEARCH("Friends or fellow students",BA347))</f>
        <v>0</v>
      </c>
      <c r="BH347" s="18">
        <f>--ISNUMBER(SEARCH("School coursework or lectures",BA347))</f>
        <v>0</v>
      </c>
      <c r="BI347" s="18">
        <f>--ISNUMBER(SEARCH("NHIMA outreach activities or NHIMA offices",BA347))</f>
        <v>0</v>
      </c>
      <c r="BJ347" s="18">
        <f>--ISNUMBER(SEARCH("Health facility staff",BA347))</f>
        <v>0</v>
      </c>
      <c r="BK347" s="18">
        <f>--ISNUMBER(SEARCH("not received information",BA347))</f>
        <v>0</v>
      </c>
      <c r="BL347" s="18">
        <f>IF(T347="","",--(T347='Codebook'!$F$13))</f>
        <v>1</v>
      </c>
      <c r="BM347" s="18">
        <f>IF(U347="","",--(U347='Codebook'!$F$14))</f>
        <v>0</v>
      </c>
      <c r="BN347" s="18">
        <f>IF(V347="","",--(V347='Codebook'!$F$15))</f>
        <v>0</v>
      </c>
      <c r="BO347" s="18">
        <f>IF(W347="","",--(W347='Codebook'!$F$16))</f>
        <v>1</v>
      </c>
      <c r="BP347" s="18">
        <f>IF(X347="","",--(X347='Codebook'!$F$17))</f>
        <v>1</v>
      </c>
      <c r="BQ347" s="18">
        <f>IF(Y347="","",--(Y347='Codebook'!$F$18))</f>
        <v>1</v>
      </c>
      <c r="BR347" s="18">
        <f>IF(Z347="","",--(Z347='Codebook'!$F$19))</f>
        <v>0</v>
      </c>
      <c r="BS347" s="18">
        <f>IF(AA347="","",--(AA347='Codebook'!$F$20))</f>
        <v>0</v>
      </c>
      <c r="BT347" s="18">
        <f>IF(AB347="","",--(AB347='Codebook'!$F$21))</f>
        <v>0</v>
      </c>
      <c r="BU347" s="18">
        <f>IF(AC347="","",--(AC347='Codebook'!$F$22))</f>
        <v>0</v>
      </c>
      <c r="BV347" s="18">
        <f>IF(AD347="","",--(AD347='Codebook'!$F$23))</f>
        <v>0</v>
      </c>
      <c r="BW347" s="18">
        <f>IF(AE347="","",--(AE347='Codebook'!$F$24))</f>
        <v>0</v>
      </c>
      <c r="BX347" s="18">
        <f>IF(AF347="","",--(AF347='Codebook'!$F$25))</f>
        <v>0</v>
      </c>
      <c r="BY347" s="18">
        <f>IF(AG347="","",--(AG347='Codebook'!$F$26))</f>
        <v>0</v>
      </c>
      <c r="BZ347" s="18">
        <f>IF(AH347="","",--(AH347='Codebook'!$F$27))</f>
        <v>1</v>
      </c>
      <c r="CA347" s="18">
        <f>IF(AI347="","",--(AI347='Codebook'!$F$28))</f>
        <v>0</v>
      </c>
      <c r="CB347" s="18">
        <f>IF(AJ347="","",--(AJ347='Codebook'!$F$29))</f>
        <v>0</v>
      </c>
      <c r="CC347" s="18">
        <f>IF(AK347="","",--(AK347='Codebook'!$F$30))</f>
        <v>1</v>
      </c>
      <c r="CD347" s="18">
        <f>IF(AL347="","",--(AL347='Codebook'!$F$31))</f>
        <v>0</v>
      </c>
      <c r="CE347" s="18">
        <f>IF(AM347="","",--(AM347='Codebook'!$F$32))</f>
        <v>0</v>
      </c>
      <c r="CF347" s="18">
        <f>IF(AN347="","",--(AN347='Codebook'!$F$33))</f>
        <v>0</v>
      </c>
      <c r="CG347" s="18">
        <f>IF(AO347="","",--(AO347='Codebook'!$F$34))</f>
        <v>0</v>
      </c>
      <c r="CH347" s="18">
        <f>IF(AP347="","",--(AP347='Codebook'!$F$35))</f>
        <v>0</v>
      </c>
      <c r="CI347" s="18">
        <f>IF(AQ347="","",--(AQ347='Codebook'!$F$36))</f>
        <v>0</v>
      </c>
      <c r="CJ347" s="18">
        <f>IF(AR347="","",--(AR347='Codebook'!$F$37))</f>
        <v>0</v>
      </c>
      <c r="CK347" s="18">
        <f>IF(AS347="","",--(AS347='Codebook'!$F$38))</f>
        <v>0</v>
      </c>
      <c r="CL347" s="18">
        <f>IF(AT347="","",--(AT347='Codebook'!$F$39))</f>
        <v>0</v>
      </c>
      <c r="CM347" s="18">
        <f>IF(AU347="","",--(AU347='Codebook'!$F$40))</f>
        <v>0</v>
      </c>
      <c r="CN347" s="18">
        <f>IF(AV347="","",--(AV347='Codebook'!$F$41))</f>
        <v>0</v>
      </c>
      <c r="CO347" s="18">
        <f>IF(AW347="","",--(AW347='Codebook'!$F$42))</f>
        <v>0</v>
      </c>
      <c r="CP347" s="18">
        <f>IF(AX347="","",--(AX347='Codebook'!$F$43))</f>
        <v>0</v>
      </c>
      <c r="CQ347" s="18">
        <f>IF(AY347="","",--(AY347='Codebook'!$F$44))</f>
        <v>0</v>
      </c>
      <c r="CR347" s="18">
        <f>IF(AZ347="","",--(AZ347='Codebook'!$F$45))</f>
        <v>0</v>
      </c>
    </row>
    <row r="348" spans="2:96" ht="24" customHeight="1">
      <c r="B348" s="18">
        <v>343</v>
      </c>
      <c r="C348" s="23">
        <v>46294.45487184028</v>
      </c>
      <c r="D348" s="21" t="s">
        <v>275</v>
      </c>
      <c r="E348" s="21" t="s">
        <v>194</v>
      </c>
      <c r="F348" s="21" t="s">
        <v>195</v>
      </c>
      <c r="G348" s="17" t="s">
        <v>247</v>
      </c>
      <c r="H348" s="21" t="s">
        <v>207</v>
      </c>
      <c r="I348" s="18">
        <f>SUM(BL348:BU348)</f>
        <v>5</v>
      </c>
      <c r="J348" s="18">
        <f>IF(COUNT(BV348:CD348)=9,SUM(BV348:CD348),"")</f>
        <v>5</v>
      </c>
      <c r="K348" s="18">
        <f>SUM(BL348:CD348)</f>
        <v>10</v>
      </c>
      <c r="L348" s="18">
        <f>--(K348&gt;='Codebook'!$C$8)</f>
        <v>0</v>
      </c>
      <c r="M348" s="18">
        <f>--(COUNT(BL348:CD348)=19)</f>
        <v>1</v>
      </c>
      <c r="N348" s="18">
        <f>SUM(CE348:CL348)</f>
        <v>0</v>
      </c>
      <c r="O348" s="18">
        <f>SUM(CM348:CR348)</f>
        <v>0</v>
      </c>
      <c r="P348" s="18">
        <f>N348+O348</f>
        <v>0</v>
      </c>
      <c r="Q348" s="21" t="s">
        <v>197</v>
      </c>
      <c r="R348" s="17" t="s">
        <v>154</v>
      </c>
      <c r="S348" s="18">
        <f>--OR(Overview!$B$6="All",E348=Overview!$B$6)*--OR(Overview!$F$6="All",F348=Overview!$F$6)*--OR(Overview!$J$6="All",G348=Overview!$J$6)*--OR(Overview!$N$6="All",H348=Overview!$N$6)</f>
        <v>1</v>
      </c>
      <c r="T348" s="21" t="s">
        <v>198</v>
      </c>
      <c r="U348" s="21" t="s">
        <v>22</v>
      </c>
      <c r="V348" s="21" t="s">
        <v>22</v>
      </c>
      <c r="W348" s="21" t="s">
        <v>22</v>
      </c>
      <c r="X348" s="21" t="s">
        <v>22</v>
      </c>
      <c r="Y348" s="21" t="s">
        <v>22</v>
      </c>
      <c r="Z348" s="21" t="s">
        <v>22</v>
      </c>
      <c r="AA348" s="21" t="s">
        <v>22</v>
      </c>
      <c r="AB348" s="21" t="s">
        <v>22</v>
      </c>
      <c r="AC348" s="21" t="s">
        <v>22</v>
      </c>
      <c r="AD348" s="21" t="s">
        <v>22</v>
      </c>
      <c r="AE348" s="21" t="s">
        <v>22</v>
      </c>
      <c r="AF348" s="21" t="s">
        <v>22</v>
      </c>
      <c r="AG348" s="21" t="s">
        <v>22</v>
      </c>
      <c r="AH348" s="21" t="s">
        <v>22</v>
      </c>
      <c r="AI348" s="21" t="s">
        <v>22</v>
      </c>
      <c r="AJ348" s="21" t="s">
        <v>22</v>
      </c>
      <c r="AK348" s="21" t="s">
        <v>22</v>
      </c>
      <c r="AL348" s="21" t="s">
        <v>22</v>
      </c>
      <c r="AM348" s="21" t="s">
        <v>198</v>
      </c>
      <c r="AN348" s="21" t="s">
        <v>198</v>
      </c>
      <c r="AO348" s="21" t="s">
        <v>198</v>
      </c>
      <c r="AP348" s="21" t="s">
        <v>198</v>
      </c>
      <c r="AQ348" s="21" t="s">
        <v>198</v>
      </c>
      <c r="AR348" s="21" t="s">
        <v>198</v>
      </c>
      <c r="AS348" s="21" t="s">
        <v>198</v>
      </c>
      <c r="AT348" s="21" t="s">
        <v>198</v>
      </c>
      <c r="AU348" s="21" t="s">
        <v>198</v>
      </c>
      <c r="AV348" s="21" t="s">
        <v>198</v>
      </c>
      <c r="AW348" s="21" t="s">
        <v>198</v>
      </c>
      <c r="AX348" s="21" t="s">
        <v>198</v>
      </c>
      <c r="AY348" s="21" t="s">
        <v>198</v>
      </c>
      <c r="AZ348" s="21" t="s">
        <v>198</v>
      </c>
      <c r="BA348" s="17" t="s">
        <v>246</v>
      </c>
      <c r="BB348" s="17" t="s">
        <v>250</v>
      </c>
      <c r="BC348" s="18">
        <f>--ISNUMBER(SEARCH("Radio or television",BA348))</f>
        <v>1</v>
      </c>
      <c r="BD348" s="18">
        <f>--ISNUMBER(SEARCH("Newspapers or print media",BA348))</f>
        <v>0</v>
      </c>
      <c r="BE348" s="18">
        <f>--ISNUMBER(SEARCH("Social media (e.g. Facebook, WhatsApp, YouTube, X/Twitter)",BA348))</f>
        <v>1</v>
      </c>
      <c r="BF348" s="18">
        <f>--ISNUMBER(SEARCH("Family members",BA348))</f>
        <v>0</v>
      </c>
      <c r="BG348" s="18">
        <f>--ISNUMBER(SEARCH("Friends or fellow students",BA348))</f>
        <v>0</v>
      </c>
      <c r="BH348" s="18">
        <f>--ISNUMBER(SEARCH("School coursework or lectures",BA348))</f>
        <v>0</v>
      </c>
      <c r="BI348" s="18">
        <f>--ISNUMBER(SEARCH("NHIMA outreach activities or NHIMA offices",BA348))</f>
        <v>0</v>
      </c>
      <c r="BJ348" s="18">
        <f>--ISNUMBER(SEARCH("Health facility staff",BA348))</f>
        <v>0</v>
      </c>
      <c r="BK348" s="18">
        <f>--ISNUMBER(SEARCH("not received information",BA348))</f>
        <v>0</v>
      </c>
      <c r="BL348" s="18">
        <f>IF(T348="","",--(T348='Codebook'!$F$13))</f>
        <v>0</v>
      </c>
      <c r="BM348" s="18">
        <f>IF(U348="","",--(U348='Codebook'!$F$14))</f>
        <v>0</v>
      </c>
      <c r="BN348" s="18">
        <f>IF(V348="","",--(V348='Codebook'!$F$15))</f>
        <v>0</v>
      </c>
      <c r="BO348" s="18">
        <f>IF(W348="","",--(W348='Codebook'!$F$16))</f>
        <v>1</v>
      </c>
      <c r="BP348" s="18">
        <f>IF(X348="","",--(X348='Codebook'!$F$17))</f>
        <v>1</v>
      </c>
      <c r="BQ348" s="18">
        <f>IF(Y348="","",--(Y348='Codebook'!$F$18))</f>
        <v>0</v>
      </c>
      <c r="BR348" s="18">
        <f>IF(Z348="","",--(Z348='Codebook'!$F$19))</f>
        <v>1</v>
      </c>
      <c r="BS348" s="18">
        <f>IF(AA348="","",--(AA348='Codebook'!$F$20))</f>
        <v>1</v>
      </c>
      <c r="BT348" s="18">
        <f>IF(AB348="","",--(AB348='Codebook'!$F$21))</f>
        <v>0</v>
      </c>
      <c r="BU348" s="18">
        <f>IF(AC348="","",--(AC348='Codebook'!$F$22))</f>
        <v>1</v>
      </c>
      <c r="BV348" s="18">
        <f>IF(AD348="","",--(AD348='Codebook'!$F$23))</f>
        <v>1</v>
      </c>
      <c r="BW348" s="18">
        <f>IF(AE348="","",--(AE348='Codebook'!$F$24))</f>
        <v>1</v>
      </c>
      <c r="BX348" s="18">
        <f>IF(AF348="","",--(AF348='Codebook'!$F$25))</f>
        <v>0</v>
      </c>
      <c r="BY348" s="18">
        <f>IF(AG348="","",--(AG348='Codebook'!$F$26))</f>
        <v>1</v>
      </c>
      <c r="BZ348" s="18">
        <f>IF(AH348="","",--(AH348='Codebook'!$F$27))</f>
        <v>1</v>
      </c>
      <c r="CA348" s="18">
        <f>IF(AI348="","",--(AI348='Codebook'!$F$28))</f>
        <v>0</v>
      </c>
      <c r="CB348" s="18">
        <f>IF(AJ348="","",--(AJ348='Codebook'!$F$29))</f>
        <v>0</v>
      </c>
      <c r="CC348" s="18">
        <f>IF(AK348="","",--(AK348='Codebook'!$F$30))</f>
        <v>1</v>
      </c>
      <c r="CD348" s="18">
        <f>IF(AL348="","",--(AL348='Codebook'!$F$31))</f>
        <v>0</v>
      </c>
      <c r="CE348" s="18">
        <f>IF(AM348="","",--(AM348='Codebook'!$F$32))</f>
        <v>0</v>
      </c>
      <c r="CF348" s="18">
        <f>IF(AN348="","",--(AN348='Codebook'!$F$33))</f>
        <v>0</v>
      </c>
      <c r="CG348" s="18">
        <f>IF(AO348="","",--(AO348='Codebook'!$F$34))</f>
        <v>0</v>
      </c>
      <c r="CH348" s="18">
        <f>IF(AP348="","",--(AP348='Codebook'!$F$35))</f>
        <v>0</v>
      </c>
      <c r="CI348" s="18">
        <f>IF(AQ348="","",--(AQ348='Codebook'!$F$36))</f>
        <v>0</v>
      </c>
      <c r="CJ348" s="18">
        <f>IF(AR348="","",--(AR348='Codebook'!$F$37))</f>
        <v>0</v>
      </c>
      <c r="CK348" s="18">
        <f>IF(AS348="","",--(AS348='Codebook'!$F$38))</f>
        <v>0</v>
      </c>
      <c r="CL348" s="18">
        <f>IF(AT348="","",--(AT348='Codebook'!$F$39))</f>
        <v>0</v>
      </c>
      <c r="CM348" s="18">
        <f>IF(AU348="","",--(AU348='Codebook'!$F$40))</f>
        <v>0</v>
      </c>
      <c r="CN348" s="18">
        <f>IF(AV348="","",--(AV348='Codebook'!$F$41))</f>
        <v>0</v>
      </c>
      <c r="CO348" s="18">
        <f>IF(AW348="","",--(AW348='Codebook'!$F$42))</f>
        <v>0</v>
      </c>
      <c r="CP348" s="18">
        <f>IF(AX348="","",--(AX348='Codebook'!$F$43))</f>
        <v>0</v>
      </c>
      <c r="CQ348" s="18">
        <f>IF(AY348="","",--(AY348='Codebook'!$F$44))</f>
        <v>0</v>
      </c>
      <c r="CR348" s="18">
        <f>IF(AZ348="","",--(AZ348='Codebook'!$F$45))</f>
        <v>0</v>
      </c>
    </row>
    <row r="349" spans="2:96" ht="24" customHeight="1">
      <c r="B349" s="18">
        <v>344</v>
      </c>
      <c r="C349" s="23">
        <v>46294.45548253472</v>
      </c>
      <c r="D349" s="21" t="s">
        <v>275</v>
      </c>
      <c r="E349" s="21" t="s">
        <v>206</v>
      </c>
      <c r="F349" s="21" t="s">
        <v>212</v>
      </c>
      <c r="G349" s="17" t="s">
        <v>196</v>
      </c>
      <c r="H349" s="21" t="s">
        <v>197</v>
      </c>
      <c r="I349" s="18">
        <f>SUM(BL349:BU349)</f>
        <v>5</v>
      </c>
      <c r="J349" s="18">
        <f>IF(COUNT(BV349:CD349)=9,SUM(BV349:CD349),"")</f>
        <v>6</v>
      </c>
      <c r="K349" s="18">
        <f>SUM(BL349:CD349)</f>
        <v>11</v>
      </c>
      <c r="L349" s="18">
        <f>--(K349&gt;='Codebook'!$C$8)</f>
        <v>0</v>
      </c>
      <c r="M349" s="18">
        <f>--(COUNT(BL349:CD349)=19)</f>
        <v>1</v>
      </c>
      <c r="N349" s="18">
        <f>SUM(CE349:CL349)</f>
        <v>0</v>
      </c>
      <c r="O349" s="18">
        <f>SUM(CM349:CR349)</f>
        <v>0</v>
      </c>
      <c r="P349" s="18">
        <f>N349+O349</f>
        <v>0</v>
      </c>
      <c r="Q349" s="21" t="s">
        <v>197</v>
      </c>
      <c r="R349" s="17" t="s">
        <v>154</v>
      </c>
      <c r="S349" s="18">
        <f>--OR(Overview!$B$6="All",E349=Overview!$B$6)*--OR(Overview!$F$6="All",F349=Overview!$F$6)*--OR(Overview!$J$6="All",G349=Overview!$J$6)*--OR(Overview!$N$6="All",H349=Overview!$N$6)</f>
        <v>1</v>
      </c>
      <c r="T349" s="21" t="s">
        <v>22</v>
      </c>
      <c r="U349" s="21" t="s">
        <v>22</v>
      </c>
      <c r="V349" s="21" t="s">
        <v>22</v>
      </c>
      <c r="W349" s="21" t="s">
        <v>26</v>
      </c>
      <c r="X349" s="21" t="s">
        <v>22</v>
      </c>
      <c r="Y349" s="21" t="s">
        <v>22</v>
      </c>
      <c r="Z349" s="21" t="s">
        <v>22</v>
      </c>
      <c r="AA349" s="21" t="s">
        <v>22</v>
      </c>
      <c r="AB349" s="21" t="s">
        <v>22</v>
      </c>
      <c r="AC349" s="21" t="s">
        <v>22</v>
      </c>
      <c r="AD349" s="21" t="s">
        <v>22</v>
      </c>
      <c r="AE349" s="21" t="s">
        <v>22</v>
      </c>
      <c r="AF349" s="21" t="s">
        <v>26</v>
      </c>
      <c r="AG349" s="21" t="s">
        <v>22</v>
      </c>
      <c r="AH349" s="21" t="s">
        <v>26</v>
      </c>
      <c r="AI349" s="21" t="s">
        <v>22</v>
      </c>
      <c r="AJ349" s="21" t="s">
        <v>22</v>
      </c>
      <c r="AK349" s="21" t="s">
        <v>22</v>
      </c>
      <c r="AL349" s="21" t="s">
        <v>26</v>
      </c>
      <c r="AM349" s="21" t="s">
        <v>198</v>
      </c>
      <c r="AN349" s="21" t="s">
        <v>198</v>
      </c>
      <c r="AO349" s="21" t="s">
        <v>198</v>
      </c>
      <c r="AP349" s="21" t="s">
        <v>198</v>
      </c>
      <c r="AQ349" s="21" t="s">
        <v>198</v>
      </c>
      <c r="AR349" s="21" t="s">
        <v>198</v>
      </c>
      <c r="AS349" s="21" t="s">
        <v>198</v>
      </c>
      <c r="AT349" s="21" t="s">
        <v>198</v>
      </c>
      <c r="AU349" s="21" t="s">
        <v>198</v>
      </c>
      <c r="AV349" s="21" t="s">
        <v>198</v>
      </c>
      <c r="AW349" s="21" t="s">
        <v>198</v>
      </c>
      <c r="AX349" s="21" t="s">
        <v>198</v>
      </c>
      <c r="AY349" s="21" t="s">
        <v>198</v>
      </c>
      <c r="AZ349" s="21" t="s">
        <v>198</v>
      </c>
      <c r="BA349" s="17" t="s">
        <v>246</v>
      </c>
      <c r="BB349" s="17" t="s">
        <v>250</v>
      </c>
      <c r="BC349" s="18">
        <f>--ISNUMBER(SEARCH("Radio or television",BA349))</f>
        <v>1</v>
      </c>
      <c r="BD349" s="18">
        <f>--ISNUMBER(SEARCH("Newspapers or print media",BA349))</f>
        <v>0</v>
      </c>
      <c r="BE349" s="18">
        <f>--ISNUMBER(SEARCH("Social media (e.g. Facebook, WhatsApp, YouTube, X/Twitter)",BA349))</f>
        <v>1</v>
      </c>
      <c r="BF349" s="18">
        <f>--ISNUMBER(SEARCH("Family members",BA349))</f>
        <v>0</v>
      </c>
      <c r="BG349" s="18">
        <f>--ISNUMBER(SEARCH("Friends or fellow students",BA349))</f>
        <v>0</v>
      </c>
      <c r="BH349" s="18">
        <f>--ISNUMBER(SEARCH("School coursework or lectures",BA349))</f>
        <v>0</v>
      </c>
      <c r="BI349" s="18">
        <f>--ISNUMBER(SEARCH("NHIMA outreach activities or NHIMA offices",BA349))</f>
        <v>0</v>
      </c>
      <c r="BJ349" s="18">
        <f>--ISNUMBER(SEARCH("Health facility staff",BA349))</f>
        <v>0</v>
      </c>
      <c r="BK349" s="18">
        <f>--ISNUMBER(SEARCH("not received information",BA349))</f>
        <v>0</v>
      </c>
      <c r="BL349" s="18">
        <f>IF(T349="","",--(T349='Codebook'!$F$13))</f>
        <v>1</v>
      </c>
      <c r="BM349" s="18">
        <f>IF(U349="","",--(U349='Codebook'!$F$14))</f>
        <v>0</v>
      </c>
      <c r="BN349" s="18">
        <f>IF(V349="","",--(V349='Codebook'!$F$15))</f>
        <v>0</v>
      </c>
      <c r="BO349" s="18">
        <f>IF(W349="","",--(W349='Codebook'!$F$16))</f>
        <v>0</v>
      </c>
      <c r="BP349" s="18">
        <f>IF(X349="","",--(X349='Codebook'!$F$17))</f>
        <v>1</v>
      </c>
      <c r="BQ349" s="18">
        <f>IF(Y349="","",--(Y349='Codebook'!$F$18))</f>
        <v>0</v>
      </c>
      <c r="BR349" s="18">
        <f>IF(Z349="","",--(Z349='Codebook'!$F$19))</f>
        <v>1</v>
      </c>
      <c r="BS349" s="18">
        <f>IF(AA349="","",--(AA349='Codebook'!$F$20))</f>
        <v>1</v>
      </c>
      <c r="BT349" s="18">
        <f>IF(AB349="","",--(AB349='Codebook'!$F$21))</f>
        <v>0</v>
      </c>
      <c r="BU349" s="18">
        <f>IF(AC349="","",--(AC349='Codebook'!$F$22))</f>
        <v>1</v>
      </c>
      <c r="BV349" s="18">
        <f>IF(AD349="","",--(AD349='Codebook'!$F$23))</f>
        <v>1</v>
      </c>
      <c r="BW349" s="18">
        <f>IF(AE349="","",--(AE349='Codebook'!$F$24))</f>
        <v>1</v>
      </c>
      <c r="BX349" s="18">
        <f>IF(AF349="","",--(AF349='Codebook'!$F$25))</f>
        <v>1</v>
      </c>
      <c r="BY349" s="18">
        <f>IF(AG349="","",--(AG349='Codebook'!$F$26))</f>
        <v>1</v>
      </c>
      <c r="BZ349" s="18">
        <f>IF(AH349="","",--(AH349='Codebook'!$F$27))</f>
        <v>0</v>
      </c>
      <c r="CA349" s="18">
        <f>IF(AI349="","",--(AI349='Codebook'!$F$28))</f>
        <v>0</v>
      </c>
      <c r="CB349" s="18">
        <f>IF(AJ349="","",--(AJ349='Codebook'!$F$29))</f>
        <v>0</v>
      </c>
      <c r="CC349" s="18">
        <f>IF(AK349="","",--(AK349='Codebook'!$F$30))</f>
        <v>1</v>
      </c>
      <c r="CD349" s="18">
        <f>IF(AL349="","",--(AL349='Codebook'!$F$31))</f>
        <v>1</v>
      </c>
      <c r="CE349" s="18">
        <f>IF(AM349="","",--(AM349='Codebook'!$F$32))</f>
        <v>0</v>
      </c>
      <c r="CF349" s="18">
        <f>IF(AN349="","",--(AN349='Codebook'!$F$33))</f>
        <v>0</v>
      </c>
      <c r="CG349" s="18">
        <f>IF(AO349="","",--(AO349='Codebook'!$F$34))</f>
        <v>0</v>
      </c>
      <c r="CH349" s="18">
        <f>IF(AP349="","",--(AP349='Codebook'!$F$35))</f>
        <v>0</v>
      </c>
      <c r="CI349" s="18">
        <f>IF(AQ349="","",--(AQ349='Codebook'!$F$36))</f>
        <v>0</v>
      </c>
      <c r="CJ349" s="18">
        <f>IF(AR349="","",--(AR349='Codebook'!$F$37))</f>
        <v>0</v>
      </c>
      <c r="CK349" s="18">
        <f>IF(AS349="","",--(AS349='Codebook'!$F$38))</f>
        <v>0</v>
      </c>
      <c r="CL349" s="18">
        <f>IF(AT349="","",--(AT349='Codebook'!$F$39))</f>
        <v>0</v>
      </c>
      <c r="CM349" s="18">
        <f>IF(AU349="","",--(AU349='Codebook'!$F$40))</f>
        <v>0</v>
      </c>
      <c r="CN349" s="18">
        <f>IF(AV349="","",--(AV349='Codebook'!$F$41))</f>
        <v>0</v>
      </c>
      <c r="CO349" s="18">
        <f>IF(AW349="","",--(AW349='Codebook'!$F$42))</f>
        <v>0</v>
      </c>
      <c r="CP349" s="18">
        <f>IF(AX349="","",--(AX349='Codebook'!$F$43))</f>
        <v>0</v>
      </c>
      <c r="CQ349" s="18">
        <f>IF(AY349="","",--(AY349='Codebook'!$F$44))</f>
        <v>0</v>
      </c>
      <c r="CR349" s="18">
        <f>IF(AZ349="","",--(AZ349='Codebook'!$F$45))</f>
        <v>0</v>
      </c>
    </row>
    <row r="350" spans="2:96" ht="24" customHeight="1">
      <c r="B350" s="18">
        <v>345</v>
      </c>
      <c r="C350" s="23">
        <v>46294.4560450463</v>
      </c>
      <c r="D350" s="21" t="s">
        <v>275</v>
      </c>
      <c r="E350" s="21" t="s">
        <v>206</v>
      </c>
      <c r="F350" s="21" t="s">
        <v>195</v>
      </c>
      <c r="G350" s="17" t="s">
        <v>202</v>
      </c>
      <c r="H350" s="21" t="s">
        <v>197</v>
      </c>
      <c r="I350" s="18">
        <f>SUM(BL350:BU350)</f>
        <v>6</v>
      </c>
      <c r="J350" s="18">
        <f>IF(COUNT(BV350:CD350)=9,SUM(BV350:CD350),"")</f>
        <v>6</v>
      </c>
      <c r="K350" s="18">
        <f>SUM(BL350:CD350)</f>
        <v>12</v>
      </c>
      <c r="L350" s="18">
        <f>--(K350&gt;='Codebook'!$C$8)</f>
        <v>1</v>
      </c>
      <c r="M350" s="18">
        <f>--(COUNT(BL350:CD350)=19)</f>
        <v>1</v>
      </c>
      <c r="N350" s="18">
        <f>SUM(CE350:CL350)</f>
        <v>0</v>
      </c>
      <c r="O350" s="18">
        <f>SUM(CM350:CR350)</f>
        <v>0</v>
      </c>
      <c r="P350" s="18">
        <f>N350+O350</f>
        <v>0</v>
      </c>
      <c r="Q350" s="21" t="s">
        <v>198</v>
      </c>
      <c r="R350" s="17" t="s">
        <v>154</v>
      </c>
      <c r="S350" s="18">
        <f>--OR(Overview!$B$6="All",E350=Overview!$B$6)*--OR(Overview!$F$6="All",F350=Overview!$F$6)*--OR(Overview!$J$6="All",G350=Overview!$J$6)*--OR(Overview!$N$6="All",H350=Overview!$N$6)</f>
        <v>1</v>
      </c>
      <c r="T350" s="21" t="s">
        <v>22</v>
      </c>
      <c r="U350" s="21" t="s">
        <v>22</v>
      </c>
      <c r="V350" s="21" t="s">
        <v>26</v>
      </c>
      <c r="W350" s="21" t="s">
        <v>26</v>
      </c>
      <c r="X350" s="21" t="s">
        <v>22</v>
      </c>
      <c r="Y350" s="21" t="s">
        <v>22</v>
      </c>
      <c r="Z350" s="21" t="s">
        <v>22</v>
      </c>
      <c r="AA350" s="21" t="s">
        <v>22</v>
      </c>
      <c r="AB350" s="21" t="s">
        <v>22</v>
      </c>
      <c r="AC350" s="21" t="s">
        <v>22</v>
      </c>
      <c r="AD350" s="21" t="s">
        <v>22</v>
      </c>
      <c r="AE350" s="21" t="s">
        <v>22</v>
      </c>
      <c r="AF350" s="21" t="s">
        <v>22</v>
      </c>
      <c r="AG350" s="21" t="s">
        <v>22</v>
      </c>
      <c r="AH350" s="21" t="s">
        <v>22</v>
      </c>
      <c r="AI350" s="21" t="s">
        <v>22</v>
      </c>
      <c r="AJ350" s="21" t="s">
        <v>22</v>
      </c>
      <c r="AK350" s="21" t="s">
        <v>22</v>
      </c>
      <c r="AL350" s="21" t="s">
        <v>26</v>
      </c>
      <c r="AM350" s="21" t="s">
        <v>198</v>
      </c>
      <c r="AN350" s="21" t="s">
        <v>198</v>
      </c>
      <c r="AO350" s="21" t="s">
        <v>198</v>
      </c>
      <c r="AP350" s="21" t="s">
        <v>198</v>
      </c>
      <c r="AQ350" s="21" t="s">
        <v>198</v>
      </c>
      <c r="AR350" s="21" t="s">
        <v>198</v>
      </c>
      <c r="AS350" s="21" t="s">
        <v>198</v>
      </c>
      <c r="AT350" s="21" t="s">
        <v>198</v>
      </c>
      <c r="AU350" s="21" t="s">
        <v>198</v>
      </c>
      <c r="AV350" s="21" t="s">
        <v>198</v>
      </c>
      <c r="AW350" s="21" t="s">
        <v>198</v>
      </c>
      <c r="AX350" s="21" t="s">
        <v>198</v>
      </c>
      <c r="AY350" s="21" t="s">
        <v>198</v>
      </c>
      <c r="AZ350" s="21" t="s">
        <v>198</v>
      </c>
      <c r="BA350" s="17" t="s">
        <v>269</v>
      </c>
      <c r="BB350" s="17" t="s">
        <v>250</v>
      </c>
      <c r="BC350" s="18">
        <f>--ISNUMBER(SEARCH("Radio or television",BA350))</f>
        <v>1</v>
      </c>
      <c r="BD350" s="18">
        <f>--ISNUMBER(SEARCH("Newspapers or print media",BA350))</f>
        <v>1</v>
      </c>
      <c r="BE350" s="18">
        <f>--ISNUMBER(SEARCH("Social media (e.g. Facebook, WhatsApp, YouTube, X/Twitter)",BA350))</f>
        <v>1</v>
      </c>
      <c r="BF350" s="18">
        <f>--ISNUMBER(SEARCH("Family members",BA350))</f>
        <v>0</v>
      </c>
      <c r="BG350" s="18">
        <f>--ISNUMBER(SEARCH("Friends or fellow students",BA350))</f>
        <v>0</v>
      </c>
      <c r="BH350" s="18">
        <f>--ISNUMBER(SEARCH("School coursework or lectures",BA350))</f>
        <v>0</v>
      </c>
      <c r="BI350" s="18">
        <f>--ISNUMBER(SEARCH("NHIMA outreach activities or NHIMA offices",BA350))</f>
        <v>0</v>
      </c>
      <c r="BJ350" s="18">
        <f>--ISNUMBER(SEARCH("Health facility staff",BA350))</f>
        <v>0</v>
      </c>
      <c r="BK350" s="18">
        <f>--ISNUMBER(SEARCH("not received information",BA350))</f>
        <v>0</v>
      </c>
      <c r="BL350" s="18">
        <f>IF(T350="","",--(T350='Codebook'!$F$13))</f>
        <v>1</v>
      </c>
      <c r="BM350" s="18">
        <f>IF(U350="","",--(U350='Codebook'!$F$14))</f>
        <v>0</v>
      </c>
      <c r="BN350" s="18">
        <f>IF(V350="","",--(V350='Codebook'!$F$15))</f>
        <v>1</v>
      </c>
      <c r="BO350" s="18">
        <f>IF(W350="","",--(W350='Codebook'!$F$16))</f>
        <v>0</v>
      </c>
      <c r="BP350" s="18">
        <f>IF(X350="","",--(X350='Codebook'!$F$17))</f>
        <v>1</v>
      </c>
      <c r="BQ350" s="18">
        <f>IF(Y350="","",--(Y350='Codebook'!$F$18))</f>
        <v>0</v>
      </c>
      <c r="BR350" s="18">
        <f>IF(Z350="","",--(Z350='Codebook'!$F$19))</f>
        <v>1</v>
      </c>
      <c r="BS350" s="18">
        <f>IF(AA350="","",--(AA350='Codebook'!$F$20))</f>
        <v>1</v>
      </c>
      <c r="BT350" s="18">
        <f>IF(AB350="","",--(AB350='Codebook'!$F$21))</f>
        <v>0</v>
      </c>
      <c r="BU350" s="18">
        <f>IF(AC350="","",--(AC350='Codebook'!$F$22))</f>
        <v>1</v>
      </c>
      <c r="BV350" s="18">
        <f>IF(AD350="","",--(AD350='Codebook'!$F$23))</f>
        <v>1</v>
      </c>
      <c r="BW350" s="18">
        <f>IF(AE350="","",--(AE350='Codebook'!$F$24))</f>
        <v>1</v>
      </c>
      <c r="BX350" s="18">
        <f>IF(AF350="","",--(AF350='Codebook'!$F$25))</f>
        <v>0</v>
      </c>
      <c r="BY350" s="18">
        <f>IF(AG350="","",--(AG350='Codebook'!$F$26))</f>
        <v>1</v>
      </c>
      <c r="BZ350" s="18">
        <f>IF(AH350="","",--(AH350='Codebook'!$F$27))</f>
        <v>1</v>
      </c>
      <c r="CA350" s="18">
        <f>IF(AI350="","",--(AI350='Codebook'!$F$28))</f>
        <v>0</v>
      </c>
      <c r="CB350" s="18">
        <f>IF(AJ350="","",--(AJ350='Codebook'!$F$29))</f>
        <v>0</v>
      </c>
      <c r="CC350" s="18">
        <f>IF(AK350="","",--(AK350='Codebook'!$F$30))</f>
        <v>1</v>
      </c>
      <c r="CD350" s="18">
        <f>IF(AL350="","",--(AL350='Codebook'!$F$31))</f>
        <v>1</v>
      </c>
      <c r="CE350" s="18">
        <f>IF(AM350="","",--(AM350='Codebook'!$F$32))</f>
        <v>0</v>
      </c>
      <c r="CF350" s="18">
        <f>IF(AN350="","",--(AN350='Codebook'!$F$33))</f>
        <v>0</v>
      </c>
      <c r="CG350" s="18">
        <f>IF(AO350="","",--(AO350='Codebook'!$F$34))</f>
        <v>0</v>
      </c>
      <c r="CH350" s="18">
        <f>IF(AP350="","",--(AP350='Codebook'!$F$35))</f>
        <v>0</v>
      </c>
      <c r="CI350" s="18">
        <f>IF(AQ350="","",--(AQ350='Codebook'!$F$36))</f>
        <v>0</v>
      </c>
      <c r="CJ350" s="18">
        <f>IF(AR350="","",--(AR350='Codebook'!$F$37))</f>
        <v>0</v>
      </c>
      <c r="CK350" s="18">
        <f>IF(AS350="","",--(AS350='Codebook'!$F$38))</f>
        <v>0</v>
      </c>
      <c r="CL350" s="18">
        <f>IF(AT350="","",--(AT350='Codebook'!$F$39))</f>
        <v>0</v>
      </c>
      <c r="CM350" s="18">
        <f>IF(AU350="","",--(AU350='Codebook'!$F$40))</f>
        <v>0</v>
      </c>
      <c r="CN350" s="18">
        <f>IF(AV350="","",--(AV350='Codebook'!$F$41))</f>
        <v>0</v>
      </c>
      <c r="CO350" s="18">
        <f>IF(AW350="","",--(AW350='Codebook'!$F$42))</f>
        <v>0</v>
      </c>
      <c r="CP350" s="18">
        <f>IF(AX350="","",--(AX350='Codebook'!$F$43))</f>
        <v>0</v>
      </c>
      <c r="CQ350" s="18">
        <f>IF(AY350="","",--(AY350='Codebook'!$F$44))</f>
        <v>0</v>
      </c>
      <c r="CR350" s="18">
        <f>IF(AZ350="","",--(AZ350='Codebook'!$F$45))</f>
        <v>0</v>
      </c>
    </row>
    <row r="351" spans="2:96" ht="24" customHeight="1">
      <c r="B351" s="18">
        <v>346</v>
      </c>
      <c r="C351" s="23">
        <v>46294.4567172338</v>
      </c>
      <c r="D351" s="21" t="s">
        <v>268</v>
      </c>
      <c r="E351" s="21" t="s">
        <v>206</v>
      </c>
      <c r="F351" s="21" t="s">
        <v>201</v>
      </c>
      <c r="G351" s="17" t="s">
        <v>224</v>
      </c>
      <c r="H351" s="21" t="s">
        <v>198</v>
      </c>
      <c r="I351" s="18">
        <f>SUM(BL351:BU351)</f>
        <v>6</v>
      </c>
      <c r="J351" s="18">
        <f>IF(COUNT(BV351:CD351)=9,SUM(BV351:CD351),"")</f>
        <v>6</v>
      </c>
      <c r="K351" s="18">
        <f>SUM(BL351:CD351)</f>
        <v>12</v>
      </c>
      <c r="L351" s="18">
        <f>--(K351&gt;='Codebook'!$C$8)</f>
        <v>1</v>
      </c>
      <c r="M351" s="18">
        <f>--(COUNT(BL351:CD351)=19)</f>
        <v>1</v>
      </c>
      <c r="N351" s="18">
        <f>SUM(CE351:CL351)</f>
        <v>1</v>
      </c>
      <c r="O351" s="18">
        <f>SUM(CM351:CR351)</f>
        <v>0</v>
      </c>
      <c r="P351" s="18">
        <f>N351+O351</f>
        <v>1</v>
      </c>
      <c r="Q351" s="21" t="s">
        <v>198</v>
      </c>
      <c r="R351" s="17" t="s">
        <v>154</v>
      </c>
      <c r="S351" s="18">
        <f>--OR(Overview!$B$6="All",E351=Overview!$B$6)*--OR(Overview!$F$6="All",F351=Overview!$F$6)*--OR(Overview!$J$6="All",G351=Overview!$J$6)*--OR(Overview!$N$6="All",H351=Overview!$N$6)</f>
        <v>1</v>
      </c>
      <c r="T351" s="21" t="s">
        <v>22</v>
      </c>
      <c r="U351" s="21" t="s">
        <v>22</v>
      </c>
      <c r="V351" s="21" t="s">
        <v>22</v>
      </c>
      <c r="W351" s="21" t="s">
        <v>22</v>
      </c>
      <c r="X351" s="21" t="s">
        <v>22</v>
      </c>
      <c r="Y351" s="21" t="s">
        <v>198</v>
      </c>
      <c r="Z351" s="21" t="s">
        <v>22</v>
      </c>
      <c r="AA351" s="21" t="s">
        <v>22</v>
      </c>
      <c r="AB351" s="21" t="s">
        <v>22</v>
      </c>
      <c r="AC351" s="21" t="s">
        <v>22</v>
      </c>
      <c r="AD351" s="21" t="s">
        <v>22</v>
      </c>
      <c r="AE351" s="21" t="s">
        <v>22</v>
      </c>
      <c r="AF351" s="21" t="s">
        <v>22</v>
      </c>
      <c r="AG351" s="21" t="s">
        <v>22</v>
      </c>
      <c r="AH351" s="21" t="s">
        <v>22</v>
      </c>
      <c r="AI351" s="21" t="s">
        <v>22</v>
      </c>
      <c r="AJ351" s="21" t="s">
        <v>22</v>
      </c>
      <c r="AK351" s="21" t="s">
        <v>22</v>
      </c>
      <c r="AL351" s="21" t="s">
        <v>26</v>
      </c>
      <c r="AM351" s="21" t="s">
        <v>83</v>
      </c>
      <c r="AN351" s="21" t="s">
        <v>198</v>
      </c>
      <c r="AO351" s="21" t="s">
        <v>198</v>
      </c>
      <c r="AP351" s="21" t="s">
        <v>198</v>
      </c>
      <c r="AQ351" s="21" t="s">
        <v>198</v>
      </c>
      <c r="AR351" s="21" t="s">
        <v>198</v>
      </c>
      <c r="AS351" s="21" t="s">
        <v>198</v>
      </c>
      <c r="AT351" s="21" t="s">
        <v>198</v>
      </c>
      <c r="AU351" s="21" t="s">
        <v>198</v>
      </c>
      <c r="AV351" s="21" t="s">
        <v>198</v>
      </c>
      <c r="AW351" s="21" t="s">
        <v>198</v>
      </c>
      <c r="AX351" s="21" t="s">
        <v>198</v>
      </c>
      <c r="AY351" s="21" t="s">
        <v>198</v>
      </c>
      <c r="AZ351" s="21" t="s">
        <v>198</v>
      </c>
      <c r="BA351" s="17" t="s">
        <v>246</v>
      </c>
      <c r="BB351" s="17" t="s">
        <v>250</v>
      </c>
      <c r="BC351" s="18">
        <f>--ISNUMBER(SEARCH("Radio or television",BA351))</f>
        <v>1</v>
      </c>
      <c r="BD351" s="18">
        <f>--ISNUMBER(SEARCH("Newspapers or print media",BA351))</f>
        <v>0</v>
      </c>
      <c r="BE351" s="18">
        <f>--ISNUMBER(SEARCH("Social media (e.g. Facebook, WhatsApp, YouTube, X/Twitter)",BA351))</f>
        <v>1</v>
      </c>
      <c r="BF351" s="18">
        <f>--ISNUMBER(SEARCH("Family members",BA351))</f>
        <v>0</v>
      </c>
      <c r="BG351" s="18">
        <f>--ISNUMBER(SEARCH("Friends or fellow students",BA351))</f>
        <v>0</v>
      </c>
      <c r="BH351" s="18">
        <f>--ISNUMBER(SEARCH("School coursework or lectures",BA351))</f>
        <v>0</v>
      </c>
      <c r="BI351" s="18">
        <f>--ISNUMBER(SEARCH("NHIMA outreach activities or NHIMA offices",BA351))</f>
        <v>0</v>
      </c>
      <c r="BJ351" s="18">
        <f>--ISNUMBER(SEARCH("Health facility staff",BA351))</f>
        <v>0</v>
      </c>
      <c r="BK351" s="18">
        <f>--ISNUMBER(SEARCH("not received information",BA351))</f>
        <v>0</v>
      </c>
      <c r="BL351" s="18">
        <f>IF(T351="","",--(T351='Codebook'!$F$13))</f>
        <v>1</v>
      </c>
      <c r="BM351" s="18">
        <f>IF(U351="","",--(U351='Codebook'!$F$14))</f>
        <v>0</v>
      </c>
      <c r="BN351" s="18">
        <f>IF(V351="","",--(V351='Codebook'!$F$15))</f>
        <v>0</v>
      </c>
      <c r="BO351" s="18">
        <f>IF(W351="","",--(W351='Codebook'!$F$16))</f>
        <v>1</v>
      </c>
      <c r="BP351" s="18">
        <f>IF(X351="","",--(X351='Codebook'!$F$17))</f>
        <v>1</v>
      </c>
      <c r="BQ351" s="18">
        <f>IF(Y351="","",--(Y351='Codebook'!$F$18))</f>
        <v>0</v>
      </c>
      <c r="BR351" s="18">
        <f>IF(Z351="","",--(Z351='Codebook'!$F$19))</f>
        <v>1</v>
      </c>
      <c r="BS351" s="18">
        <f>IF(AA351="","",--(AA351='Codebook'!$F$20))</f>
        <v>1</v>
      </c>
      <c r="BT351" s="18">
        <f>IF(AB351="","",--(AB351='Codebook'!$F$21))</f>
        <v>0</v>
      </c>
      <c r="BU351" s="18">
        <f>IF(AC351="","",--(AC351='Codebook'!$F$22))</f>
        <v>1</v>
      </c>
      <c r="BV351" s="18">
        <f>IF(AD351="","",--(AD351='Codebook'!$F$23))</f>
        <v>1</v>
      </c>
      <c r="BW351" s="18">
        <f>IF(AE351="","",--(AE351='Codebook'!$F$24))</f>
        <v>1</v>
      </c>
      <c r="BX351" s="18">
        <f>IF(AF351="","",--(AF351='Codebook'!$F$25))</f>
        <v>0</v>
      </c>
      <c r="BY351" s="18">
        <f>IF(AG351="","",--(AG351='Codebook'!$F$26))</f>
        <v>1</v>
      </c>
      <c r="BZ351" s="18">
        <f>IF(AH351="","",--(AH351='Codebook'!$F$27))</f>
        <v>1</v>
      </c>
      <c r="CA351" s="18">
        <f>IF(AI351="","",--(AI351='Codebook'!$F$28))</f>
        <v>0</v>
      </c>
      <c r="CB351" s="18">
        <f>IF(AJ351="","",--(AJ351='Codebook'!$F$29))</f>
        <v>0</v>
      </c>
      <c r="CC351" s="18">
        <f>IF(AK351="","",--(AK351='Codebook'!$F$30))</f>
        <v>1</v>
      </c>
      <c r="CD351" s="18">
        <f>IF(AL351="","",--(AL351='Codebook'!$F$31))</f>
        <v>1</v>
      </c>
      <c r="CE351" s="18">
        <f>IF(AM351="","",--(AM351='Codebook'!$F$32))</f>
        <v>1</v>
      </c>
      <c r="CF351" s="18">
        <f>IF(AN351="","",--(AN351='Codebook'!$F$33))</f>
        <v>0</v>
      </c>
      <c r="CG351" s="18">
        <f>IF(AO351="","",--(AO351='Codebook'!$F$34))</f>
        <v>0</v>
      </c>
      <c r="CH351" s="18">
        <f>IF(AP351="","",--(AP351='Codebook'!$F$35))</f>
        <v>0</v>
      </c>
      <c r="CI351" s="18">
        <f>IF(AQ351="","",--(AQ351='Codebook'!$F$36))</f>
        <v>0</v>
      </c>
      <c r="CJ351" s="18">
        <f>IF(AR351="","",--(AR351='Codebook'!$F$37))</f>
        <v>0</v>
      </c>
      <c r="CK351" s="18">
        <f>IF(AS351="","",--(AS351='Codebook'!$F$38))</f>
        <v>0</v>
      </c>
      <c r="CL351" s="18">
        <f>IF(AT351="","",--(AT351='Codebook'!$F$39))</f>
        <v>0</v>
      </c>
      <c r="CM351" s="18">
        <f>IF(AU351="","",--(AU351='Codebook'!$F$40))</f>
        <v>0</v>
      </c>
      <c r="CN351" s="18">
        <f>IF(AV351="","",--(AV351='Codebook'!$F$41))</f>
        <v>0</v>
      </c>
      <c r="CO351" s="18">
        <f>IF(AW351="","",--(AW351='Codebook'!$F$42))</f>
        <v>0</v>
      </c>
      <c r="CP351" s="18">
        <f>IF(AX351="","",--(AX351='Codebook'!$F$43))</f>
        <v>0</v>
      </c>
      <c r="CQ351" s="18">
        <f>IF(AY351="","",--(AY351='Codebook'!$F$44))</f>
        <v>0</v>
      </c>
      <c r="CR351" s="18">
        <f>IF(AZ351="","",--(AZ351='Codebook'!$F$45))</f>
        <v>0</v>
      </c>
    </row>
    <row r="352" spans="2:96" ht="24" customHeight="1">
      <c r="B352" s="18">
        <v>347</v>
      </c>
      <c r="C352" s="23">
        <v>46294.45732554398</v>
      </c>
      <c r="D352" s="21" t="s">
        <v>275</v>
      </c>
      <c r="E352" s="21" t="s">
        <v>206</v>
      </c>
      <c r="F352" s="21" t="s">
        <v>201</v>
      </c>
      <c r="G352" s="17" t="s">
        <v>224</v>
      </c>
      <c r="H352" s="21" t="s">
        <v>207</v>
      </c>
      <c r="I352" s="18">
        <f>SUM(BL352:BU352)</f>
        <v>5</v>
      </c>
      <c r="J352" s="18">
        <f>IF(COUNT(BV352:CD352)=9,SUM(BV352:CD352),"")</f>
        <v>3</v>
      </c>
      <c r="K352" s="18">
        <f>SUM(BL352:CD352)</f>
        <v>8</v>
      </c>
      <c r="L352" s="18">
        <f>--(K352&gt;='Codebook'!$C$8)</f>
        <v>0</v>
      </c>
      <c r="M352" s="18">
        <f>--(COUNT(BL352:CD352)=19)</f>
        <v>1</v>
      </c>
      <c r="N352" s="18">
        <f>SUM(CE352:CL352)</f>
        <v>1</v>
      </c>
      <c r="O352" s="18">
        <f>SUM(CM352:CR352)</f>
        <v>0</v>
      </c>
      <c r="P352" s="18">
        <f>N352+O352</f>
        <v>1</v>
      </c>
      <c r="Q352" s="21" t="s">
        <v>207</v>
      </c>
      <c r="R352" s="17" t="s">
        <v>216</v>
      </c>
      <c r="S352" s="18">
        <f>--OR(Overview!$B$6="All",E352=Overview!$B$6)*--OR(Overview!$F$6="All",F352=Overview!$F$6)*--OR(Overview!$J$6="All",G352=Overview!$J$6)*--OR(Overview!$N$6="All",H352=Overview!$N$6)</f>
        <v>1</v>
      </c>
      <c r="T352" s="21" t="s">
        <v>22</v>
      </c>
      <c r="U352" s="21" t="s">
        <v>22</v>
      </c>
      <c r="V352" s="21" t="s">
        <v>22</v>
      </c>
      <c r="W352" s="21" t="s">
        <v>26</v>
      </c>
      <c r="X352" s="21" t="s">
        <v>22</v>
      </c>
      <c r="Y352" s="21" t="s">
        <v>22</v>
      </c>
      <c r="Z352" s="21" t="s">
        <v>22</v>
      </c>
      <c r="AA352" s="21" t="s">
        <v>22</v>
      </c>
      <c r="AB352" s="21" t="s">
        <v>22</v>
      </c>
      <c r="AC352" s="21" t="s">
        <v>22</v>
      </c>
      <c r="AD352" s="21" t="s">
        <v>22</v>
      </c>
      <c r="AE352" s="21" t="s">
        <v>26</v>
      </c>
      <c r="AF352" s="21" t="s">
        <v>22</v>
      </c>
      <c r="AG352" s="21" t="s">
        <v>26</v>
      </c>
      <c r="AH352" s="21" t="s">
        <v>26</v>
      </c>
      <c r="AI352" s="21" t="s">
        <v>22</v>
      </c>
      <c r="AJ352" s="21" t="s">
        <v>22</v>
      </c>
      <c r="AK352" s="21" t="s">
        <v>22</v>
      </c>
      <c r="AL352" s="21" t="s">
        <v>26</v>
      </c>
      <c r="AM352" s="21" t="s">
        <v>83</v>
      </c>
      <c r="AN352" s="21" t="s">
        <v>198</v>
      </c>
      <c r="AO352" s="21" t="s">
        <v>198</v>
      </c>
      <c r="AP352" s="21" t="s">
        <v>198</v>
      </c>
      <c r="AQ352" s="21" t="s">
        <v>198</v>
      </c>
      <c r="AR352" s="21" t="s">
        <v>198</v>
      </c>
      <c r="AS352" s="21" t="s">
        <v>198</v>
      </c>
      <c r="AT352" s="21" t="s">
        <v>198</v>
      </c>
      <c r="AU352" s="21" t="s">
        <v>198</v>
      </c>
      <c r="AV352" s="21" t="s">
        <v>198</v>
      </c>
      <c r="AW352" s="21" t="s">
        <v>198</v>
      </c>
      <c r="AX352" s="21" t="s">
        <v>198</v>
      </c>
      <c r="AY352" s="21" t="s">
        <v>198</v>
      </c>
      <c r="AZ352" s="21" t="s">
        <v>198</v>
      </c>
      <c r="BA352" s="17" t="s">
        <v>246</v>
      </c>
      <c r="BB352" s="17" t="s">
        <v>336</v>
      </c>
      <c r="BC352" s="18">
        <f>--ISNUMBER(SEARCH("Radio or television",BA352))</f>
        <v>1</v>
      </c>
      <c r="BD352" s="18">
        <f>--ISNUMBER(SEARCH("Newspapers or print media",BA352))</f>
        <v>0</v>
      </c>
      <c r="BE352" s="18">
        <f>--ISNUMBER(SEARCH("Social media (e.g. Facebook, WhatsApp, YouTube, X/Twitter)",BA352))</f>
        <v>1</v>
      </c>
      <c r="BF352" s="18">
        <f>--ISNUMBER(SEARCH("Family members",BA352))</f>
        <v>0</v>
      </c>
      <c r="BG352" s="18">
        <f>--ISNUMBER(SEARCH("Friends or fellow students",BA352))</f>
        <v>0</v>
      </c>
      <c r="BH352" s="18">
        <f>--ISNUMBER(SEARCH("School coursework or lectures",BA352))</f>
        <v>0</v>
      </c>
      <c r="BI352" s="18">
        <f>--ISNUMBER(SEARCH("NHIMA outreach activities or NHIMA offices",BA352))</f>
        <v>0</v>
      </c>
      <c r="BJ352" s="18">
        <f>--ISNUMBER(SEARCH("Health facility staff",BA352))</f>
        <v>0</v>
      </c>
      <c r="BK352" s="18">
        <f>--ISNUMBER(SEARCH("not received information",BA352))</f>
        <v>0</v>
      </c>
      <c r="BL352" s="18">
        <f>IF(T352="","",--(T352='Codebook'!$F$13))</f>
        <v>1</v>
      </c>
      <c r="BM352" s="18">
        <f>IF(U352="","",--(U352='Codebook'!$F$14))</f>
        <v>0</v>
      </c>
      <c r="BN352" s="18">
        <f>IF(V352="","",--(V352='Codebook'!$F$15))</f>
        <v>0</v>
      </c>
      <c r="BO352" s="18">
        <f>IF(W352="","",--(W352='Codebook'!$F$16))</f>
        <v>0</v>
      </c>
      <c r="BP352" s="18">
        <f>IF(X352="","",--(X352='Codebook'!$F$17))</f>
        <v>1</v>
      </c>
      <c r="BQ352" s="18">
        <f>IF(Y352="","",--(Y352='Codebook'!$F$18))</f>
        <v>0</v>
      </c>
      <c r="BR352" s="18">
        <f>IF(Z352="","",--(Z352='Codebook'!$F$19))</f>
        <v>1</v>
      </c>
      <c r="BS352" s="18">
        <f>IF(AA352="","",--(AA352='Codebook'!$F$20))</f>
        <v>1</v>
      </c>
      <c r="BT352" s="18">
        <f>IF(AB352="","",--(AB352='Codebook'!$F$21))</f>
        <v>0</v>
      </c>
      <c r="BU352" s="18">
        <f>IF(AC352="","",--(AC352='Codebook'!$F$22))</f>
        <v>1</v>
      </c>
      <c r="BV352" s="18">
        <f>IF(AD352="","",--(AD352='Codebook'!$F$23))</f>
        <v>1</v>
      </c>
      <c r="BW352" s="18">
        <f>IF(AE352="","",--(AE352='Codebook'!$F$24))</f>
        <v>0</v>
      </c>
      <c r="BX352" s="18">
        <f>IF(AF352="","",--(AF352='Codebook'!$F$25))</f>
        <v>0</v>
      </c>
      <c r="BY352" s="18">
        <f>IF(AG352="","",--(AG352='Codebook'!$F$26))</f>
        <v>0</v>
      </c>
      <c r="BZ352" s="18">
        <f>IF(AH352="","",--(AH352='Codebook'!$F$27))</f>
        <v>0</v>
      </c>
      <c r="CA352" s="18">
        <f>IF(AI352="","",--(AI352='Codebook'!$F$28))</f>
        <v>0</v>
      </c>
      <c r="CB352" s="18">
        <f>IF(AJ352="","",--(AJ352='Codebook'!$F$29))</f>
        <v>0</v>
      </c>
      <c r="CC352" s="18">
        <f>IF(AK352="","",--(AK352='Codebook'!$F$30))</f>
        <v>1</v>
      </c>
      <c r="CD352" s="18">
        <f>IF(AL352="","",--(AL352='Codebook'!$F$31))</f>
        <v>1</v>
      </c>
      <c r="CE352" s="18">
        <f>IF(AM352="","",--(AM352='Codebook'!$F$32))</f>
        <v>1</v>
      </c>
      <c r="CF352" s="18">
        <f>IF(AN352="","",--(AN352='Codebook'!$F$33))</f>
        <v>0</v>
      </c>
      <c r="CG352" s="18">
        <f>IF(AO352="","",--(AO352='Codebook'!$F$34))</f>
        <v>0</v>
      </c>
      <c r="CH352" s="18">
        <f>IF(AP352="","",--(AP352='Codebook'!$F$35))</f>
        <v>0</v>
      </c>
      <c r="CI352" s="18">
        <f>IF(AQ352="","",--(AQ352='Codebook'!$F$36))</f>
        <v>0</v>
      </c>
      <c r="CJ352" s="18">
        <f>IF(AR352="","",--(AR352='Codebook'!$F$37))</f>
        <v>0</v>
      </c>
      <c r="CK352" s="18">
        <f>IF(AS352="","",--(AS352='Codebook'!$F$38))</f>
        <v>0</v>
      </c>
      <c r="CL352" s="18">
        <f>IF(AT352="","",--(AT352='Codebook'!$F$39))</f>
        <v>0</v>
      </c>
      <c r="CM352" s="18">
        <f>IF(AU352="","",--(AU352='Codebook'!$F$40))</f>
        <v>0</v>
      </c>
      <c r="CN352" s="18">
        <f>IF(AV352="","",--(AV352='Codebook'!$F$41))</f>
        <v>0</v>
      </c>
      <c r="CO352" s="18">
        <f>IF(AW352="","",--(AW352='Codebook'!$F$42))</f>
        <v>0</v>
      </c>
      <c r="CP352" s="18">
        <f>IF(AX352="","",--(AX352='Codebook'!$F$43))</f>
        <v>0</v>
      </c>
      <c r="CQ352" s="18">
        <f>IF(AY352="","",--(AY352='Codebook'!$F$44))</f>
        <v>0</v>
      </c>
      <c r="CR352" s="18">
        <f>IF(AZ352="","",--(AZ352='Codebook'!$F$45))</f>
        <v>0</v>
      </c>
    </row>
    <row r="353" spans="2:96" ht="24" customHeight="1">
      <c r="B353" s="18">
        <v>348</v>
      </c>
      <c r="C353" s="23">
        <v>46294.45793743055</v>
      </c>
      <c r="D353" s="21" t="s">
        <v>268</v>
      </c>
      <c r="E353" s="21" t="s">
        <v>206</v>
      </c>
      <c r="F353" s="21" t="s">
        <v>212</v>
      </c>
      <c r="G353" s="17" t="s">
        <v>196</v>
      </c>
      <c r="H353" s="21" t="s">
        <v>198</v>
      </c>
      <c r="I353" s="18">
        <f>SUM(BL353:BU353)</f>
        <v>6</v>
      </c>
      <c r="J353" s="18">
        <f>IF(COUNT(BV353:CD353)=9,SUM(BV353:CD353),"")</f>
        <v>3</v>
      </c>
      <c r="K353" s="18">
        <f>SUM(BL353:CD353)</f>
        <v>9</v>
      </c>
      <c r="L353" s="18">
        <f>--(K353&gt;='Codebook'!$C$8)</f>
        <v>0</v>
      </c>
      <c r="M353" s="18">
        <f>--(COUNT(BL353:CD353)=19)</f>
        <v>1</v>
      </c>
      <c r="N353" s="18">
        <f>SUM(CE353:CL353)</f>
        <v>1</v>
      </c>
      <c r="O353" s="18">
        <f>SUM(CM353:CR353)</f>
        <v>1</v>
      </c>
      <c r="P353" s="18">
        <f>N353+O353</f>
        <v>2</v>
      </c>
      <c r="Q353" s="21" t="s">
        <v>198</v>
      </c>
      <c r="R353" s="17" t="s">
        <v>154</v>
      </c>
      <c r="S353" s="18">
        <f>--OR(Overview!$B$6="All",E353=Overview!$B$6)*--OR(Overview!$F$6="All",F353=Overview!$F$6)*--OR(Overview!$J$6="All",G353=Overview!$J$6)*--OR(Overview!$N$6="All",H353=Overview!$N$6)</f>
        <v>1</v>
      </c>
      <c r="T353" s="21" t="s">
        <v>22</v>
      </c>
      <c r="U353" s="21" t="s">
        <v>22</v>
      </c>
      <c r="V353" s="21" t="s">
        <v>26</v>
      </c>
      <c r="W353" s="21" t="s">
        <v>22</v>
      </c>
      <c r="X353" s="21" t="s">
        <v>22</v>
      </c>
      <c r="Y353" s="21" t="s">
        <v>22</v>
      </c>
      <c r="Z353" s="21" t="s">
        <v>22</v>
      </c>
      <c r="AA353" s="21" t="s">
        <v>22</v>
      </c>
      <c r="AB353" s="21" t="s">
        <v>198</v>
      </c>
      <c r="AC353" s="21" t="s">
        <v>198</v>
      </c>
      <c r="AD353" s="21" t="s">
        <v>22</v>
      </c>
      <c r="AE353" s="21" t="s">
        <v>198</v>
      </c>
      <c r="AF353" s="21" t="s">
        <v>22</v>
      </c>
      <c r="AG353" s="21" t="s">
        <v>198</v>
      </c>
      <c r="AH353" s="21" t="s">
        <v>26</v>
      </c>
      <c r="AI353" s="21" t="s">
        <v>22</v>
      </c>
      <c r="AJ353" s="21" t="s">
        <v>198</v>
      </c>
      <c r="AK353" s="21" t="s">
        <v>22</v>
      </c>
      <c r="AL353" s="21" t="s">
        <v>26</v>
      </c>
      <c r="AM353" s="21" t="s">
        <v>83</v>
      </c>
      <c r="AN353" s="21" t="s">
        <v>198</v>
      </c>
      <c r="AO353" s="21" t="s">
        <v>198</v>
      </c>
      <c r="AP353" s="21" t="s">
        <v>198</v>
      </c>
      <c r="AQ353" s="21" t="s">
        <v>198</v>
      </c>
      <c r="AR353" s="21" t="s">
        <v>198</v>
      </c>
      <c r="AS353" s="21" t="s">
        <v>198</v>
      </c>
      <c r="AT353" s="21" t="s">
        <v>198</v>
      </c>
      <c r="AU353" s="21" t="s">
        <v>198</v>
      </c>
      <c r="AV353" s="21" t="s">
        <v>109</v>
      </c>
      <c r="AW353" s="21" t="s">
        <v>198</v>
      </c>
      <c r="AX353" s="21" t="s">
        <v>198</v>
      </c>
      <c r="AY353" s="21" t="s">
        <v>198</v>
      </c>
      <c r="AZ353" s="21" t="s">
        <v>198</v>
      </c>
      <c r="BA353" s="17" t="s">
        <v>246</v>
      </c>
      <c r="BB353" s="17" t="s">
        <v>250</v>
      </c>
      <c r="BC353" s="18">
        <f>--ISNUMBER(SEARCH("Radio or television",BA353))</f>
        <v>1</v>
      </c>
      <c r="BD353" s="18">
        <f>--ISNUMBER(SEARCH("Newspapers or print media",BA353))</f>
        <v>0</v>
      </c>
      <c r="BE353" s="18">
        <f>--ISNUMBER(SEARCH("Social media (e.g. Facebook, WhatsApp, YouTube, X/Twitter)",BA353))</f>
        <v>1</v>
      </c>
      <c r="BF353" s="18">
        <f>--ISNUMBER(SEARCH("Family members",BA353))</f>
        <v>0</v>
      </c>
      <c r="BG353" s="18">
        <f>--ISNUMBER(SEARCH("Friends or fellow students",BA353))</f>
        <v>0</v>
      </c>
      <c r="BH353" s="18">
        <f>--ISNUMBER(SEARCH("School coursework or lectures",BA353))</f>
        <v>0</v>
      </c>
      <c r="BI353" s="18">
        <f>--ISNUMBER(SEARCH("NHIMA outreach activities or NHIMA offices",BA353))</f>
        <v>0</v>
      </c>
      <c r="BJ353" s="18">
        <f>--ISNUMBER(SEARCH("Health facility staff",BA353))</f>
        <v>0</v>
      </c>
      <c r="BK353" s="18">
        <f>--ISNUMBER(SEARCH("not received information",BA353))</f>
        <v>0</v>
      </c>
      <c r="BL353" s="18">
        <f>IF(T353="","",--(T353='Codebook'!$F$13))</f>
        <v>1</v>
      </c>
      <c r="BM353" s="18">
        <f>IF(U353="","",--(U353='Codebook'!$F$14))</f>
        <v>0</v>
      </c>
      <c r="BN353" s="18">
        <f>IF(V353="","",--(V353='Codebook'!$F$15))</f>
        <v>1</v>
      </c>
      <c r="BO353" s="18">
        <f>IF(W353="","",--(W353='Codebook'!$F$16))</f>
        <v>1</v>
      </c>
      <c r="BP353" s="18">
        <f>IF(X353="","",--(X353='Codebook'!$F$17))</f>
        <v>1</v>
      </c>
      <c r="BQ353" s="18">
        <f>IF(Y353="","",--(Y353='Codebook'!$F$18))</f>
        <v>0</v>
      </c>
      <c r="BR353" s="18">
        <f>IF(Z353="","",--(Z353='Codebook'!$F$19))</f>
        <v>1</v>
      </c>
      <c r="BS353" s="18">
        <f>IF(AA353="","",--(AA353='Codebook'!$F$20))</f>
        <v>1</v>
      </c>
      <c r="BT353" s="18">
        <f>IF(AB353="","",--(AB353='Codebook'!$F$21))</f>
        <v>0</v>
      </c>
      <c r="BU353" s="18">
        <f>IF(AC353="","",--(AC353='Codebook'!$F$22))</f>
        <v>0</v>
      </c>
      <c r="BV353" s="18">
        <f>IF(AD353="","",--(AD353='Codebook'!$F$23))</f>
        <v>1</v>
      </c>
      <c r="BW353" s="18">
        <f>IF(AE353="","",--(AE353='Codebook'!$F$24))</f>
        <v>0</v>
      </c>
      <c r="BX353" s="18">
        <f>IF(AF353="","",--(AF353='Codebook'!$F$25))</f>
        <v>0</v>
      </c>
      <c r="BY353" s="18">
        <f>IF(AG353="","",--(AG353='Codebook'!$F$26))</f>
        <v>0</v>
      </c>
      <c r="BZ353" s="18">
        <f>IF(AH353="","",--(AH353='Codebook'!$F$27))</f>
        <v>0</v>
      </c>
      <c r="CA353" s="18">
        <f>IF(AI353="","",--(AI353='Codebook'!$F$28))</f>
        <v>0</v>
      </c>
      <c r="CB353" s="18">
        <f>IF(AJ353="","",--(AJ353='Codebook'!$F$29))</f>
        <v>0</v>
      </c>
      <c r="CC353" s="18">
        <f>IF(AK353="","",--(AK353='Codebook'!$F$30))</f>
        <v>1</v>
      </c>
      <c r="CD353" s="18">
        <f>IF(AL353="","",--(AL353='Codebook'!$F$31))</f>
        <v>1</v>
      </c>
      <c r="CE353" s="18">
        <f>IF(AM353="","",--(AM353='Codebook'!$F$32))</f>
        <v>1</v>
      </c>
      <c r="CF353" s="18">
        <f>IF(AN353="","",--(AN353='Codebook'!$F$33))</f>
        <v>0</v>
      </c>
      <c r="CG353" s="18">
        <f>IF(AO353="","",--(AO353='Codebook'!$F$34))</f>
        <v>0</v>
      </c>
      <c r="CH353" s="18">
        <f>IF(AP353="","",--(AP353='Codebook'!$F$35))</f>
        <v>0</v>
      </c>
      <c r="CI353" s="18">
        <f>IF(AQ353="","",--(AQ353='Codebook'!$F$36))</f>
        <v>0</v>
      </c>
      <c r="CJ353" s="18">
        <f>IF(AR353="","",--(AR353='Codebook'!$F$37))</f>
        <v>0</v>
      </c>
      <c r="CK353" s="18">
        <f>IF(AS353="","",--(AS353='Codebook'!$F$38))</f>
        <v>0</v>
      </c>
      <c r="CL353" s="18">
        <f>IF(AT353="","",--(AT353='Codebook'!$F$39))</f>
        <v>0</v>
      </c>
      <c r="CM353" s="18">
        <f>IF(AU353="","",--(AU353='Codebook'!$F$40))</f>
        <v>0</v>
      </c>
      <c r="CN353" s="18">
        <f>IF(AV353="","",--(AV353='Codebook'!$F$41))</f>
        <v>1</v>
      </c>
      <c r="CO353" s="18">
        <f>IF(AW353="","",--(AW353='Codebook'!$F$42))</f>
        <v>0</v>
      </c>
      <c r="CP353" s="18">
        <f>IF(AX353="","",--(AX353='Codebook'!$F$43))</f>
        <v>0</v>
      </c>
      <c r="CQ353" s="18">
        <f>IF(AY353="","",--(AY353='Codebook'!$F$44))</f>
        <v>0</v>
      </c>
      <c r="CR353" s="18">
        <f>IF(AZ353="","",--(AZ353='Codebook'!$F$45))</f>
        <v>0</v>
      </c>
    </row>
    <row r="354" spans="2:96" ht="24" customHeight="1">
      <c r="B354" s="18">
        <v>349</v>
      </c>
      <c r="C354" s="23">
        <v>46294.45857300926</v>
      </c>
      <c r="D354" s="21" t="s">
        <v>275</v>
      </c>
      <c r="E354" s="21" t="s">
        <v>194</v>
      </c>
      <c r="F354" s="21" t="s">
        <v>195</v>
      </c>
      <c r="G354" s="17" t="s">
        <v>215</v>
      </c>
      <c r="H354" s="21" t="s">
        <v>207</v>
      </c>
      <c r="I354" s="18">
        <f>SUM(BL354:BU354)</f>
        <v>6</v>
      </c>
      <c r="J354" s="18">
        <f>IF(COUNT(BV354:CD354)=9,SUM(BV354:CD354),"")</f>
        <v>6</v>
      </c>
      <c r="K354" s="18">
        <f>SUM(BL354:CD354)</f>
        <v>12</v>
      </c>
      <c r="L354" s="18">
        <f>--(K354&gt;='Codebook'!$C$8)</f>
        <v>1</v>
      </c>
      <c r="M354" s="18">
        <f>--(COUNT(BL354:CD354)=19)</f>
        <v>1</v>
      </c>
      <c r="N354" s="18">
        <f>SUM(CE354:CL354)</f>
        <v>1</v>
      </c>
      <c r="O354" s="18">
        <f>SUM(CM354:CR354)</f>
        <v>0</v>
      </c>
      <c r="P354" s="18">
        <f>N354+O354</f>
        <v>1</v>
      </c>
      <c r="Q354" s="21" t="s">
        <v>198</v>
      </c>
      <c r="R354" s="17" t="s">
        <v>154</v>
      </c>
      <c r="S354" s="18">
        <f>--OR(Overview!$B$6="All",E354=Overview!$B$6)*--OR(Overview!$F$6="All",F354=Overview!$F$6)*--OR(Overview!$J$6="All",G354=Overview!$J$6)*--OR(Overview!$N$6="All",H354=Overview!$N$6)</f>
        <v>1</v>
      </c>
      <c r="T354" s="21" t="s">
        <v>22</v>
      </c>
      <c r="U354" s="21" t="s">
        <v>22</v>
      </c>
      <c r="V354" s="21" t="s">
        <v>26</v>
      </c>
      <c r="W354" s="21" t="s">
        <v>22</v>
      </c>
      <c r="X354" s="21" t="s">
        <v>22</v>
      </c>
      <c r="Y354" s="21" t="s">
        <v>22</v>
      </c>
      <c r="Z354" s="21" t="s">
        <v>22</v>
      </c>
      <c r="AA354" s="21" t="s">
        <v>26</v>
      </c>
      <c r="AB354" s="21" t="s">
        <v>22</v>
      </c>
      <c r="AC354" s="21" t="s">
        <v>22</v>
      </c>
      <c r="AD354" s="21" t="s">
        <v>22</v>
      </c>
      <c r="AE354" s="21" t="s">
        <v>22</v>
      </c>
      <c r="AF354" s="21" t="s">
        <v>22</v>
      </c>
      <c r="AG354" s="21" t="s">
        <v>22</v>
      </c>
      <c r="AH354" s="21" t="s">
        <v>22</v>
      </c>
      <c r="AI354" s="21" t="s">
        <v>22</v>
      </c>
      <c r="AJ354" s="21" t="s">
        <v>22</v>
      </c>
      <c r="AK354" s="21" t="s">
        <v>22</v>
      </c>
      <c r="AL354" s="21" t="s">
        <v>26</v>
      </c>
      <c r="AM354" s="21" t="s">
        <v>83</v>
      </c>
      <c r="AN354" s="21" t="s">
        <v>109</v>
      </c>
      <c r="AO354" s="21" t="s">
        <v>198</v>
      </c>
      <c r="AP354" s="21" t="s">
        <v>198</v>
      </c>
      <c r="AQ354" s="21" t="s">
        <v>198</v>
      </c>
      <c r="AR354" s="21" t="s">
        <v>198</v>
      </c>
      <c r="AS354" s="21" t="s">
        <v>198</v>
      </c>
      <c r="AT354" s="21" t="s">
        <v>198</v>
      </c>
      <c r="AU354" s="21" t="s">
        <v>198</v>
      </c>
      <c r="AV354" s="21" t="s">
        <v>198</v>
      </c>
      <c r="AW354" s="21" t="s">
        <v>198</v>
      </c>
      <c r="AX354" s="21" t="s">
        <v>198</v>
      </c>
      <c r="AY354" s="21" t="s">
        <v>198</v>
      </c>
      <c r="AZ354" s="21" t="s">
        <v>198</v>
      </c>
      <c r="BA354" s="17" t="s">
        <v>250</v>
      </c>
      <c r="BB354" s="17" t="s">
        <v>250</v>
      </c>
      <c r="BC354" s="18">
        <f>--ISNUMBER(SEARCH("Radio or television",BA354))</f>
        <v>0</v>
      </c>
      <c r="BD354" s="18">
        <f>--ISNUMBER(SEARCH("Newspapers or print media",BA354))</f>
        <v>0</v>
      </c>
      <c r="BE354" s="18">
        <f>--ISNUMBER(SEARCH("Social media (e.g. Facebook, WhatsApp, YouTube, X/Twitter)",BA354))</f>
        <v>1</v>
      </c>
      <c r="BF354" s="18">
        <f>--ISNUMBER(SEARCH("Family members",BA354))</f>
        <v>0</v>
      </c>
      <c r="BG354" s="18">
        <f>--ISNUMBER(SEARCH("Friends or fellow students",BA354))</f>
        <v>0</v>
      </c>
      <c r="BH354" s="18">
        <f>--ISNUMBER(SEARCH("School coursework or lectures",BA354))</f>
        <v>0</v>
      </c>
      <c r="BI354" s="18">
        <f>--ISNUMBER(SEARCH("NHIMA outreach activities or NHIMA offices",BA354))</f>
        <v>0</v>
      </c>
      <c r="BJ354" s="18">
        <f>--ISNUMBER(SEARCH("Health facility staff",BA354))</f>
        <v>0</v>
      </c>
      <c r="BK354" s="18">
        <f>--ISNUMBER(SEARCH("not received information",BA354))</f>
        <v>0</v>
      </c>
      <c r="BL354" s="18">
        <f>IF(T354="","",--(T354='Codebook'!$F$13))</f>
        <v>1</v>
      </c>
      <c r="BM354" s="18">
        <f>IF(U354="","",--(U354='Codebook'!$F$14))</f>
        <v>0</v>
      </c>
      <c r="BN354" s="18">
        <f>IF(V354="","",--(V354='Codebook'!$F$15))</f>
        <v>1</v>
      </c>
      <c r="BO354" s="18">
        <f>IF(W354="","",--(W354='Codebook'!$F$16))</f>
        <v>1</v>
      </c>
      <c r="BP354" s="18">
        <f>IF(X354="","",--(X354='Codebook'!$F$17))</f>
        <v>1</v>
      </c>
      <c r="BQ354" s="18">
        <f>IF(Y354="","",--(Y354='Codebook'!$F$18))</f>
        <v>0</v>
      </c>
      <c r="BR354" s="18">
        <f>IF(Z354="","",--(Z354='Codebook'!$F$19))</f>
        <v>1</v>
      </c>
      <c r="BS354" s="18">
        <f>IF(AA354="","",--(AA354='Codebook'!$F$20))</f>
        <v>0</v>
      </c>
      <c r="BT354" s="18">
        <f>IF(AB354="","",--(AB354='Codebook'!$F$21))</f>
        <v>0</v>
      </c>
      <c r="BU354" s="18">
        <f>IF(AC354="","",--(AC354='Codebook'!$F$22))</f>
        <v>1</v>
      </c>
      <c r="BV354" s="18">
        <f>IF(AD354="","",--(AD354='Codebook'!$F$23))</f>
        <v>1</v>
      </c>
      <c r="BW354" s="18">
        <f>IF(AE354="","",--(AE354='Codebook'!$F$24))</f>
        <v>1</v>
      </c>
      <c r="BX354" s="18">
        <f>IF(AF354="","",--(AF354='Codebook'!$F$25))</f>
        <v>0</v>
      </c>
      <c r="BY354" s="18">
        <f>IF(AG354="","",--(AG354='Codebook'!$F$26))</f>
        <v>1</v>
      </c>
      <c r="BZ354" s="18">
        <f>IF(AH354="","",--(AH354='Codebook'!$F$27))</f>
        <v>1</v>
      </c>
      <c r="CA354" s="18">
        <f>IF(AI354="","",--(AI354='Codebook'!$F$28))</f>
        <v>0</v>
      </c>
      <c r="CB354" s="18">
        <f>IF(AJ354="","",--(AJ354='Codebook'!$F$29))</f>
        <v>0</v>
      </c>
      <c r="CC354" s="18">
        <f>IF(AK354="","",--(AK354='Codebook'!$F$30))</f>
        <v>1</v>
      </c>
      <c r="CD354" s="18">
        <f>IF(AL354="","",--(AL354='Codebook'!$F$31))</f>
        <v>1</v>
      </c>
      <c r="CE354" s="18">
        <f>IF(AM354="","",--(AM354='Codebook'!$F$32))</f>
        <v>1</v>
      </c>
      <c r="CF354" s="18">
        <f>IF(AN354="","",--(AN354='Codebook'!$F$33))</f>
        <v>0</v>
      </c>
      <c r="CG354" s="18">
        <f>IF(AO354="","",--(AO354='Codebook'!$F$34))</f>
        <v>0</v>
      </c>
      <c r="CH354" s="18">
        <f>IF(AP354="","",--(AP354='Codebook'!$F$35))</f>
        <v>0</v>
      </c>
      <c r="CI354" s="18">
        <f>IF(AQ354="","",--(AQ354='Codebook'!$F$36))</f>
        <v>0</v>
      </c>
      <c r="CJ354" s="18">
        <f>IF(AR354="","",--(AR354='Codebook'!$F$37))</f>
        <v>0</v>
      </c>
      <c r="CK354" s="18">
        <f>IF(AS354="","",--(AS354='Codebook'!$F$38))</f>
        <v>0</v>
      </c>
      <c r="CL354" s="18">
        <f>IF(AT354="","",--(AT354='Codebook'!$F$39))</f>
        <v>0</v>
      </c>
      <c r="CM354" s="18">
        <f>IF(AU354="","",--(AU354='Codebook'!$F$40))</f>
        <v>0</v>
      </c>
      <c r="CN354" s="18">
        <f>IF(AV354="","",--(AV354='Codebook'!$F$41))</f>
        <v>0</v>
      </c>
      <c r="CO354" s="18">
        <f>IF(AW354="","",--(AW354='Codebook'!$F$42))</f>
        <v>0</v>
      </c>
      <c r="CP354" s="18">
        <f>IF(AX354="","",--(AX354='Codebook'!$F$43))</f>
        <v>0</v>
      </c>
      <c r="CQ354" s="18">
        <f>IF(AY354="","",--(AY354='Codebook'!$F$44))</f>
        <v>0</v>
      </c>
      <c r="CR354" s="18">
        <f>IF(AZ354="","",--(AZ354='Codebook'!$F$45))</f>
        <v>0</v>
      </c>
    </row>
    <row r="355" spans="2:96" ht="24" customHeight="1">
      <c r="B355" s="18">
        <v>350</v>
      </c>
      <c r="C355" s="23">
        <v>46294.49458179398</v>
      </c>
      <c r="D355" s="21" t="s">
        <v>275</v>
      </c>
      <c r="E355" s="21" t="s">
        <v>194</v>
      </c>
      <c r="F355" s="21" t="s">
        <v>195</v>
      </c>
      <c r="G355" s="17" t="s">
        <v>202</v>
      </c>
      <c r="H355" s="21" t="s">
        <v>207</v>
      </c>
      <c r="I355" s="18">
        <f>SUM(BL355:BU355)</f>
        <v>6</v>
      </c>
      <c r="J355" s="18">
        <f>IF(COUNT(BV355:CD355)=9,SUM(BV355:CD355),"")</f>
        <v>6</v>
      </c>
      <c r="K355" s="18">
        <f>SUM(BL355:CD355)</f>
        <v>12</v>
      </c>
      <c r="L355" s="18">
        <f>--(K355&gt;='Codebook'!$C$8)</f>
        <v>1</v>
      </c>
      <c r="M355" s="18">
        <f>--(COUNT(BL355:CD355)=19)</f>
        <v>1</v>
      </c>
      <c r="N355" s="18">
        <f>SUM(CE355:CL355)</f>
        <v>1</v>
      </c>
      <c r="O355" s="18">
        <f>SUM(CM355:CR355)</f>
        <v>0</v>
      </c>
      <c r="P355" s="18">
        <f>N355+O355</f>
        <v>1</v>
      </c>
      <c r="Q355" s="21" t="s">
        <v>198</v>
      </c>
      <c r="R355" s="17" t="s">
        <v>154</v>
      </c>
      <c r="S355" s="18">
        <f>--OR(Overview!$B$6="All",E355=Overview!$B$6)*--OR(Overview!$F$6="All",F355=Overview!$F$6)*--OR(Overview!$J$6="All",G355=Overview!$J$6)*--OR(Overview!$N$6="All",H355=Overview!$N$6)</f>
        <v>1</v>
      </c>
      <c r="T355" s="21" t="s">
        <v>22</v>
      </c>
      <c r="U355" s="21" t="s">
        <v>22</v>
      </c>
      <c r="V355" s="21" t="s">
        <v>22</v>
      </c>
      <c r="W355" s="21" t="s">
        <v>22</v>
      </c>
      <c r="X355" s="21" t="s">
        <v>22</v>
      </c>
      <c r="Y355" s="21" t="s">
        <v>22</v>
      </c>
      <c r="Z355" s="21" t="s">
        <v>22</v>
      </c>
      <c r="AA355" s="21" t="s">
        <v>22</v>
      </c>
      <c r="AB355" s="21" t="s">
        <v>22</v>
      </c>
      <c r="AC355" s="21" t="s">
        <v>22</v>
      </c>
      <c r="AD355" s="21" t="s">
        <v>22</v>
      </c>
      <c r="AE355" s="21" t="s">
        <v>22</v>
      </c>
      <c r="AF355" s="21" t="s">
        <v>22</v>
      </c>
      <c r="AG355" s="21" t="s">
        <v>22</v>
      </c>
      <c r="AH355" s="21" t="s">
        <v>22</v>
      </c>
      <c r="AI355" s="21" t="s">
        <v>22</v>
      </c>
      <c r="AJ355" s="21" t="s">
        <v>22</v>
      </c>
      <c r="AK355" s="21" t="s">
        <v>22</v>
      </c>
      <c r="AL355" s="21" t="s">
        <v>26</v>
      </c>
      <c r="AM355" s="21" t="s">
        <v>83</v>
      </c>
      <c r="AN355" s="21" t="s">
        <v>198</v>
      </c>
      <c r="AO355" s="21" t="s">
        <v>198</v>
      </c>
      <c r="AP355" s="21" t="s">
        <v>198</v>
      </c>
      <c r="AQ355" s="21" t="s">
        <v>198</v>
      </c>
      <c r="AR355" s="21" t="s">
        <v>198</v>
      </c>
      <c r="AS355" s="21" t="s">
        <v>198</v>
      </c>
      <c r="AT355" s="21" t="s">
        <v>198</v>
      </c>
      <c r="AU355" s="21" t="s">
        <v>198</v>
      </c>
      <c r="AV355" s="21" t="s">
        <v>198</v>
      </c>
      <c r="AW355" s="21" t="s">
        <v>198</v>
      </c>
      <c r="AX355" s="21" t="s">
        <v>198</v>
      </c>
      <c r="AY355" s="21" t="s">
        <v>198</v>
      </c>
      <c r="AZ355" s="21" t="s">
        <v>198</v>
      </c>
      <c r="BA355" s="17" t="s">
        <v>274</v>
      </c>
      <c r="BB355" s="17" t="s">
        <v>250</v>
      </c>
      <c r="BC355" s="18">
        <f>--ISNUMBER(SEARCH("Radio or television",BA355))</f>
        <v>1</v>
      </c>
      <c r="BD355" s="18">
        <f>--ISNUMBER(SEARCH("Newspapers or print media",BA355))</f>
        <v>1</v>
      </c>
      <c r="BE355" s="18">
        <f>--ISNUMBER(SEARCH("Social media (e.g. Facebook, WhatsApp, YouTube, X/Twitter)",BA355))</f>
        <v>1</v>
      </c>
      <c r="BF355" s="18">
        <f>--ISNUMBER(SEARCH("Family members",BA355))</f>
        <v>1</v>
      </c>
      <c r="BG355" s="18">
        <f>--ISNUMBER(SEARCH("Friends or fellow students",BA355))</f>
        <v>0</v>
      </c>
      <c r="BH355" s="18">
        <f>--ISNUMBER(SEARCH("School coursework or lectures",BA355))</f>
        <v>0</v>
      </c>
      <c r="BI355" s="18">
        <f>--ISNUMBER(SEARCH("NHIMA outreach activities or NHIMA offices",BA355))</f>
        <v>0</v>
      </c>
      <c r="BJ355" s="18">
        <f>--ISNUMBER(SEARCH("Health facility staff",BA355))</f>
        <v>0</v>
      </c>
      <c r="BK355" s="18">
        <f>--ISNUMBER(SEARCH("not received information",BA355))</f>
        <v>0</v>
      </c>
      <c r="BL355" s="18">
        <f>IF(T355="","",--(T355='Codebook'!$F$13))</f>
        <v>1</v>
      </c>
      <c r="BM355" s="18">
        <f>IF(U355="","",--(U355='Codebook'!$F$14))</f>
        <v>0</v>
      </c>
      <c r="BN355" s="18">
        <f>IF(V355="","",--(V355='Codebook'!$F$15))</f>
        <v>0</v>
      </c>
      <c r="BO355" s="18">
        <f>IF(W355="","",--(W355='Codebook'!$F$16))</f>
        <v>1</v>
      </c>
      <c r="BP355" s="18">
        <f>IF(X355="","",--(X355='Codebook'!$F$17))</f>
        <v>1</v>
      </c>
      <c r="BQ355" s="18">
        <f>IF(Y355="","",--(Y355='Codebook'!$F$18))</f>
        <v>0</v>
      </c>
      <c r="BR355" s="18">
        <f>IF(Z355="","",--(Z355='Codebook'!$F$19))</f>
        <v>1</v>
      </c>
      <c r="BS355" s="18">
        <f>IF(AA355="","",--(AA355='Codebook'!$F$20))</f>
        <v>1</v>
      </c>
      <c r="BT355" s="18">
        <f>IF(AB355="","",--(AB355='Codebook'!$F$21))</f>
        <v>0</v>
      </c>
      <c r="BU355" s="18">
        <f>IF(AC355="","",--(AC355='Codebook'!$F$22))</f>
        <v>1</v>
      </c>
      <c r="BV355" s="18">
        <f>IF(AD355="","",--(AD355='Codebook'!$F$23))</f>
        <v>1</v>
      </c>
      <c r="BW355" s="18">
        <f>IF(AE355="","",--(AE355='Codebook'!$F$24))</f>
        <v>1</v>
      </c>
      <c r="BX355" s="18">
        <f>IF(AF355="","",--(AF355='Codebook'!$F$25))</f>
        <v>0</v>
      </c>
      <c r="BY355" s="18">
        <f>IF(AG355="","",--(AG355='Codebook'!$F$26))</f>
        <v>1</v>
      </c>
      <c r="BZ355" s="18">
        <f>IF(AH355="","",--(AH355='Codebook'!$F$27))</f>
        <v>1</v>
      </c>
      <c r="CA355" s="18">
        <f>IF(AI355="","",--(AI355='Codebook'!$F$28))</f>
        <v>0</v>
      </c>
      <c r="CB355" s="18">
        <f>IF(AJ355="","",--(AJ355='Codebook'!$F$29))</f>
        <v>0</v>
      </c>
      <c r="CC355" s="18">
        <f>IF(AK355="","",--(AK355='Codebook'!$F$30))</f>
        <v>1</v>
      </c>
      <c r="CD355" s="18">
        <f>IF(AL355="","",--(AL355='Codebook'!$F$31))</f>
        <v>1</v>
      </c>
      <c r="CE355" s="18">
        <f>IF(AM355="","",--(AM355='Codebook'!$F$32))</f>
        <v>1</v>
      </c>
      <c r="CF355" s="18">
        <f>IF(AN355="","",--(AN355='Codebook'!$F$33))</f>
        <v>0</v>
      </c>
      <c r="CG355" s="18">
        <f>IF(AO355="","",--(AO355='Codebook'!$F$34))</f>
        <v>0</v>
      </c>
      <c r="CH355" s="18">
        <f>IF(AP355="","",--(AP355='Codebook'!$F$35))</f>
        <v>0</v>
      </c>
      <c r="CI355" s="18">
        <f>IF(AQ355="","",--(AQ355='Codebook'!$F$36))</f>
        <v>0</v>
      </c>
      <c r="CJ355" s="18">
        <f>IF(AR355="","",--(AR355='Codebook'!$F$37))</f>
        <v>0</v>
      </c>
      <c r="CK355" s="18">
        <f>IF(AS355="","",--(AS355='Codebook'!$F$38))</f>
        <v>0</v>
      </c>
      <c r="CL355" s="18">
        <f>IF(AT355="","",--(AT355='Codebook'!$F$39))</f>
        <v>0</v>
      </c>
      <c r="CM355" s="18">
        <f>IF(AU355="","",--(AU355='Codebook'!$F$40))</f>
        <v>0</v>
      </c>
      <c r="CN355" s="18">
        <f>IF(AV355="","",--(AV355='Codebook'!$F$41))</f>
        <v>0</v>
      </c>
      <c r="CO355" s="18">
        <f>IF(AW355="","",--(AW355='Codebook'!$F$42))</f>
        <v>0</v>
      </c>
      <c r="CP355" s="18">
        <f>IF(AX355="","",--(AX355='Codebook'!$F$43))</f>
        <v>0</v>
      </c>
      <c r="CQ355" s="18">
        <f>IF(AY355="","",--(AY355='Codebook'!$F$44))</f>
        <v>0</v>
      </c>
      <c r="CR355" s="18">
        <f>IF(AZ355="","",--(AZ355='Codebook'!$F$45))</f>
        <v>0</v>
      </c>
    </row>
    <row r="356" spans="2:96" ht="24" customHeight="1">
      <c r="B356" s="18">
        <v>351</v>
      </c>
      <c r="C356" s="23">
        <v>46294.49514868056</v>
      </c>
      <c r="D356" s="21" t="s">
        <v>275</v>
      </c>
      <c r="E356" s="21" t="s">
        <v>194</v>
      </c>
      <c r="F356" s="21" t="s">
        <v>212</v>
      </c>
      <c r="G356" s="17" t="s">
        <v>196</v>
      </c>
      <c r="H356" s="21" t="s">
        <v>198</v>
      </c>
      <c r="I356" s="18">
        <f>SUM(BL356:BU356)</f>
        <v>5</v>
      </c>
      <c r="J356" s="18">
        <f>IF(COUNT(BV356:CD356)=9,SUM(BV356:CD356),"")</f>
        <v>5</v>
      </c>
      <c r="K356" s="18">
        <f>SUM(BL356:CD356)</f>
        <v>10</v>
      </c>
      <c r="L356" s="18">
        <f>--(K356&gt;='Codebook'!$C$8)</f>
        <v>0</v>
      </c>
      <c r="M356" s="18">
        <f>--(COUNT(BL356:CD356)=19)</f>
        <v>1</v>
      </c>
      <c r="N356" s="18">
        <f>SUM(CE356:CL356)</f>
        <v>1</v>
      </c>
      <c r="O356" s="18">
        <f>SUM(CM356:CR356)</f>
        <v>0</v>
      </c>
      <c r="P356" s="18">
        <f>N356+O356</f>
        <v>1</v>
      </c>
      <c r="Q356" s="21" t="s">
        <v>198</v>
      </c>
      <c r="R356" s="17" t="s">
        <v>154</v>
      </c>
      <c r="S356" s="18">
        <f>--OR(Overview!$B$6="All",E356=Overview!$B$6)*--OR(Overview!$F$6="All",F356=Overview!$F$6)*--OR(Overview!$J$6="All",G356=Overview!$J$6)*--OR(Overview!$N$6="All",H356=Overview!$N$6)</f>
        <v>1</v>
      </c>
      <c r="T356" s="21" t="s">
        <v>22</v>
      </c>
      <c r="U356" s="21" t="s">
        <v>22</v>
      </c>
      <c r="V356" s="21" t="s">
        <v>22</v>
      </c>
      <c r="W356" s="21" t="s">
        <v>22</v>
      </c>
      <c r="X356" s="21" t="s">
        <v>22</v>
      </c>
      <c r="Y356" s="21" t="s">
        <v>22</v>
      </c>
      <c r="Z356" s="21" t="s">
        <v>22</v>
      </c>
      <c r="AA356" s="21" t="s">
        <v>22</v>
      </c>
      <c r="AB356" s="21" t="s">
        <v>22</v>
      </c>
      <c r="AC356" s="21" t="s">
        <v>26</v>
      </c>
      <c r="AD356" s="21" t="s">
        <v>22</v>
      </c>
      <c r="AE356" s="21" t="s">
        <v>22</v>
      </c>
      <c r="AF356" s="21" t="s">
        <v>22</v>
      </c>
      <c r="AG356" s="21" t="s">
        <v>22</v>
      </c>
      <c r="AH356" s="21" t="s">
        <v>22</v>
      </c>
      <c r="AI356" s="21" t="s">
        <v>22</v>
      </c>
      <c r="AJ356" s="21" t="s">
        <v>22</v>
      </c>
      <c r="AK356" s="21" t="s">
        <v>26</v>
      </c>
      <c r="AL356" s="21" t="s">
        <v>26</v>
      </c>
      <c r="AM356" s="21" t="s">
        <v>83</v>
      </c>
      <c r="AN356" s="21" t="s">
        <v>198</v>
      </c>
      <c r="AO356" s="21" t="s">
        <v>198</v>
      </c>
      <c r="AP356" s="21" t="s">
        <v>198</v>
      </c>
      <c r="AQ356" s="21" t="s">
        <v>198</v>
      </c>
      <c r="AR356" s="21" t="s">
        <v>198</v>
      </c>
      <c r="AS356" s="21" t="s">
        <v>198</v>
      </c>
      <c r="AT356" s="21" t="s">
        <v>198</v>
      </c>
      <c r="AU356" s="21" t="s">
        <v>198</v>
      </c>
      <c r="AV356" s="21" t="s">
        <v>198</v>
      </c>
      <c r="AW356" s="21" t="s">
        <v>198</v>
      </c>
      <c r="AX356" s="21" t="s">
        <v>198</v>
      </c>
      <c r="AY356" s="21" t="s">
        <v>198</v>
      </c>
      <c r="AZ356" s="21" t="s">
        <v>198</v>
      </c>
      <c r="BA356" s="17" t="s">
        <v>248</v>
      </c>
      <c r="BB356" s="17" t="s">
        <v>250</v>
      </c>
      <c r="BC356" s="18">
        <f>--ISNUMBER(SEARCH("Radio or television",BA356))</f>
        <v>1</v>
      </c>
      <c r="BD356" s="18">
        <f>--ISNUMBER(SEARCH("Newspapers or print media",BA356))</f>
        <v>0</v>
      </c>
      <c r="BE356" s="18">
        <f>--ISNUMBER(SEARCH("Social media (e.g. Facebook, WhatsApp, YouTube, X/Twitter)",BA356))</f>
        <v>1</v>
      </c>
      <c r="BF356" s="18">
        <f>--ISNUMBER(SEARCH("Family members",BA356))</f>
        <v>0</v>
      </c>
      <c r="BG356" s="18">
        <f>--ISNUMBER(SEARCH("Friends or fellow students",BA356))</f>
        <v>0</v>
      </c>
      <c r="BH356" s="18">
        <f>--ISNUMBER(SEARCH("School coursework or lectures",BA356))</f>
        <v>1</v>
      </c>
      <c r="BI356" s="18">
        <f>--ISNUMBER(SEARCH("NHIMA outreach activities or NHIMA offices",BA356))</f>
        <v>0</v>
      </c>
      <c r="BJ356" s="18">
        <f>--ISNUMBER(SEARCH("Health facility staff",BA356))</f>
        <v>0</v>
      </c>
      <c r="BK356" s="18">
        <f>--ISNUMBER(SEARCH("not received information",BA356))</f>
        <v>0</v>
      </c>
      <c r="BL356" s="18">
        <f>IF(T356="","",--(T356='Codebook'!$F$13))</f>
        <v>1</v>
      </c>
      <c r="BM356" s="18">
        <f>IF(U356="","",--(U356='Codebook'!$F$14))</f>
        <v>0</v>
      </c>
      <c r="BN356" s="18">
        <f>IF(V356="","",--(V356='Codebook'!$F$15))</f>
        <v>0</v>
      </c>
      <c r="BO356" s="18">
        <f>IF(W356="","",--(W356='Codebook'!$F$16))</f>
        <v>1</v>
      </c>
      <c r="BP356" s="18">
        <f>IF(X356="","",--(X356='Codebook'!$F$17))</f>
        <v>1</v>
      </c>
      <c r="BQ356" s="18">
        <f>IF(Y356="","",--(Y356='Codebook'!$F$18))</f>
        <v>0</v>
      </c>
      <c r="BR356" s="18">
        <f>IF(Z356="","",--(Z356='Codebook'!$F$19))</f>
        <v>1</v>
      </c>
      <c r="BS356" s="18">
        <f>IF(AA356="","",--(AA356='Codebook'!$F$20))</f>
        <v>1</v>
      </c>
      <c r="BT356" s="18">
        <f>IF(AB356="","",--(AB356='Codebook'!$F$21))</f>
        <v>0</v>
      </c>
      <c r="BU356" s="18">
        <f>IF(AC356="","",--(AC356='Codebook'!$F$22))</f>
        <v>0</v>
      </c>
      <c r="BV356" s="18">
        <f>IF(AD356="","",--(AD356='Codebook'!$F$23))</f>
        <v>1</v>
      </c>
      <c r="BW356" s="18">
        <f>IF(AE356="","",--(AE356='Codebook'!$F$24))</f>
        <v>1</v>
      </c>
      <c r="BX356" s="18">
        <f>IF(AF356="","",--(AF356='Codebook'!$F$25))</f>
        <v>0</v>
      </c>
      <c r="BY356" s="18">
        <f>IF(AG356="","",--(AG356='Codebook'!$F$26))</f>
        <v>1</v>
      </c>
      <c r="BZ356" s="18">
        <f>IF(AH356="","",--(AH356='Codebook'!$F$27))</f>
        <v>1</v>
      </c>
      <c r="CA356" s="18">
        <f>IF(AI356="","",--(AI356='Codebook'!$F$28))</f>
        <v>0</v>
      </c>
      <c r="CB356" s="18">
        <f>IF(AJ356="","",--(AJ356='Codebook'!$F$29))</f>
        <v>0</v>
      </c>
      <c r="CC356" s="18">
        <f>IF(AK356="","",--(AK356='Codebook'!$F$30))</f>
        <v>0</v>
      </c>
      <c r="CD356" s="18">
        <f>IF(AL356="","",--(AL356='Codebook'!$F$31))</f>
        <v>1</v>
      </c>
      <c r="CE356" s="18">
        <f>IF(AM356="","",--(AM356='Codebook'!$F$32))</f>
        <v>1</v>
      </c>
      <c r="CF356" s="18">
        <f>IF(AN356="","",--(AN356='Codebook'!$F$33))</f>
        <v>0</v>
      </c>
      <c r="CG356" s="18">
        <f>IF(AO356="","",--(AO356='Codebook'!$F$34))</f>
        <v>0</v>
      </c>
      <c r="CH356" s="18">
        <f>IF(AP356="","",--(AP356='Codebook'!$F$35))</f>
        <v>0</v>
      </c>
      <c r="CI356" s="18">
        <f>IF(AQ356="","",--(AQ356='Codebook'!$F$36))</f>
        <v>0</v>
      </c>
      <c r="CJ356" s="18">
        <f>IF(AR356="","",--(AR356='Codebook'!$F$37))</f>
        <v>0</v>
      </c>
      <c r="CK356" s="18">
        <f>IF(AS356="","",--(AS356='Codebook'!$F$38))</f>
        <v>0</v>
      </c>
      <c r="CL356" s="18">
        <f>IF(AT356="","",--(AT356='Codebook'!$F$39))</f>
        <v>0</v>
      </c>
      <c r="CM356" s="18">
        <f>IF(AU356="","",--(AU356='Codebook'!$F$40))</f>
        <v>0</v>
      </c>
      <c r="CN356" s="18">
        <f>IF(AV356="","",--(AV356='Codebook'!$F$41))</f>
        <v>0</v>
      </c>
      <c r="CO356" s="18">
        <f>IF(AW356="","",--(AW356='Codebook'!$F$42))</f>
        <v>0</v>
      </c>
      <c r="CP356" s="18">
        <f>IF(AX356="","",--(AX356='Codebook'!$F$43))</f>
        <v>0</v>
      </c>
      <c r="CQ356" s="18">
        <f>IF(AY356="","",--(AY356='Codebook'!$F$44))</f>
        <v>0</v>
      </c>
      <c r="CR356" s="18">
        <f>IF(AZ356="","",--(AZ356='Codebook'!$F$45))</f>
        <v>0</v>
      </c>
    </row>
    <row r="357" spans="2:96" ht="24" customHeight="1">
      <c r="B357" s="18">
        <v>352</v>
      </c>
      <c r="C357" s="23">
        <v>46294.49589606481</v>
      </c>
      <c r="D357" s="21" t="s">
        <v>268</v>
      </c>
      <c r="E357" s="21" t="s">
        <v>206</v>
      </c>
      <c r="F357" s="21" t="s">
        <v>195</v>
      </c>
      <c r="G357" s="17" t="s">
        <v>247</v>
      </c>
      <c r="H357" s="21" t="s">
        <v>198</v>
      </c>
      <c r="I357" s="18">
        <f>SUM(BL357:BU357)</f>
        <v>6</v>
      </c>
      <c r="J357" s="18">
        <f>IF(COUNT(BV357:CD357)=9,SUM(BV357:CD357),"")</f>
        <v>6</v>
      </c>
      <c r="K357" s="18">
        <f>SUM(BL357:CD357)</f>
        <v>12</v>
      </c>
      <c r="L357" s="18">
        <f>--(K357&gt;='Codebook'!$C$8)</f>
        <v>1</v>
      </c>
      <c r="M357" s="18">
        <f>--(COUNT(BL357:CD357)=19)</f>
        <v>1</v>
      </c>
      <c r="N357" s="18">
        <f>SUM(CE357:CL357)</f>
        <v>2</v>
      </c>
      <c r="O357" s="18">
        <f>SUM(CM357:CR357)</f>
        <v>0</v>
      </c>
      <c r="P357" s="18">
        <f>N357+O357</f>
        <v>2</v>
      </c>
      <c r="Q357" s="21" t="s">
        <v>207</v>
      </c>
      <c r="R357" s="17" t="s">
        <v>154</v>
      </c>
      <c r="S357" s="18">
        <f>--OR(Overview!$B$6="All",E357=Overview!$B$6)*--OR(Overview!$F$6="All",F357=Overview!$F$6)*--OR(Overview!$J$6="All",G357=Overview!$J$6)*--OR(Overview!$N$6="All",H357=Overview!$N$6)</f>
        <v>1</v>
      </c>
      <c r="T357" s="21" t="s">
        <v>22</v>
      </c>
      <c r="U357" s="21" t="s">
        <v>22</v>
      </c>
      <c r="V357" s="21" t="s">
        <v>22</v>
      </c>
      <c r="W357" s="21" t="s">
        <v>22</v>
      </c>
      <c r="X357" s="21" t="s">
        <v>22</v>
      </c>
      <c r="Y357" s="21" t="s">
        <v>22</v>
      </c>
      <c r="Z357" s="21" t="s">
        <v>22</v>
      </c>
      <c r="AA357" s="21" t="s">
        <v>22</v>
      </c>
      <c r="AB357" s="21" t="s">
        <v>22</v>
      </c>
      <c r="AC357" s="21" t="s">
        <v>22</v>
      </c>
      <c r="AD357" s="21" t="s">
        <v>22</v>
      </c>
      <c r="AE357" s="21" t="s">
        <v>22</v>
      </c>
      <c r="AF357" s="21" t="s">
        <v>22</v>
      </c>
      <c r="AG357" s="21" t="s">
        <v>22</v>
      </c>
      <c r="AH357" s="21" t="s">
        <v>22</v>
      </c>
      <c r="AI357" s="21" t="s">
        <v>22</v>
      </c>
      <c r="AJ357" s="21" t="s">
        <v>22</v>
      </c>
      <c r="AK357" s="21" t="s">
        <v>22</v>
      </c>
      <c r="AL357" s="21" t="s">
        <v>26</v>
      </c>
      <c r="AM357" s="21" t="s">
        <v>83</v>
      </c>
      <c r="AN357" s="21" t="s">
        <v>83</v>
      </c>
      <c r="AO357" s="21" t="s">
        <v>198</v>
      </c>
      <c r="AP357" s="21" t="s">
        <v>198</v>
      </c>
      <c r="AQ357" s="21" t="s">
        <v>198</v>
      </c>
      <c r="AR357" s="21" t="s">
        <v>198</v>
      </c>
      <c r="AS357" s="21" t="s">
        <v>198</v>
      </c>
      <c r="AT357" s="21" t="s">
        <v>198</v>
      </c>
      <c r="AU357" s="21" t="s">
        <v>198</v>
      </c>
      <c r="AV357" s="21" t="s">
        <v>198</v>
      </c>
      <c r="AW357" s="21" t="s">
        <v>198</v>
      </c>
      <c r="AX357" s="21" t="s">
        <v>198</v>
      </c>
      <c r="AY357" s="21" t="s">
        <v>198</v>
      </c>
      <c r="AZ357" s="21" t="s">
        <v>198</v>
      </c>
      <c r="BA357" s="17" t="s">
        <v>328</v>
      </c>
      <c r="BB357" s="17" t="s">
        <v>250</v>
      </c>
      <c r="BC357" s="18">
        <f>--ISNUMBER(SEARCH("Radio or television",BA357))</f>
        <v>0</v>
      </c>
      <c r="BD357" s="18">
        <f>--ISNUMBER(SEARCH("Newspapers or print media",BA357))</f>
        <v>1</v>
      </c>
      <c r="BE357" s="18">
        <f>--ISNUMBER(SEARCH("Social media (e.g. Facebook, WhatsApp, YouTube, X/Twitter)",BA357))</f>
        <v>1</v>
      </c>
      <c r="BF357" s="18">
        <f>--ISNUMBER(SEARCH("Family members",BA357))</f>
        <v>1</v>
      </c>
      <c r="BG357" s="18">
        <f>--ISNUMBER(SEARCH("Friends or fellow students",BA357))</f>
        <v>0</v>
      </c>
      <c r="BH357" s="18">
        <f>--ISNUMBER(SEARCH("School coursework or lectures",BA357))</f>
        <v>0</v>
      </c>
      <c r="BI357" s="18">
        <f>--ISNUMBER(SEARCH("NHIMA outreach activities or NHIMA offices",BA357))</f>
        <v>0</v>
      </c>
      <c r="BJ357" s="18">
        <f>--ISNUMBER(SEARCH("Health facility staff",BA357))</f>
        <v>0</v>
      </c>
      <c r="BK357" s="18">
        <f>--ISNUMBER(SEARCH("not received information",BA357))</f>
        <v>0</v>
      </c>
      <c r="BL357" s="18">
        <f>IF(T357="","",--(T357='Codebook'!$F$13))</f>
        <v>1</v>
      </c>
      <c r="BM357" s="18">
        <f>IF(U357="","",--(U357='Codebook'!$F$14))</f>
        <v>0</v>
      </c>
      <c r="BN357" s="18">
        <f>IF(V357="","",--(V357='Codebook'!$F$15))</f>
        <v>0</v>
      </c>
      <c r="BO357" s="18">
        <f>IF(W357="","",--(W357='Codebook'!$F$16))</f>
        <v>1</v>
      </c>
      <c r="BP357" s="18">
        <f>IF(X357="","",--(X357='Codebook'!$F$17))</f>
        <v>1</v>
      </c>
      <c r="BQ357" s="18">
        <f>IF(Y357="","",--(Y357='Codebook'!$F$18))</f>
        <v>0</v>
      </c>
      <c r="BR357" s="18">
        <f>IF(Z357="","",--(Z357='Codebook'!$F$19))</f>
        <v>1</v>
      </c>
      <c r="BS357" s="18">
        <f>IF(AA357="","",--(AA357='Codebook'!$F$20))</f>
        <v>1</v>
      </c>
      <c r="BT357" s="18">
        <f>IF(AB357="","",--(AB357='Codebook'!$F$21))</f>
        <v>0</v>
      </c>
      <c r="BU357" s="18">
        <f>IF(AC357="","",--(AC357='Codebook'!$F$22))</f>
        <v>1</v>
      </c>
      <c r="BV357" s="18">
        <f>IF(AD357="","",--(AD357='Codebook'!$F$23))</f>
        <v>1</v>
      </c>
      <c r="BW357" s="18">
        <f>IF(AE357="","",--(AE357='Codebook'!$F$24))</f>
        <v>1</v>
      </c>
      <c r="BX357" s="18">
        <f>IF(AF357="","",--(AF357='Codebook'!$F$25))</f>
        <v>0</v>
      </c>
      <c r="BY357" s="18">
        <f>IF(AG357="","",--(AG357='Codebook'!$F$26))</f>
        <v>1</v>
      </c>
      <c r="BZ357" s="18">
        <f>IF(AH357="","",--(AH357='Codebook'!$F$27))</f>
        <v>1</v>
      </c>
      <c r="CA357" s="18">
        <f>IF(AI357="","",--(AI357='Codebook'!$F$28))</f>
        <v>0</v>
      </c>
      <c r="CB357" s="18">
        <f>IF(AJ357="","",--(AJ357='Codebook'!$F$29))</f>
        <v>0</v>
      </c>
      <c r="CC357" s="18">
        <f>IF(AK357="","",--(AK357='Codebook'!$F$30))</f>
        <v>1</v>
      </c>
      <c r="CD357" s="18">
        <f>IF(AL357="","",--(AL357='Codebook'!$F$31))</f>
        <v>1</v>
      </c>
      <c r="CE357" s="18">
        <f>IF(AM357="","",--(AM357='Codebook'!$F$32))</f>
        <v>1</v>
      </c>
      <c r="CF357" s="18">
        <f>IF(AN357="","",--(AN357='Codebook'!$F$33))</f>
        <v>1</v>
      </c>
      <c r="CG357" s="18">
        <f>IF(AO357="","",--(AO357='Codebook'!$F$34))</f>
        <v>0</v>
      </c>
      <c r="CH357" s="18">
        <f>IF(AP357="","",--(AP357='Codebook'!$F$35))</f>
        <v>0</v>
      </c>
      <c r="CI357" s="18">
        <f>IF(AQ357="","",--(AQ357='Codebook'!$F$36))</f>
        <v>0</v>
      </c>
      <c r="CJ357" s="18">
        <f>IF(AR357="","",--(AR357='Codebook'!$F$37))</f>
        <v>0</v>
      </c>
      <c r="CK357" s="18">
        <f>IF(AS357="","",--(AS357='Codebook'!$F$38))</f>
        <v>0</v>
      </c>
      <c r="CL357" s="18">
        <f>IF(AT357="","",--(AT357='Codebook'!$F$39))</f>
        <v>0</v>
      </c>
      <c r="CM357" s="18">
        <f>IF(AU357="","",--(AU357='Codebook'!$F$40))</f>
        <v>0</v>
      </c>
      <c r="CN357" s="18">
        <f>IF(AV357="","",--(AV357='Codebook'!$F$41))</f>
        <v>0</v>
      </c>
      <c r="CO357" s="18">
        <f>IF(AW357="","",--(AW357='Codebook'!$F$42))</f>
        <v>0</v>
      </c>
      <c r="CP357" s="18">
        <f>IF(AX357="","",--(AX357='Codebook'!$F$43))</f>
        <v>0</v>
      </c>
      <c r="CQ357" s="18">
        <f>IF(AY357="","",--(AY357='Codebook'!$F$44))</f>
        <v>0</v>
      </c>
      <c r="CR357" s="18">
        <f>IF(AZ357="","",--(AZ357='Codebook'!$F$45))</f>
        <v>0</v>
      </c>
    </row>
    <row r="358" spans="2:96" ht="24" customHeight="1">
      <c r="B358" s="18">
        <v>353</v>
      </c>
      <c r="C358" s="23">
        <v>46294.49644513889</v>
      </c>
      <c r="D358" s="21" t="s">
        <v>270</v>
      </c>
      <c r="E358" s="21" t="s">
        <v>206</v>
      </c>
      <c r="F358" s="21" t="s">
        <v>212</v>
      </c>
      <c r="G358" s="17" t="s">
        <v>215</v>
      </c>
      <c r="H358" s="21" t="s">
        <v>198</v>
      </c>
      <c r="I358" s="18">
        <f>SUM(BL358:BU358)</f>
        <v>6</v>
      </c>
      <c r="J358" s="18">
        <f>IF(COUNT(BV358:CD358)=9,SUM(BV358:CD358),"")</f>
        <v>6</v>
      </c>
      <c r="K358" s="18">
        <f>SUM(BL358:CD358)</f>
        <v>12</v>
      </c>
      <c r="L358" s="18">
        <f>--(K358&gt;='Codebook'!$C$8)</f>
        <v>1</v>
      </c>
      <c r="M358" s="18">
        <f>--(COUNT(BL358:CD358)=19)</f>
        <v>1</v>
      </c>
      <c r="N358" s="18">
        <f>SUM(CE358:CL358)</f>
        <v>1</v>
      </c>
      <c r="O358" s="18">
        <f>SUM(CM358:CR358)</f>
        <v>0</v>
      </c>
      <c r="P358" s="18">
        <f>N358+O358</f>
        <v>1</v>
      </c>
      <c r="Q358" s="21" t="s">
        <v>198</v>
      </c>
      <c r="R358" s="17" t="s">
        <v>154</v>
      </c>
      <c r="S358" s="18">
        <f>--OR(Overview!$B$6="All",E358=Overview!$B$6)*--OR(Overview!$F$6="All",F358=Overview!$F$6)*--OR(Overview!$J$6="All",G358=Overview!$J$6)*--OR(Overview!$N$6="All",H358=Overview!$N$6)</f>
        <v>1</v>
      </c>
      <c r="T358" s="21" t="s">
        <v>22</v>
      </c>
      <c r="U358" s="21" t="s">
        <v>22</v>
      </c>
      <c r="V358" s="21" t="s">
        <v>22</v>
      </c>
      <c r="W358" s="21" t="s">
        <v>22</v>
      </c>
      <c r="X358" s="21" t="s">
        <v>22</v>
      </c>
      <c r="Y358" s="21" t="s">
        <v>22</v>
      </c>
      <c r="Z358" s="21" t="s">
        <v>22</v>
      </c>
      <c r="AA358" s="21" t="s">
        <v>22</v>
      </c>
      <c r="AB358" s="21" t="s">
        <v>22</v>
      </c>
      <c r="AC358" s="21" t="s">
        <v>22</v>
      </c>
      <c r="AD358" s="21" t="s">
        <v>22</v>
      </c>
      <c r="AE358" s="21" t="s">
        <v>22</v>
      </c>
      <c r="AF358" s="21" t="s">
        <v>22</v>
      </c>
      <c r="AG358" s="21" t="s">
        <v>22</v>
      </c>
      <c r="AH358" s="21" t="s">
        <v>22</v>
      </c>
      <c r="AI358" s="21" t="s">
        <v>22</v>
      </c>
      <c r="AJ358" s="21" t="s">
        <v>22</v>
      </c>
      <c r="AK358" s="21" t="s">
        <v>22</v>
      </c>
      <c r="AL358" s="21" t="s">
        <v>26</v>
      </c>
      <c r="AM358" s="21" t="s">
        <v>109</v>
      </c>
      <c r="AN358" s="21" t="s">
        <v>83</v>
      </c>
      <c r="AO358" s="21" t="s">
        <v>198</v>
      </c>
      <c r="AP358" s="21" t="s">
        <v>198</v>
      </c>
      <c r="AQ358" s="21" t="s">
        <v>198</v>
      </c>
      <c r="AR358" s="21" t="s">
        <v>198</v>
      </c>
      <c r="AS358" s="21" t="s">
        <v>198</v>
      </c>
      <c r="AT358" s="21" t="s">
        <v>198</v>
      </c>
      <c r="AU358" s="21" t="s">
        <v>198</v>
      </c>
      <c r="AV358" s="21" t="s">
        <v>198</v>
      </c>
      <c r="AW358" s="21" t="s">
        <v>198</v>
      </c>
      <c r="AX358" s="21" t="s">
        <v>198</v>
      </c>
      <c r="AY358" s="21" t="s">
        <v>198</v>
      </c>
      <c r="AZ358" s="21" t="s">
        <v>198</v>
      </c>
      <c r="BA358" s="17" t="s">
        <v>337</v>
      </c>
      <c r="BB358" s="17" t="s">
        <v>250</v>
      </c>
      <c r="BC358" s="18">
        <f>--ISNUMBER(SEARCH("Radio or television",BA358))</f>
        <v>1</v>
      </c>
      <c r="BD358" s="18">
        <f>--ISNUMBER(SEARCH("Newspapers or print media",BA358))</f>
        <v>1</v>
      </c>
      <c r="BE358" s="18">
        <f>--ISNUMBER(SEARCH("Social media (e.g. Facebook, WhatsApp, YouTube, X/Twitter)",BA358))</f>
        <v>0</v>
      </c>
      <c r="BF358" s="18">
        <f>--ISNUMBER(SEARCH("Family members",BA358))</f>
        <v>1</v>
      </c>
      <c r="BG358" s="18">
        <f>--ISNUMBER(SEARCH("Friends or fellow students",BA358))</f>
        <v>1</v>
      </c>
      <c r="BH358" s="18">
        <f>--ISNUMBER(SEARCH("School coursework or lectures",BA358))</f>
        <v>0</v>
      </c>
      <c r="BI358" s="18">
        <f>--ISNUMBER(SEARCH("NHIMA outreach activities or NHIMA offices",BA358))</f>
        <v>0</v>
      </c>
      <c r="BJ358" s="18">
        <f>--ISNUMBER(SEARCH("Health facility staff",BA358))</f>
        <v>0</v>
      </c>
      <c r="BK358" s="18">
        <f>--ISNUMBER(SEARCH("not received information",BA358))</f>
        <v>0</v>
      </c>
      <c r="BL358" s="18">
        <f>IF(T358="","",--(T358='Codebook'!$F$13))</f>
        <v>1</v>
      </c>
      <c r="BM358" s="18">
        <f>IF(U358="","",--(U358='Codebook'!$F$14))</f>
        <v>0</v>
      </c>
      <c r="BN358" s="18">
        <f>IF(V358="","",--(V358='Codebook'!$F$15))</f>
        <v>0</v>
      </c>
      <c r="BO358" s="18">
        <f>IF(W358="","",--(W358='Codebook'!$F$16))</f>
        <v>1</v>
      </c>
      <c r="BP358" s="18">
        <f>IF(X358="","",--(X358='Codebook'!$F$17))</f>
        <v>1</v>
      </c>
      <c r="BQ358" s="18">
        <f>IF(Y358="","",--(Y358='Codebook'!$F$18))</f>
        <v>0</v>
      </c>
      <c r="BR358" s="18">
        <f>IF(Z358="","",--(Z358='Codebook'!$F$19))</f>
        <v>1</v>
      </c>
      <c r="BS358" s="18">
        <f>IF(AA358="","",--(AA358='Codebook'!$F$20))</f>
        <v>1</v>
      </c>
      <c r="BT358" s="18">
        <f>IF(AB358="","",--(AB358='Codebook'!$F$21))</f>
        <v>0</v>
      </c>
      <c r="BU358" s="18">
        <f>IF(AC358="","",--(AC358='Codebook'!$F$22))</f>
        <v>1</v>
      </c>
      <c r="BV358" s="18">
        <f>IF(AD358="","",--(AD358='Codebook'!$F$23))</f>
        <v>1</v>
      </c>
      <c r="BW358" s="18">
        <f>IF(AE358="","",--(AE358='Codebook'!$F$24))</f>
        <v>1</v>
      </c>
      <c r="BX358" s="18">
        <f>IF(AF358="","",--(AF358='Codebook'!$F$25))</f>
        <v>0</v>
      </c>
      <c r="BY358" s="18">
        <f>IF(AG358="","",--(AG358='Codebook'!$F$26))</f>
        <v>1</v>
      </c>
      <c r="BZ358" s="18">
        <f>IF(AH358="","",--(AH358='Codebook'!$F$27))</f>
        <v>1</v>
      </c>
      <c r="CA358" s="18">
        <f>IF(AI358="","",--(AI358='Codebook'!$F$28))</f>
        <v>0</v>
      </c>
      <c r="CB358" s="18">
        <f>IF(AJ358="","",--(AJ358='Codebook'!$F$29))</f>
        <v>0</v>
      </c>
      <c r="CC358" s="18">
        <f>IF(AK358="","",--(AK358='Codebook'!$F$30))</f>
        <v>1</v>
      </c>
      <c r="CD358" s="18">
        <f>IF(AL358="","",--(AL358='Codebook'!$F$31))</f>
        <v>1</v>
      </c>
      <c r="CE358" s="18">
        <f>IF(AM358="","",--(AM358='Codebook'!$F$32))</f>
        <v>0</v>
      </c>
      <c r="CF358" s="18">
        <f>IF(AN358="","",--(AN358='Codebook'!$F$33))</f>
        <v>1</v>
      </c>
      <c r="CG358" s="18">
        <f>IF(AO358="","",--(AO358='Codebook'!$F$34))</f>
        <v>0</v>
      </c>
      <c r="CH358" s="18">
        <f>IF(AP358="","",--(AP358='Codebook'!$F$35))</f>
        <v>0</v>
      </c>
      <c r="CI358" s="18">
        <f>IF(AQ358="","",--(AQ358='Codebook'!$F$36))</f>
        <v>0</v>
      </c>
      <c r="CJ358" s="18">
        <f>IF(AR358="","",--(AR358='Codebook'!$F$37))</f>
        <v>0</v>
      </c>
      <c r="CK358" s="18">
        <f>IF(AS358="","",--(AS358='Codebook'!$F$38))</f>
        <v>0</v>
      </c>
      <c r="CL358" s="18">
        <f>IF(AT358="","",--(AT358='Codebook'!$F$39))</f>
        <v>0</v>
      </c>
      <c r="CM358" s="18">
        <f>IF(AU358="","",--(AU358='Codebook'!$F$40))</f>
        <v>0</v>
      </c>
      <c r="CN358" s="18">
        <f>IF(AV358="","",--(AV358='Codebook'!$F$41))</f>
        <v>0</v>
      </c>
      <c r="CO358" s="18">
        <f>IF(AW358="","",--(AW358='Codebook'!$F$42))</f>
        <v>0</v>
      </c>
      <c r="CP358" s="18">
        <f>IF(AX358="","",--(AX358='Codebook'!$F$43))</f>
        <v>0</v>
      </c>
      <c r="CQ358" s="18">
        <f>IF(AY358="","",--(AY358='Codebook'!$F$44))</f>
        <v>0</v>
      </c>
      <c r="CR358" s="18">
        <f>IF(AZ358="","",--(AZ358='Codebook'!$F$45))</f>
        <v>0</v>
      </c>
    </row>
    <row r="359" spans="2:96" ht="24" customHeight="1">
      <c r="B359" s="18">
        <v>354</v>
      </c>
      <c r="C359" s="23">
        <v>46294.4970805787</v>
      </c>
      <c r="D359" s="21" t="s">
        <v>275</v>
      </c>
      <c r="E359" s="21" t="s">
        <v>194</v>
      </c>
      <c r="F359" s="21" t="s">
        <v>195</v>
      </c>
      <c r="G359" s="17" t="s">
        <v>202</v>
      </c>
      <c r="H359" s="21" t="s">
        <v>198</v>
      </c>
      <c r="I359" s="18">
        <f>SUM(BL359:BU359)</f>
        <v>6</v>
      </c>
      <c r="J359" s="18">
        <f>IF(COUNT(BV359:CD359)=9,SUM(BV359:CD359),"")</f>
        <v>5</v>
      </c>
      <c r="K359" s="18">
        <f>SUM(BL359:CD359)</f>
        <v>11</v>
      </c>
      <c r="L359" s="18">
        <f>--(K359&gt;='Codebook'!$C$8)</f>
        <v>0</v>
      </c>
      <c r="M359" s="18">
        <f>--(COUNT(BL359:CD359)=19)</f>
        <v>1</v>
      </c>
      <c r="N359" s="18">
        <f>SUM(CE359:CL359)</f>
        <v>8</v>
      </c>
      <c r="O359" s="18">
        <f>SUM(CM359:CR359)</f>
        <v>0</v>
      </c>
      <c r="P359" s="18">
        <f>N359+O359</f>
        <v>8</v>
      </c>
      <c r="Q359" s="21" t="s">
        <v>207</v>
      </c>
      <c r="R359" s="17" t="s">
        <v>154</v>
      </c>
      <c r="S359" s="18">
        <f>--OR(Overview!$B$6="All",E359=Overview!$B$6)*--OR(Overview!$F$6="All",F359=Overview!$F$6)*--OR(Overview!$J$6="All",G359=Overview!$J$6)*--OR(Overview!$N$6="All",H359=Overview!$N$6)</f>
        <v>1</v>
      </c>
      <c r="T359" s="21" t="s">
        <v>22</v>
      </c>
      <c r="U359" s="21" t="s">
        <v>22</v>
      </c>
      <c r="V359" s="21" t="s">
        <v>22</v>
      </c>
      <c r="W359" s="21" t="s">
        <v>22</v>
      </c>
      <c r="X359" s="21" t="s">
        <v>22</v>
      </c>
      <c r="Y359" s="21" t="s">
        <v>22</v>
      </c>
      <c r="Z359" s="21" t="s">
        <v>22</v>
      </c>
      <c r="AA359" s="21" t="s">
        <v>22</v>
      </c>
      <c r="AB359" s="21" t="s">
        <v>22</v>
      </c>
      <c r="AC359" s="21" t="s">
        <v>22</v>
      </c>
      <c r="AD359" s="21" t="s">
        <v>22</v>
      </c>
      <c r="AE359" s="21" t="s">
        <v>22</v>
      </c>
      <c r="AF359" s="21" t="s">
        <v>22</v>
      </c>
      <c r="AG359" s="21" t="s">
        <v>22</v>
      </c>
      <c r="AH359" s="21" t="s">
        <v>22</v>
      </c>
      <c r="AI359" s="21" t="s">
        <v>22</v>
      </c>
      <c r="AJ359" s="21" t="s">
        <v>22</v>
      </c>
      <c r="AK359" s="21" t="s">
        <v>26</v>
      </c>
      <c r="AL359" s="21" t="s">
        <v>26</v>
      </c>
      <c r="AM359" s="21" t="s">
        <v>83</v>
      </c>
      <c r="AN359" s="21" t="s">
        <v>83</v>
      </c>
      <c r="AO359" s="21" t="s">
        <v>83</v>
      </c>
      <c r="AP359" s="21" t="s">
        <v>83</v>
      </c>
      <c r="AQ359" s="21" t="s">
        <v>83</v>
      </c>
      <c r="AR359" s="21" t="s">
        <v>83</v>
      </c>
      <c r="AS359" s="21" t="s">
        <v>83</v>
      </c>
      <c r="AT359" s="21" t="s">
        <v>83</v>
      </c>
      <c r="AU359" s="21" t="s">
        <v>83</v>
      </c>
      <c r="AV359" s="21" t="s">
        <v>83</v>
      </c>
      <c r="AW359" s="21" t="s">
        <v>83</v>
      </c>
      <c r="AX359" s="21" t="s">
        <v>83</v>
      </c>
      <c r="AY359" s="21" t="s">
        <v>83</v>
      </c>
      <c r="AZ359" s="21" t="s">
        <v>83</v>
      </c>
      <c r="BA359" s="17" t="s">
        <v>250</v>
      </c>
      <c r="BB359" s="17" t="s">
        <v>250</v>
      </c>
      <c r="BC359" s="18">
        <f>--ISNUMBER(SEARCH("Radio or television",BA359))</f>
        <v>0</v>
      </c>
      <c r="BD359" s="18">
        <f>--ISNUMBER(SEARCH("Newspapers or print media",BA359))</f>
        <v>0</v>
      </c>
      <c r="BE359" s="18">
        <f>--ISNUMBER(SEARCH("Social media (e.g. Facebook, WhatsApp, YouTube, X/Twitter)",BA359))</f>
        <v>1</v>
      </c>
      <c r="BF359" s="18">
        <f>--ISNUMBER(SEARCH("Family members",BA359))</f>
        <v>0</v>
      </c>
      <c r="BG359" s="18">
        <f>--ISNUMBER(SEARCH("Friends or fellow students",BA359))</f>
        <v>0</v>
      </c>
      <c r="BH359" s="18">
        <f>--ISNUMBER(SEARCH("School coursework or lectures",BA359))</f>
        <v>0</v>
      </c>
      <c r="BI359" s="18">
        <f>--ISNUMBER(SEARCH("NHIMA outreach activities or NHIMA offices",BA359))</f>
        <v>0</v>
      </c>
      <c r="BJ359" s="18">
        <f>--ISNUMBER(SEARCH("Health facility staff",BA359))</f>
        <v>0</v>
      </c>
      <c r="BK359" s="18">
        <f>--ISNUMBER(SEARCH("not received information",BA359))</f>
        <v>0</v>
      </c>
      <c r="BL359" s="18">
        <f>IF(T359="","",--(T359='Codebook'!$F$13))</f>
        <v>1</v>
      </c>
      <c r="BM359" s="18">
        <f>IF(U359="","",--(U359='Codebook'!$F$14))</f>
        <v>0</v>
      </c>
      <c r="BN359" s="18">
        <f>IF(V359="","",--(V359='Codebook'!$F$15))</f>
        <v>0</v>
      </c>
      <c r="BO359" s="18">
        <f>IF(W359="","",--(W359='Codebook'!$F$16))</f>
        <v>1</v>
      </c>
      <c r="BP359" s="18">
        <f>IF(X359="","",--(X359='Codebook'!$F$17))</f>
        <v>1</v>
      </c>
      <c r="BQ359" s="18">
        <f>IF(Y359="","",--(Y359='Codebook'!$F$18))</f>
        <v>0</v>
      </c>
      <c r="BR359" s="18">
        <f>IF(Z359="","",--(Z359='Codebook'!$F$19))</f>
        <v>1</v>
      </c>
      <c r="BS359" s="18">
        <f>IF(AA359="","",--(AA359='Codebook'!$F$20))</f>
        <v>1</v>
      </c>
      <c r="BT359" s="18">
        <f>IF(AB359="","",--(AB359='Codebook'!$F$21))</f>
        <v>0</v>
      </c>
      <c r="BU359" s="18">
        <f>IF(AC359="","",--(AC359='Codebook'!$F$22))</f>
        <v>1</v>
      </c>
      <c r="BV359" s="18">
        <f>IF(AD359="","",--(AD359='Codebook'!$F$23))</f>
        <v>1</v>
      </c>
      <c r="BW359" s="18">
        <f>IF(AE359="","",--(AE359='Codebook'!$F$24))</f>
        <v>1</v>
      </c>
      <c r="BX359" s="18">
        <f>IF(AF359="","",--(AF359='Codebook'!$F$25))</f>
        <v>0</v>
      </c>
      <c r="BY359" s="18">
        <f>IF(AG359="","",--(AG359='Codebook'!$F$26))</f>
        <v>1</v>
      </c>
      <c r="BZ359" s="18">
        <f>IF(AH359="","",--(AH359='Codebook'!$F$27))</f>
        <v>1</v>
      </c>
      <c r="CA359" s="18">
        <f>IF(AI359="","",--(AI359='Codebook'!$F$28))</f>
        <v>0</v>
      </c>
      <c r="CB359" s="18">
        <f>IF(AJ359="","",--(AJ359='Codebook'!$F$29))</f>
        <v>0</v>
      </c>
      <c r="CC359" s="18">
        <f>IF(AK359="","",--(AK359='Codebook'!$F$30))</f>
        <v>0</v>
      </c>
      <c r="CD359" s="18">
        <f>IF(AL359="","",--(AL359='Codebook'!$F$31))</f>
        <v>1</v>
      </c>
      <c r="CE359" s="18">
        <f>IF(AM359="","",--(AM359='Codebook'!$F$32))</f>
        <v>1</v>
      </c>
      <c r="CF359" s="18">
        <f>IF(AN359="","",--(AN359='Codebook'!$F$33))</f>
        <v>1</v>
      </c>
      <c r="CG359" s="18">
        <f>IF(AO359="","",--(AO359='Codebook'!$F$34))</f>
        <v>1</v>
      </c>
      <c r="CH359" s="18">
        <f>IF(AP359="","",--(AP359='Codebook'!$F$35))</f>
        <v>1</v>
      </c>
      <c r="CI359" s="18">
        <f>IF(AQ359="","",--(AQ359='Codebook'!$F$36))</f>
        <v>1</v>
      </c>
      <c r="CJ359" s="18">
        <f>IF(AR359="","",--(AR359='Codebook'!$F$37))</f>
        <v>1</v>
      </c>
      <c r="CK359" s="18">
        <f>IF(AS359="","",--(AS359='Codebook'!$F$38))</f>
        <v>1</v>
      </c>
      <c r="CL359" s="18">
        <f>IF(AT359="","",--(AT359='Codebook'!$F$39))</f>
        <v>1</v>
      </c>
      <c r="CM359" s="18">
        <f>IF(AU359="","",--(AU359='Codebook'!$F$40))</f>
        <v>0</v>
      </c>
      <c r="CN359" s="18">
        <f>IF(AV359="","",--(AV359='Codebook'!$F$41))</f>
        <v>0</v>
      </c>
      <c r="CO359" s="18">
        <f>IF(AW359="","",--(AW359='Codebook'!$F$42))</f>
        <v>0</v>
      </c>
      <c r="CP359" s="18">
        <f>IF(AX359="","",--(AX359='Codebook'!$F$43))</f>
        <v>0</v>
      </c>
      <c r="CQ359" s="18">
        <f>IF(AY359="","",--(AY359='Codebook'!$F$44))</f>
        <v>0</v>
      </c>
      <c r="CR359" s="18">
        <f>IF(AZ359="","",--(AZ359='Codebook'!$F$45))</f>
        <v>0</v>
      </c>
    </row>
    <row r="360" spans="2:96" ht="24" customHeight="1">
      <c r="B360" s="18">
        <v>355</v>
      </c>
      <c r="C360" s="23">
        <v>46294.49763626157</v>
      </c>
      <c r="D360" s="21" t="s">
        <v>275</v>
      </c>
      <c r="E360" s="21" t="s">
        <v>206</v>
      </c>
      <c r="F360" s="21" t="s">
        <v>195</v>
      </c>
      <c r="G360" s="17" t="s">
        <v>202</v>
      </c>
      <c r="H360" s="21" t="s">
        <v>207</v>
      </c>
      <c r="I360" s="18">
        <f>SUM(BL360:BU360)</f>
        <v>6</v>
      </c>
      <c r="J360" s="18">
        <f>IF(COUNT(BV360:CD360)=9,SUM(BV360:CD360),"")</f>
        <v>6</v>
      </c>
      <c r="K360" s="18">
        <f>SUM(BL360:CD360)</f>
        <v>12</v>
      </c>
      <c r="L360" s="18">
        <f>--(K360&gt;='Codebook'!$C$8)</f>
        <v>1</v>
      </c>
      <c r="M360" s="18">
        <f>--(COUNT(BL360:CD360)=19)</f>
        <v>1</v>
      </c>
      <c r="N360" s="18">
        <f>SUM(CE360:CL360)</f>
        <v>2</v>
      </c>
      <c r="O360" s="18">
        <f>SUM(CM360:CR360)</f>
        <v>0</v>
      </c>
      <c r="P360" s="18">
        <f>N360+O360</f>
        <v>2</v>
      </c>
      <c r="Q360" s="21" t="s">
        <v>198</v>
      </c>
      <c r="R360" s="17" t="s">
        <v>154</v>
      </c>
      <c r="S360" s="18">
        <f>--OR(Overview!$B$6="All",E360=Overview!$B$6)*--OR(Overview!$F$6="All",F360=Overview!$F$6)*--OR(Overview!$J$6="All",G360=Overview!$J$6)*--OR(Overview!$N$6="All",H360=Overview!$N$6)</f>
        <v>1</v>
      </c>
      <c r="T360" s="21" t="s">
        <v>26</v>
      </c>
      <c r="U360" s="21" t="s">
        <v>22</v>
      </c>
      <c r="V360" s="21" t="s">
        <v>26</v>
      </c>
      <c r="W360" s="21" t="s">
        <v>22</v>
      </c>
      <c r="X360" s="21" t="s">
        <v>22</v>
      </c>
      <c r="Y360" s="21" t="s">
        <v>22</v>
      </c>
      <c r="Z360" s="21" t="s">
        <v>22</v>
      </c>
      <c r="AA360" s="21" t="s">
        <v>22</v>
      </c>
      <c r="AB360" s="21" t="s">
        <v>22</v>
      </c>
      <c r="AC360" s="21" t="s">
        <v>22</v>
      </c>
      <c r="AD360" s="21" t="s">
        <v>22</v>
      </c>
      <c r="AE360" s="21" t="s">
        <v>22</v>
      </c>
      <c r="AF360" s="21" t="s">
        <v>22</v>
      </c>
      <c r="AG360" s="21" t="s">
        <v>22</v>
      </c>
      <c r="AH360" s="21" t="s">
        <v>22</v>
      </c>
      <c r="AI360" s="21" t="s">
        <v>22</v>
      </c>
      <c r="AJ360" s="21" t="s">
        <v>22</v>
      </c>
      <c r="AK360" s="21" t="s">
        <v>22</v>
      </c>
      <c r="AL360" s="21" t="s">
        <v>26</v>
      </c>
      <c r="AM360" s="21" t="s">
        <v>83</v>
      </c>
      <c r="AN360" s="21" t="s">
        <v>198</v>
      </c>
      <c r="AO360" s="21" t="s">
        <v>83</v>
      </c>
      <c r="AP360" s="21" t="s">
        <v>198</v>
      </c>
      <c r="AQ360" s="21" t="s">
        <v>198</v>
      </c>
      <c r="AR360" s="21" t="s">
        <v>198</v>
      </c>
      <c r="AS360" s="21" t="s">
        <v>198</v>
      </c>
      <c r="AT360" s="21" t="s">
        <v>198</v>
      </c>
      <c r="AU360" s="21" t="s">
        <v>198</v>
      </c>
      <c r="AV360" s="21" t="s">
        <v>198</v>
      </c>
      <c r="AW360" s="21" t="s">
        <v>198</v>
      </c>
      <c r="AX360" s="21" t="s">
        <v>198</v>
      </c>
      <c r="AY360" s="21" t="s">
        <v>198</v>
      </c>
      <c r="AZ360" s="21" t="s">
        <v>198</v>
      </c>
      <c r="BA360" s="17" t="s">
        <v>246</v>
      </c>
      <c r="BB360" s="17" t="s">
        <v>250</v>
      </c>
      <c r="BC360" s="18">
        <f>--ISNUMBER(SEARCH("Radio or television",BA360))</f>
        <v>1</v>
      </c>
      <c r="BD360" s="18">
        <f>--ISNUMBER(SEARCH("Newspapers or print media",BA360))</f>
        <v>0</v>
      </c>
      <c r="BE360" s="18">
        <f>--ISNUMBER(SEARCH("Social media (e.g. Facebook, WhatsApp, YouTube, X/Twitter)",BA360))</f>
        <v>1</v>
      </c>
      <c r="BF360" s="18">
        <f>--ISNUMBER(SEARCH("Family members",BA360))</f>
        <v>0</v>
      </c>
      <c r="BG360" s="18">
        <f>--ISNUMBER(SEARCH("Friends or fellow students",BA360))</f>
        <v>0</v>
      </c>
      <c r="BH360" s="18">
        <f>--ISNUMBER(SEARCH("School coursework or lectures",BA360))</f>
        <v>0</v>
      </c>
      <c r="BI360" s="18">
        <f>--ISNUMBER(SEARCH("NHIMA outreach activities or NHIMA offices",BA360))</f>
        <v>0</v>
      </c>
      <c r="BJ360" s="18">
        <f>--ISNUMBER(SEARCH("Health facility staff",BA360))</f>
        <v>0</v>
      </c>
      <c r="BK360" s="18">
        <f>--ISNUMBER(SEARCH("not received information",BA360))</f>
        <v>0</v>
      </c>
      <c r="BL360" s="18">
        <f>IF(T360="","",--(T360='Codebook'!$F$13))</f>
        <v>0</v>
      </c>
      <c r="BM360" s="18">
        <f>IF(U360="","",--(U360='Codebook'!$F$14))</f>
        <v>0</v>
      </c>
      <c r="BN360" s="18">
        <f>IF(V360="","",--(V360='Codebook'!$F$15))</f>
        <v>1</v>
      </c>
      <c r="BO360" s="18">
        <f>IF(W360="","",--(W360='Codebook'!$F$16))</f>
        <v>1</v>
      </c>
      <c r="BP360" s="18">
        <f>IF(X360="","",--(X360='Codebook'!$F$17))</f>
        <v>1</v>
      </c>
      <c r="BQ360" s="18">
        <f>IF(Y360="","",--(Y360='Codebook'!$F$18))</f>
        <v>0</v>
      </c>
      <c r="BR360" s="18">
        <f>IF(Z360="","",--(Z360='Codebook'!$F$19))</f>
        <v>1</v>
      </c>
      <c r="BS360" s="18">
        <f>IF(AA360="","",--(AA360='Codebook'!$F$20))</f>
        <v>1</v>
      </c>
      <c r="BT360" s="18">
        <f>IF(AB360="","",--(AB360='Codebook'!$F$21))</f>
        <v>0</v>
      </c>
      <c r="BU360" s="18">
        <f>IF(AC360="","",--(AC360='Codebook'!$F$22))</f>
        <v>1</v>
      </c>
      <c r="BV360" s="18">
        <f>IF(AD360="","",--(AD360='Codebook'!$F$23))</f>
        <v>1</v>
      </c>
      <c r="BW360" s="18">
        <f>IF(AE360="","",--(AE360='Codebook'!$F$24))</f>
        <v>1</v>
      </c>
      <c r="BX360" s="18">
        <f>IF(AF360="","",--(AF360='Codebook'!$F$25))</f>
        <v>0</v>
      </c>
      <c r="BY360" s="18">
        <f>IF(AG360="","",--(AG360='Codebook'!$F$26))</f>
        <v>1</v>
      </c>
      <c r="BZ360" s="18">
        <f>IF(AH360="","",--(AH360='Codebook'!$F$27))</f>
        <v>1</v>
      </c>
      <c r="CA360" s="18">
        <f>IF(AI360="","",--(AI360='Codebook'!$F$28))</f>
        <v>0</v>
      </c>
      <c r="CB360" s="18">
        <f>IF(AJ360="","",--(AJ360='Codebook'!$F$29))</f>
        <v>0</v>
      </c>
      <c r="CC360" s="18">
        <f>IF(AK360="","",--(AK360='Codebook'!$F$30))</f>
        <v>1</v>
      </c>
      <c r="CD360" s="18">
        <f>IF(AL360="","",--(AL360='Codebook'!$F$31))</f>
        <v>1</v>
      </c>
      <c r="CE360" s="18">
        <f>IF(AM360="","",--(AM360='Codebook'!$F$32))</f>
        <v>1</v>
      </c>
      <c r="CF360" s="18">
        <f>IF(AN360="","",--(AN360='Codebook'!$F$33))</f>
        <v>0</v>
      </c>
      <c r="CG360" s="18">
        <f>IF(AO360="","",--(AO360='Codebook'!$F$34))</f>
        <v>1</v>
      </c>
      <c r="CH360" s="18">
        <f>IF(AP360="","",--(AP360='Codebook'!$F$35))</f>
        <v>0</v>
      </c>
      <c r="CI360" s="18">
        <f>IF(AQ360="","",--(AQ360='Codebook'!$F$36))</f>
        <v>0</v>
      </c>
      <c r="CJ360" s="18">
        <f>IF(AR360="","",--(AR360='Codebook'!$F$37))</f>
        <v>0</v>
      </c>
      <c r="CK360" s="18">
        <f>IF(AS360="","",--(AS360='Codebook'!$F$38))</f>
        <v>0</v>
      </c>
      <c r="CL360" s="18">
        <f>IF(AT360="","",--(AT360='Codebook'!$F$39))</f>
        <v>0</v>
      </c>
      <c r="CM360" s="18">
        <f>IF(AU360="","",--(AU360='Codebook'!$F$40))</f>
        <v>0</v>
      </c>
      <c r="CN360" s="18">
        <f>IF(AV360="","",--(AV360='Codebook'!$F$41))</f>
        <v>0</v>
      </c>
      <c r="CO360" s="18">
        <f>IF(AW360="","",--(AW360='Codebook'!$F$42))</f>
        <v>0</v>
      </c>
      <c r="CP360" s="18">
        <f>IF(AX360="","",--(AX360='Codebook'!$F$43))</f>
        <v>0</v>
      </c>
      <c r="CQ360" s="18">
        <f>IF(AY360="","",--(AY360='Codebook'!$F$44))</f>
        <v>0</v>
      </c>
      <c r="CR360" s="18">
        <f>IF(AZ360="","",--(AZ360='Codebook'!$F$45))</f>
        <v>0</v>
      </c>
    </row>
    <row r="361" spans="2:96" ht="24" customHeight="1">
      <c r="B361" s="18">
        <v>356</v>
      </c>
      <c r="C361" s="23">
        <v>46294.49824420139</v>
      </c>
      <c r="D361" s="21" t="s">
        <v>268</v>
      </c>
      <c r="E361" s="21" t="s">
        <v>194</v>
      </c>
      <c r="F361" s="21" t="s">
        <v>201</v>
      </c>
      <c r="G361" s="17" t="s">
        <v>224</v>
      </c>
      <c r="H361" s="21" t="s">
        <v>197</v>
      </c>
      <c r="I361" s="18">
        <f>SUM(BL361:BU361)</f>
        <v>6</v>
      </c>
      <c r="J361" s="18">
        <f>IF(COUNT(BV361:CD361)=9,SUM(BV361:CD361),"")</f>
        <v>4</v>
      </c>
      <c r="K361" s="18">
        <f>SUM(BL361:CD361)</f>
        <v>10</v>
      </c>
      <c r="L361" s="18">
        <f>--(K361&gt;='Codebook'!$C$8)</f>
        <v>0</v>
      </c>
      <c r="M361" s="18">
        <f>--(COUNT(BL361:CD361)=19)</f>
        <v>1</v>
      </c>
      <c r="N361" s="18">
        <f>SUM(CE361:CL361)</f>
        <v>1</v>
      </c>
      <c r="O361" s="18">
        <f>SUM(CM361:CR361)</f>
        <v>0</v>
      </c>
      <c r="P361" s="18">
        <f>N361+O361</f>
        <v>1</v>
      </c>
      <c r="Q361" s="21" t="s">
        <v>197</v>
      </c>
      <c r="R361" s="17" t="s">
        <v>154</v>
      </c>
      <c r="S361" s="18">
        <f>--OR(Overview!$B$6="All",E361=Overview!$B$6)*--OR(Overview!$F$6="All",F361=Overview!$F$6)*--OR(Overview!$J$6="All",G361=Overview!$J$6)*--OR(Overview!$N$6="All",H361=Overview!$N$6)</f>
        <v>1</v>
      </c>
      <c r="T361" s="21" t="s">
        <v>22</v>
      </c>
      <c r="U361" s="21" t="s">
        <v>22</v>
      </c>
      <c r="V361" s="21" t="s">
        <v>22</v>
      </c>
      <c r="W361" s="21" t="s">
        <v>22</v>
      </c>
      <c r="X361" s="21" t="s">
        <v>22</v>
      </c>
      <c r="Y361" s="21" t="s">
        <v>198</v>
      </c>
      <c r="Z361" s="21" t="s">
        <v>22</v>
      </c>
      <c r="AA361" s="21" t="s">
        <v>22</v>
      </c>
      <c r="AB361" s="21" t="s">
        <v>22</v>
      </c>
      <c r="AC361" s="21" t="s">
        <v>22</v>
      </c>
      <c r="AD361" s="21" t="s">
        <v>22</v>
      </c>
      <c r="AE361" s="21" t="s">
        <v>198</v>
      </c>
      <c r="AF361" s="21" t="s">
        <v>198</v>
      </c>
      <c r="AG361" s="21" t="s">
        <v>22</v>
      </c>
      <c r="AH361" s="21" t="s">
        <v>22</v>
      </c>
      <c r="AI361" s="21" t="s">
        <v>22</v>
      </c>
      <c r="AJ361" s="21" t="s">
        <v>22</v>
      </c>
      <c r="AK361" s="21" t="s">
        <v>26</v>
      </c>
      <c r="AL361" s="21" t="s">
        <v>26</v>
      </c>
      <c r="AM361" s="21" t="s">
        <v>198</v>
      </c>
      <c r="AN361" s="21" t="s">
        <v>83</v>
      </c>
      <c r="AO361" s="21" t="s">
        <v>109</v>
      </c>
      <c r="AP361" s="21" t="s">
        <v>198</v>
      </c>
      <c r="AQ361" s="21" t="s">
        <v>198</v>
      </c>
      <c r="AR361" s="21" t="s">
        <v>198</v>
      </c>
      <c r="AS361" s="21" t="s">
        <v>198</v>
      </c>
      <c r="AT361" s="21" t="s">
        <v>198</v>
      </c>
      <c r="AU361" s="21" t="s">
        <v>198</v>
      </c>
      <c r="AV361" s="21" t="s">
        <v>198</v>
      </c>
      <c r="AW361" s="21" t="s">
        <v>198</v>
      </c>
      <c r="AX361" s="21" t="s">
        <v>198</v>
      </c>
      <c r="AY361" s="21" t="s">
        <v>198</v>
      </c>
      <c r="AZ361" s="21" t="s">
        <v>198</v>
      </c>
      <c r="BA361" s="17" t="s">
        <v>246</v>
      </c>
      <c r="BB361" s="17" t="s">
        <v>250</v>
      </c>
      <c r="BC361" s="18">
        <f>--ISNUMBER(SEARCH("Radio or television",BA361))</f>
        <v>1</v>
      </c>
      <c r="BD361" s="18">
        <f>--ISNUMBER(SEARCH("Newspapers or print media",BA361))</f>
        <v>0</v>
      </c>
      <c r="BE361" s="18">
        <f>--ISNUMBER(SEARCH("Social media (e.g. Facebook, WhatsApp, YouTube, X/Twitter)",BA361))</f>
        <v>1</v>
      </c>
      <c r="BF361" s="18">
        <f>--ISNUMBER(SEARCH("Family members",BA361))</f>
        <v>0</v>
      </c>
      <c r="BG361" s="18">
        <f>--ISNUMBER(SEARCH("Friends or fellow students",BA361))</f>
        <v>0</v>
      </c>
      <c r="BH361" s="18">
        <f>--ISNUMBER(SEARCH("School coursework or lectures",BA361))</f>
        <v>0</v>
      </c>
      <c r="BI361" s="18">
        <f>--ISNUMBER(SEARCH("NHIMA outreach activities or NHIMA offices",BA361))</f>
        <v>0</v>
      </c>
      <c r="BJ361" s="18">
        <f>--ISNUMBER(SEARCH("Health facility staff",BA361))</f>
        <v>0</v>
      </c>
      <c r="BK361" s="18">
        <f>--ISNUMBER(SEARCH("not received information",BA361))</f>
        <v>0</v>
      </c>
      <c r="BL361" s="18">
        <f>IF(T361="","",--(T361='Codebook'!$F$13))</f>
        <v>1</v>
      </c>
      <c r="BM361" s="18">
        <f>IF(U361="","",--(U361='Codebook'!$F$14))</f>
        <v>0</v>
      </c>
      <c r="BN361" s="18">
        <f>IF(V361="","",--(V361='Codebook'!$F$15))</f>
        <v>0</v>
      </c>
      <c r="BO361" s="18">
        <f>IF(W361="","",--(W361='Codebook'!$F$16))</f>
        <v>1</v>
      </c>
      <c r="BP361" s="18">
        <f>IF(X361="","",--(X361='Codebook'!$F$17))</f>
        <v>1</v>
      </c>
      <c r="BQ361" s="18">
        <f>IF(Y361="","",--(Y361='Codebook'!$F$18))</f>
        <v>0</v>
      </c>
      <c r="BR361" s="18">
        <f>IF(Z361="","",--(Z361='Codebook'!$F$19))</f>
        <v>1</v>
      </c>
      <c r="BS361" s="18">
        <f>IF(AA361="","",--(AA361='Codebook'!$F$20))</f>
        <v>1</v>
      </c>
      <c r="BT361" s="18">
        <f>IF(AB361="","",--(AB361='Codebook'!$F$21))</f>
        <v>0</v>
      </c>
      <c r="BU361" s="18">
        <f>IF(AC361="","",--(AC361='Codebook'!$F$22))</f>
        <v>1</v>
      </c>
      <c r="BV361" s="18">
        <f>IF(AD361="","",--(AD361='Codebook'!$F$23))</f>
        <v>1</v>
      </c>
      <c r="BW361" s="18">
        <f>IF(AE361="","",--(AE361='Codebook'!$F$24))</f>
        <v>0</v>
      </c>
      <c r="BX361" s="18">
        <f>IF(AF361="","",--(AF361='Codebook'!$F$25))</f>
        <v>0</v>
      </c>
      <c r="BY361" s="18">
        <f>IF(AG361="","",--(AG361='Codebook'!$F$26))</f>
        <v>1</v>
      </c>
      <c r="BZ361" s="18">
        <f>IF(AH361="","",--(AH361='Codebook'!$F$27))</f>
        <v>1</v>
      </c>
      <c r="CA361" s="18">
        <f>IF(AI361="","",--(AI361='Codebook'!$F$28))</f>
        <v>0</v>
      </c>
      <c r="CB361" s="18">
        <f>IF(AJ361="","",--(AJ361='Codebook'!$F$29))</f>
        <v>0</v>
      </c>
      <c r="CC361" s="18">
        <f>IF(AK361="","",--(AK361='Codebook'!$F$30))</f>
        <v>0</v>
      </c>
      <c r="CD361" s="18">
        <f>IF(AL361="","",--(AL361='Codebook'!$F$31))</f>
        <v>1</v>
      </c>
      <c r="CE361" s="18">
        <f>IF(AM361="","",--(AM361='Codebook'!$F$32))</f>
        <v>0</v>
      </c>
      <c r="CF361" s="18">
        <f>IF(AN361="","",--(AN361='Codebook'!$F$33))</f>
        <v>1</v>
      </c>
      <c r="CG361" s="18">
        <f>IF(AO361="","",--(AO361='Codebook'!$F$34))</f>
        <v>0</v>
      </c>
      <c r="CH361" s="18">
        <f>IF(AP361="","",--(AP361='Codebook'!$F$35))</f>
        <v>0</v>
      </c>
      <c r="CI361" s="18">
        <f>IF(AQ361="","",--(AQ361='Codebook'!$F$36))</f>
        <v>0</v>
      </c>
      <c r="CJ361" s="18">
        <f>IF(AR361="","",--(AR361='Codebook'!$F$37))</f>
        <v>0</v>
      </c>
      <c r="CK361" s="18">
        <f>IF(AS361="","",--(AS361='Codebook'!$F$38))</f>
        <v>0</v>
      </c>
      <c r="CL361" s="18">
        <f>IF(AT361="","",--(AT361='Codebook'!$F$39))</f>
        <v>0</v>
      </c>
      <c r="CM361" s="18">
        <f>IF(AU361="","",--(AU361='Codebook'!$F$40))</f>
        <v>0</v>
      </c>
      <c r="CN361" s="18">
        <f>IF(AV361="","",--(AV361='Codebook'!$F$41))</f>
        <v>0</v>
      </c>
      <c r="CO361" s="18">
        <f>IF(AW361="","",--(AW361='Codebook'!$F$42))</f>
        <v>0</v>
      </c>
      <c r="CP361" s="18">
        <f>IF(AX361="","",--(AX361='Codebook'!$F$43))</f>
        <v>0</v>
      </c>
      <c r="CQ361" s="18">
        <f>IF(AY361="","",--(AY361='Codebook'!$F$44))</f>
        <v>0</v>
      </c>
      <c r="CR361" s="18">
        <f>IF(AZ361="","",--(AZ361='Codebook'!$F$45))</f>
        <v>0</v>
      </c>
    </row>
    <row r="362" spans="2:96" ht="24" customHeight="1">
      <c r="B362" s="18">
        <v>357</v>
      </c>
      <c r="C362" s="23">
        <v>46294.49886175926</v>
      </c>
      <c r="D362" s="21" t="s">
        <v>268</v>
      </c>
      <c r="E362" s="21" t="s">
        <v>206</v>
      </c>
      <c r="F362" s="21" t="s">
        <v>201</v>
      </c>
      <c r="G362" s="17" t="s">
        <v>202</v>
      </c>
      <c r="H362" s="21" t="s">
        <v>197</v>
      </c>
      <c r="I362" s="18">
        <f>SUM(BL362:BU362)</f>
        <v>5</v>
      </c>
      <c r="J362" s="18">
        <f>IF(COUNT(BV362:CD362)=9,SUM(BV362:CD362),"")</f>
        <v>5</v>
      </c>
      <c r="K362" s="18">
        <f>SUM(BL362:CD362)</f>
        <v>10</v>
      </c>
      <c r="L362" s="18">
        <f>--(K362&gt;='Codebook'!$C$8)</f>
        <v>0</v>
      </c>
      <c r="M362" s="18">
        <f>--(COUNT(BL362:CD362)=19)</f>
        <v>1</v>
      </c>
      <c r="N362" s="18">
        <f>SUM(CE362:CL362)</f>
        <v>2</v>
      </c>
      <c r="O362" s="18">
        <f>SUM(CM362:CR362)</f>
        <v>0</v>
      </c>
      <c r="P362" s="18">
        <f>N362+O362</f>
        <v>2</v>
      </c>
      <c r="Q362" s="21" t="s">
        <v>198</v>
      </c>
      <c r="R362" s="17" t="s">
        <v>152</v>
      </c>
      <c r="S362" s="18">
        <f>--OR(Overview!$B$6="All",E362=Overview!$B$6)*--OR(Overview!$F$6="All",F362=Overview!$F$6)*--OR(Overview!$J$6="All",G362=Overview!$J$6)*--OR(Overview!$N$6="All",H362=Overview!$N$6)</f>
        <v>1</v>
      </c>
      <c r="T362" s="21" t="s">
        <v>22</v>
      </c>
      <c r="U362" s="21" t="s">
        <v>22</v>
      </c>
      <c r="V362" s="21" t="s">
        <v>22</v>
      </c>
      <c r="W362" s="21" t="s">
        <v>22</v>
      </c>
      <c r="X362" s="21" t="s">
        <v>26</v>
      </c>
      <c r="Y362" s="21" t="s">
        <v>22</v>
      </c>
      <c r="Z362" s="21" t="s">
        <v>22</v>
      </c>
      <c r="AA362" s="21" t="s">
        <v>22</v>
      </c>
      <c r="AB362" s="21" t="s">
        <v>22</v>
      </c>
      <c r="AC362" s="21" t="s">
        <v>22</v>
      </c>
      <c r="AD362" s="21" t="s">
        <v>22</v>
      </c>
      <c r="AE362" s="21" t="s">
        <v>22</v>
      </c>
      <c r="AF362" s="21" t="s">
        <v>22</v>
      </c>
      <c r="AG362" s="21" t="s">
        <v>198</v>
      </c>
      <c r="AH362" s="21" t="s">
        <v>22</v>
      </c>
      <c r="AI362" s="21" t="s">
        <v>22</v>
      </c>
      <c r="AJ362" s="21" t="s">
        <v>22</v>
      </c>
      <c r="AK362" s="21" t="s">
        <v>22</v>
      </c>
      <c r="AL362" s="21" t="s">
        <v>26</v>
      </c>
      <c r="AM362" s="21" t="s">
        <v>83</v>
      </c>
      <c r="AN362" s="21" t="s">
        <v>83</v>
      </c>
      <c r="AO362" s="21" t="s">
        <v>198</v>
      </c>
      <c r="AP362" s="21" t="s">
        <v>198</v>
      </c>
      <c r="AQ362" s="21" t="s">
        <v>198</v>
      </c>
      <c r="AR362" s="21" t="s">
        <v>198</v>
      </c>
      <c r="AS362" s="21" t="s">
        <v>198</v>
      </c>
      <c r="AT362" s="21" t="s">
        <v>198</v>
      </c>
      <c r="AU362" s="21" t="s">
        <v>198</v>
      </c>
      <c r="AV362" s="21" t="s">
        <v>198</v>
      </c>
      <c r="AW362" s="21" t="s">
        <v>198</v>
      </c>
      <c r="AX362" s="21" t="s">
        <v>198</v>
      </c>
      <c r="AY362" s="21" t="s">
        <v>198</v>
      </c>
      <c r="AZ362" s="21" t="s">
        <v>198</v>
      </c>
      <c r="BA362" s="17" t="s">
        <v>223</v>
      </c>
      <c r="BB362" s="17" t="s">
        <v>223</v>
      </c>
      <c r="BC362" s="18">
        <f>--ISNUMBER(SEARCH("Radio or television",BA362))</f>
        <v>1</v>
      </c>
      <c r="BD362" s="18">
        <f>--ISNUMBER(SEARCH("Newspapers or print media",BA362))</f>
        <v>0</v>
      </c>
      <c r="BE362" s="18">
        <f>--ISNUMBER(SEARCH("Social media (e.g. Facebook, WhatsApp, YouTube, X/Twitter)",BA362))</f>
        <v>0</v>
      </c>
      <c r="BF362" s="18">
        <f>--ISNUMBER(SEARCH("Family members",BA362))</f>
        <v>0</v>
      </c>
      <c r="BG362" s="18">
        <f>--ISNUMBER(SEARCH("Friends or fellow students",BA362))</f>
        <v>0</v>
      </c>
      <c r="BH362" s="18">
        <f>--ISNUMBER(SEARCH("School coursework or lectures",BA362))</f>
        <v>0</v>
      </c>
      <c r="BI362" s="18">
        <f>--ISNUMBER(SEARCH("NHIMA outreach activities or NHIMA offices",BA362))</f>
        <v>0</v>
      </c>
      <c r="BJ362" s="18">
        <f>--ISNUMBER(SEARCH("Health facility staff",BA362))</f>
        <v>0</v>
      </c>
      <c r="BK362" s="18">
        <f>--ISNUMBER(SEARCH("not received information",BA362))</f>
        <v>0</v>
      </c>
      <c r="BL362" s="18">
        <f>IF(T362="","",--(T362='Codebook'!$F$13))</f>
        <v>1</v>
      </c>
      <c r="BM362" s="18">
        <f>IF(U362="","",--(U362='Codebook'!$F$14))</f>
        <v>0</v>
      </c>
      <c r="BN362" s="18">
        <f>IF(V362="","",--(V362='Codebook'!$F$15))</f>
        <v>0</v>
      </c>
      <c r="BO362" s="18">
        <f>IF(W362="","",--(W362='Codebook'!$F$16))</f>
        <v>1</v>
      </c>
      <c r="BP362" s="18">
        <f>IF(X362="","",--(X362='Codebook'!$F$17))</f>
        <v>0</v>
      </c>
      <c r="BQ362" s="18">
        <f>IF(Y362="","",--(Y362='Codebook'!$F$18))</f>
        <v>0</v>
      </c>
      <c r="BR362" s="18">
        <f>IF(Z362="","",--(Z362='Codebook'!$F$19))</f>
        <v>1</v>
      </c>
      <c r="BS362" s="18">
        <f>IF(AA362="","",--(AA362='Codebook'!$F$20))</f>
        <v>1</v>
      </c>
      <c r="BT362" s="18">
        <f>IF(AB362="","",--(AB362='Codebook'!$F$21))</f>
        <v>0</v>
      </c>
      <c r="BU362" s="18">
        <f>IF(AC362="","",--(AC362='Codebook'!$F$22))</f>
        <v>1</v>
      </c>
      <c r="BV362" s="18">
        <f>IF(AD362="","",--(AD362='Codebook'!$F$23))</f>
        <v>1</v>
      </c>
      <c r="BW362" s="18">
        <f>IF(AE362="","",--(AE362='Codebook'!$F$24))</f>
        <v>1</v>
      </c>
      <c r="BX362" s="18">
        <f>IF(AF362="","",--(AF362='Codebook'!$F$25))</f>
        <v>0</v>
      </c>
      <c r="BY362" s="18">
        <f>IF(AG362="","",--(AG362='Codebook'!$F$26))</f>
        <v>0</v>
      </c>
      <c r="BZ362" s="18">
        <f>IF(AH362="","",--(AH362='Codebook'!$F$27))</f>
        <v>1</v>
      </c>
      <c r="CA362" s="18">
        <f>IF(AI362="","",--(AI362='Codebook'!$F$28))</f>
        <v>0</v>
      </c>
      <c r="CB362" s="18">
        <f>IF(AJ362="","",--(AJ362='Codebook'!$F$29))</f>
        <v>0</v>
      </c>
      <c r="CC362" s="18">
        <f>IF(AK362="","",--(AK362='Codebook'!$F$30))</f>
        <v>1</v>
      </c>
      <c r="CD362" s="18">
        <f>IF(AL362="","",--(AL362='Codebook'!$F$31))</f>
        <v>1</v>
      </c>
      <c r="CE362" s="18">
        <f>IF(AM362="","",--(AM362='Codebook'!$F$32))</f>
        <v>1</v>
      </c>
      <c r="CF362" s="18">
        <f>IF(AN362="","",--(AN362='Codebook'!$F$33))</f>
        <v>1</v>
      </c>
      <c r="CG362" s="18">
        <f>IF(AO362="","",--(AO362='Codebook'!$F$34))</f>
        <v>0</v>
      </c>
      <c r="CH362" s="18">
        <f>IF(AP362="","",--(AP362='Codebook'!$F$35))</f>
        <v>0</v>
      </c>
      <c r="CI362" s="18">
        <f>IF(AQ362="","",--(AQ362='Codebook'!$F$36))</f>
        <v>0</v>
      </c>
      <c r="CJ362" s="18">
        <f>IF(AR362="","",--(AR362='Codebook'!$F$37))</f>
        <v>0</v>
      </c>
      <c r="CK362" s="18">
        <f>IF(AS362="","",--(AS362='Codebook'!$F$38))</f>
        <v>0</v>
      </c>
      <c r="CL362" s="18">
        <f>IF(AT362="","",--(AT362='Codebook'!$F$39))</f>
        <v>0</v>
      </c>
      <c r="CM362" s="18">
        <f>IF(AU362="","",--(AU362='Codebook'!$F$40))</f>
        <v>0</v>
      </c>
      <c r="CN362" s="18">
        <f>IF(AV362="","",--(AV362='Codebook'!$F$41))</f>
        <v>0</v>
      </c>
      <c r="CO362" s="18">
        <f>IF(AW362="","",--(AW362='Codebook'!$F$42))</f>
        <v>0</v>
      </c>
      <c r="CP362" s="18">
        <f>IF(AX362="","",--(AX362='Codebook'!$F$43))</f>
        <v>0</v>
      </c>
      <c r="CQ362" s="18">
        <f>IF(AY362="","",--(AY362='Codebook'!$F$44))</f>
        <v>0</v>
      </c>
      <c r="CR362" s="18">
        <f>IF(AZ362="","",--(AZ362='Codebook'!$F$45))</f>
        <v>0</v>
      </c>
    </row>
    <row r="363" spans="2:96" ht="24" customHeight="1">
      <c r="B363" s="18">
        <v>358</v>
      </c>
      <c r="C363" s="23">
        <v>46294.49949011574</v>
      </c>
      <c r="D363" s="21" t="s">
        <v>275</v>
      </c>
      <c r="E363" s="21" t="s">
        <v>206</v>
      </c>
      <c r="F363" s="21" t="s">
        <v>212</v>
      </c>
      <c r="G363" s="17" t="s">
        <v>247</v>
      </c>
      <c r="H363" s="21" t="s">
        <v>207</v>
      </c>
      <c r="I363" s="18">
        <f>SUM(BL363:BU363)</f>
        <v>4</v>
      </c>
      <c r="J363" s="18">
        <f>IF(COUNT(BV363:CD363)=9,SUM(BV363:CD363),"")</f>
        <v>4</v>
      </c>
      <c r="K363" s="18">
        <f>SUM(BL363:CD363)</f>
        <v>8</v>
      </c>
      <c r="L363" s="18">
        <f>--(K363&gt;='Codebook'!$C$8)</f>
        <v>0</v>
      </c>
      <c r="M363" s="18">
        <f>--(COUNT(BL363:CD363)=19)</f>
        <v>1</v>
      </c>
      <c r="N363" s="18">
        <f>SUM(CE363:CL363)</f>
        <v>5</v>
      </c>
      <c r="O363" s="18">
        <f>SUM(CM363:CR363)</f>
        <v>0</v>
      </c>
      <c r="P363" s="18">
        <f>N363+O363</f>
        <v>5</v>
      </c>
      <c r="Q363" s="21" t="s">
        <v>207</v>
      </c>
      <c r="R363" s="17" t="s">
        <v>156</v>
      </c>
      <c r="S363" s="18">
        <f>--OR(Overview!$B$6="All",E363=Overview!$B$6)*--OR(Overview!$F$6="All",F363=Overview!$F$6)*--OR(Overview!$J$6="All",G363=Overview!$J$6)*--OR(Overview!$N$6="All",H363=Overview!$N$6)</f>
        <v>1</v>
      </c>
      <c r="T363" s="21" t="s">
        <v>22</v>
      </c>
      <c r="U363" s="21" t="s">
        <v>22</v>
      </c>
      <c r="V363" s="21" t="s">
        <v>198</v>
      </c>
      <c r="W363" s="21" t="s">
        <v>198</v>
      </c>
      <c r="X363" s="21" t="s">
        <v>198</v>
      </c>
      <c r="Y363" s="21" t="s">
        <v>198</v>
      </c>
      <c r="Z363" s="21" t="s">
        <v>22</v>
      </c>
      <c r="AA363" s="21" t="s">
        <v>22</v>
      </c>
      <c r="AB363" s="21" t="s">
        <v>198</v>
      </c>
      <c r="AC363" s="21" t="s">
        <v>22</v>
      </c>
      <c r="AD363" s="21" t="s">
        <v>198</v>
      </c>
      <c r="AE363" s="21" t="s">
        <v>22</v>
      </c>
      <c r="AF363" s="21" t="s">
        <v>198</v>
      </c>
      <c r="AG363" s="21" t="s">
        <v>22</v>
      </c>
      <c r="AH363" s="21" t="s">
        <v>198</v>
      </c>
      <c r="AI363" s="21" t="s">
        <v>198</v>
      </c>
      <c r="AJ363" s="21" t="s">
        <v>198</v>
      </c>
      <c r="AK363" s="21" t="s">
        <v>22</v>
      </c>
      <c r="AL363" s="21" t="s">
        <v>26</v>
      </c>
      <c r="AM363" s="21" t="s">
        <v>83</v>
      </c>
      <c r="AN363" s="21" t="s">
        <v>83</v>
      </c>
      <c r="AO363" s="21" t="s">
        <v>109</v>
      </c>
      <c r="AP363" s="21" t="s">
        <v>83</v>
      </c>
      <c r="AQ363" s="21" t="s">
        <v>83</v>
      </c>
      <c r="AR363" s="21" t="s">
        <v>83</v>
      </c>
      <c r="AS363" s="21" t="s">
        <v>198</v>
      </c>
      <c r="AT363" s="21" t="s">
        <v>198</v>
      </c>
      <c r="AU363" s="21" t="s">
        <v>198</v>
      </c>
      <c r="AV363" s="21" t="s">
        <v>198</v>
      </c>
      <c r="AW363" s="21" t="s">
        <v>198</v>
      </c>
      <c r="AX363" s="21" t="s">
        <v>198</v>
      </c>
      <c r="AY363" s="21" t="s">
        <v>198</v>
      </c>
      <c r="AZ363" s="21" t="s">
        <v>198</v>
      </c>
      <c r="BA363" s="17" t="s">
        <v>246</v>
      </c>
      <c r="BB363" s="17" t="s">
        <v>313</v>
      </c>
      <c r="BC363" s="18">
        <f>--ISNUMBER(SEARCH("Radio or television",BA363))</f>
        <v>1</v>
      </c>
      <c r="BD363" s="18">
        <f>--ISNUMBER(SEARCH("Newspapers or print media",BA363))</f>
        <v>0</v>
      </c>
      <c r="BE363" s="18">
        <f>--ISNUMBER(SEARCH("Social media (e.g. Facebook, WhatsApp, YouTube, X/Twitter)",BA363))</f>
        <v>1</v>
      </c>
      <c r="BF363" s="18">
        <f>--ISNUMBER(SEARCH("Family members",BA363))</f>
        <v>0</v>
      </c>
      <c r="BG363" s="18">
        <f>--ISNUMBER(SEARCH("Friends or fellow students",BA363))</f>
        <v>0</v>
      </c>
      <c r="BH363" s="18">
        <f>--ISNUMBER(SEARCH("School coursework or lectures",BA363))</f>
        <v>0</v>
      </c>
      <c r="BI363" s="18">
        <f>--ISNUMBER(SEARCH("NHIMA outreach activities or NHIMA offices",BA363))</f>
        <v>0</v>
      </c>
      <c r="BJ363" s="18">
        <f>--ISNUMBER(SEARCH("Health facility staff",BA363))</f>
        <v>0</v>
      </c>
      <c r="BK363" s="18">
        <f>--ISNUMBER(SEARCH("not received information",BA363))</f>
        <v>0</v>
      </c>
      <c r="BL363" s="18">
        <f>IF(T363="","",--(T363='Codebook'!$F$13))</f>
        <v>1</v>
      </c>
      <c r="BM363" s="18">
        <f>IF(U363="","",--(U363='Codebook'!$F$14))</f>
        <v>0</v>
      </c>
      <c r="BN363" s="18">
        <f>IF(V363="","",--(V363='Codebook'!$F$15))</f>
        <v>0</v>
      </c>
      <c r="BO363" s="18">
        <f>IF(W363="","",--(W363='Codebook'!$F$16))</f>
        <v>0</v>
      </c>
      <c r="BP363" s="18">
        <f>IF(X363="","",--(X363='Codebook'!$F$17))</f>
        <v>0</v>
      </c>
      <c r="BQ363" s="18">
        <f>IF(Y363="","",--(Y363='Codebook'!$F$18))</f>
        <v>0</v>
      </c>
      <c r="BR363" s="18">
        <f>IF(Z363="","",--(Z363='Codebook'!$F$19))</f>
        <v>1</v>
      </c>
      <c r="BS363" s="18">
        <f>IF(AA363="","",--(AA363='Codebook'!$F$20))</f>
        <v>1</v>
      </c>
      <c r="BT363" s="18">
        <f>IF(AB363="","",--(AB363='Codebook'!$F$21))</f>
        <v>0</v>
      </c>
      <c r="BU363" s="18">
        <f>IF(AC363="","",--(AC363='Codebook'!$F$22))</f>
        <v>1</v>
      </c>
      <c r="BV363" s="18">
        <f>IF(AD363="","",--(AD363='Codebook'!$F$23))</f>
        <v>0</v>
      </c>
      <c r="BW363" s="18">
        <f>IF(AE363="","",--(AE363='Codebook'!$F$24))</f>
        <v>1</v>
      </c>
      <c r="BX363" s="18">
        <f>IF(AF363="","",--(AF363='Codebook'!$F$25))</f>
        <v>0</v>
      </c>
      <c r="BY363" s="18">
        <f>IF(AG363="","",--(AG363='Codebook'!$F$26))</f>
        <v>1</v>
      </c>
      <c r="BZ363" s="18">
        <f>IF(AH363="","",--(AH363='Codebook'!$F$27))</f>
        <v>0</v>
      </c>
      <c r="CA363" s="18">
        <f>IF(AI363="","",--(AI363='Codebook'!$F$28))</f>
        <v>0</v>
      </c>
      <c r="CB363" s="18">
        <f>IF(AJ363="","",--(AJ363='Codebook'!$F$29))</f>
        <v>0</v>
      </c>
      <c r="CC363" s="18">
        <f>IF(AK363="","",--(AK363='Codebook'!$F$30))</f>
        <v>1</v>
      </c>
      <c r="CD363" s="18">
        <f>IF(AL363="","",--(AL363='Codebook'!$F$31))</f>
        <v>1</v>
      </c>
      <c r="CE363" s="18">
        <f>IF(AM363="","",--(AM363='Codebook'!$F$32))</f>
        <v>1</v>
      </c>
      <c r="CF363" s="18">
        <f>IF(AN363="","",--(AN363='Codebook'!$F$33))</f>
        <v>1</v>
      </c>
      <c r="CG363" s="18">
        <f>IF(AO363="","",--(AO363='Codebook'!$F$34))</f>
        <v>0</v>
      </c>
      <c r="CH363" s="18">
        <f>IF(AP363="","",--(AP363='Codebook'!$F$35))</f>
        <v>1</v>
      </c>
      <c r="CI363" s="18">
        <f>IF(AQ363="","",--(AQ363='Codebook'!$F$36))</f>
        <v>1</v>
      </c>
      <c r="CJ363" s="18">
        <f>IF(AR363="","",--(AR363='Codebook'!$F$37))</f>
        <v>1</v>
      </c>
      <c r="CK363" s="18">
        <f>IF(AS363="","",--(AS363='Codebook'!$F$38))</f>
        <v>0</v>
      </c>
      <c r="CL363" s="18">
        <f>IF(AT363="","",--(AT363='Codebook'!$F$39))</f>
        <v>0</v>
      </c>
      <c r="CM363" s="18">
        <f>IF(AU363="","",--(AU363='Codebook'!$F$40))</f>
        <v>0</v>
      </c>
      <c r="CN363" s="18">
        <f>IF(AV363="","",--(AV363='Codebook'!$F$41))</f>
        <v>0</v>
      </c>
      <c r="CO363" s="18">
        <f>IF(AW363="","",--(AW363='Codebook'!$F$42))</f>
        <v>0</v>
      </c>
      <c r="CP363" s="18">
        <f>IF(AX363="","",--(AX363='Codebook'!$F$43))</f>
        <v>0</v>
      </c>
      <c r="CQ363" s="18">
        <f>IF(AY363="","",--(AY363='Codebook'!$F$44))</f>
        <v>0</v>
      </c>
      <c r="CR363" s="18">
        <f>IF(AZ363="","",--(AZ363='Codebook'!$F$45))</f>
        <v>0</v>
      </c>
    </row>
  </sheetData>
  <mergeCells count="2">
    <mergeCell ref="B2:Q2"/>
    <mergeCell ref="B3:Q3"/>
  </mergeCells>
  <hyperlinks>
    <hyperlink ref="B1" location="'Overview'!B2" display="Back to dashboard"/>
  </hyperlinks>
  <pageMargins left="0.25" right="0.25" top="0.35" bottom="0.35" header="0.3" footer="0.15"/>
  <pageSetup paperSize="9" fitToHeight="0" orientation="landscape"/>
  <headerFooter>
    <oddFooter>&amp;LUNZA | Ridgeway Campus&amp;CHealth insurance survey&amp;RPage &amp;P of &amp;N</oddFooter>
  </headerFooter>
  <legacyDrawing r:id="rId1"/>
  <tableParts count="1">
    <tablePart r:id="rId2"/>
  </tableParts>
</worksheet>
</file>

<file path=xl/worksheets/sheet6.xml><?xml version="1.0" encoding="utf-8"?>
<worksheet xmlns="http://schemas.openxmlformats.org/spreadsheetml/2006/main" xmlns:r="http://schemas.openxmlformats.org/officeDocument/2006/relationships">
  <sheetPr>
    <tabColor rgb="FF1A5F5F"/>
    <pageSetUpPr fitToPage="1"/>
  </sheetPr>
  <dimension ref="B1:F45"/>
  <sheetViews>
    <sheetView showGridLines="0" workbookViewId="0">
      <pane xSplit="3" ySplit="12" topLeftCell="D13" activePane="bottomRight" state="frozen"/>
      <selection pane="topRight" activeCell="D1" sqref="D1"/>
      <selection pane="bottomLeft" activeCell="A13" sqref="A13"/>
      <selection pane="bottomRight"/>
    </sheetView>
  </sheetViews>
  <sheetFormatPr defaultRowHeight="20" customHeight="1"/>
  <cols>
    <col min="1" max="1" width="3.7109375" customWidth="1"/>
    <col min="2" max="2" width="10.7109375" customWidth="1"/>
    <col min="3" max="3" width="23.7109375" customWidth="1"/>
    <col min="4" max="4" width="72.7109375" customWidth="1"/>
    <col min="5" max="5" width="43.7109375" customWidth="1"/>
    <col min="6" max="6" width="16.7109375" customWidth="1"/>
  </cols>
  <sheetData>
    <row r="1" spans="2:6" ht="20" customHeight="1">
      <c r="B1" s="15" t="s">
        <v>0</v>
      </c>
    </row>
    <row r="2" spans="2:6" ht="36" customHeight="1">
      <c r="B2" s="1" t="s">
        <v>1</v>
      </c>
      <c r="C2" s="1"/>
      <c r="D2" s="1"/>
      <c r="E2" s="1"/>
      <c r="F2" s="1"/>
    </row>
    <row r="3" spans="2:6" ht="28" customHeight="1">
      <c r="B3" s="2" t="s">
        <v>2</v>
      </c>
      <c r="C3" s="2"/>
      <c r="D3" s="2"/>
      <c r="E3" s="2"/>
      <c r="F3" s="2"/>
    </row>
    <row r="5" spans="2:6" ht="32" customHeight="1">
      <c r="B5" s="16" t="s">
        <v>3</v>
      </c>
      <c r="C5" s="16" t="s">
        <v>4</v>
      </c>
      <c r="D5" s="16" t="s">
        <v>5</v>
      </c>
      <c r="E5" s="16" t="s">
        <v>6</v>
      </c>
    </row>
    <row r="6" spans="2:6" ht="38" customHeight="1">
      <c r="B6" s="17" t="s">
        <v>7</v>
      </c>
      <c r="C6" s="24">
        <v>6</v>
      </c>
      <c r="D6" s="18">
        <v>10</v>
      </c>
      <c r="E6" s="5" t="s">
        <v>8</v>
      </c>
      <c r="F6" s="5"/>
    </row>
    <row r="7" spans="2:6" ht="38" customHeight="1">
      <c r="B7" s="17" t="s">
        <v>9</v>
      </c>
      <c r="C7" s="24">
        <v>6</v>
      </c>
      <c r="D7" s="18">
        <v>9</v>
      </c>
      <c r="E7" s="5" t="s">
        <v>10</v>
      </c>
      <c r="F7" s="5"/>
    </row>
    <row r="8" spans="2:6" ht="38" customHeight="1">
      <c r="B8" s="17" t="s">
        <v>11</v>
      </c>
      <c r="C8" s="24">
        <v>12</v>
      </c>
      <c r="D8" s="18">
        <v>19</v>
      </c>
      <c r="E8" s="5" t="s">
        <v>12</v>
      </c>
      <c r="F8" s="5"/>
    </row>
    <row r="10" spans="2:6" ht="37" customHeight="1">
      <c r="B10" s="14" t="s">
        <v>13</v>
      </c>
      <c r="C10" s="14"/>
      <c r="D10" s="14"/>
      <c r="E10" s="14"/>
      <c r="F10" s="14"/>
    </row>
    <row r="12" spans="2:6" ht="32" customHeight="1">
      <c r="B12" s="16" t="s">
        <v>14</v>
      </c>
      <c r="C12" s="16" t="s">
        <v>15</v>
      </c>
      <c r="D12" s="16" t="s">
        <v>16</v>
      </c>
      <c r="E12" s="16" t="s">
        <v>17</v>
      </c>
      <c r="F12" s="16" t="s">
        <v>18</v>
      </c>
    </row>
    <row r="13" spans="2:6" ht="52" customHeight="1">
      <c r="B13" s="17" t="s">
        <v>19</v>
      </c>
      <c r="C13" s="17" t="s">
        <v>7</v>
      </c>
      <c r="D13" s="17" t="s">
        <v>20</v>
      </c>
      <c r="E13" s="17" t="s">
        <v>21</v>
      </c>
      <c r="F13" s="24" t="s">
        <v>22</v>
      </c>
    </row>
    <row r="14" spans="2:6" ht="52" customHeight="1">
      <c r="B14" s="17" t="s">
        <v>23</v>
      </c>
      <c r="C14" s="17" t="s">
        <v>7</v>
      </c>
      <c r="D14" s="17" t="s">
        <v>24</v>
      </c>
      <c r="E14" s="17" t="s">
        <v>25</v>
      </c>
      <c r="F14" s="24" t="s">
        <v>26</v>
      </c>
    </row>
    <row r="15" spans="2:6" ht="40" customHeight="1">
      <c r="B15" s="17" t="s">
        <v>27</v>
      </c>
      <c r="C15" s="17" t="s">
        <v>7</v>
      </c>
      <c r="D15" s="17" t="s">
        <v>28</v>
      </c>
      <c r="E15" s="17" t="s">
        <v>29</v>
      </c>
      <c r="F15" s="24" t="s">
        <v>26</v>
      </c>
    </row>
    <row r="16" spans="2:6" ht="40" customHeight="1">
      <c r="B16" s="17" t="s">
        <v>30</v>
      </c>
      <c r="C16" s="17" t="s">
        <v>7</v>
      </c>
      <c r="D16" s="17" t="s">
        <v>31</v>
      </c>
      <c r="E16" s="17" t="s">
        <v>32</v>
      </c>
      <c r="F16" s="24" t="s">
        <v>22</v>
      </c>
    </row>
    <row r="17" spans="2:6" ht="40" customHeight="1">
      <c r="B17" s="17" t="s">
        <v>33</v>
      </c>
      <c r="C17" s="17" t="s">
        <v>7</v>
      </c>
      <c r="D17" s="17" t="s">
        <v>34</v>
      </c>
      <c r="E17" s="17" t="s">
        <v>35</v>
      </c>
      <c r="F17" s="24" t="s">
        <v>22</v>
      </c>
    </row>
    <row r="18" spans="2:6" ht="40" customHeight="1">
      <c r="B18" s="17" t="s">
        <v>36</v>
      </c>
      <c r="C18" s="17" t="s">
        <v>7</v>
      </c>
      <c r="D18" s="17" t="s">
        <v>37</v>
      </c>
      <c r="E18" s="17" t="s">
        <v>38</v>
      </c>
      <c r="F18" s="24" t="s">
        <v>26</v>
      </c>
    </row>
    <row r="19" spans="2:6" ht="52" customHeight="1">
      <c r="B19" s="17" t="s">
        <v>39</v>
      </c>
      <c r="C19" s="17" t="s">
        <v>7</v>
      </c>
      <c r="D19" s="17" t="s">
        <v>40</v>
      </c>
      <c r="E19" s="17" t="s">
        <v>41</v>
      </c>
      <c r="F19" s="24" t="s">
        <v>22</v>
      </c>
    </row>
    <row r="20" spans="2:6" ht="52" customHeight="1">
      <c r="B20" s="17" t="s">
        <v>42</v>
      </c>
      <c r="C20" s="17" t="s">
        <v>7</v>
      </c>
      <c r="D20" s="17" t="s">
        <v>43</v>
      </c>
      <c r="E20" s="17" t="s">
        <v>44</v>
      </c>
      <c r="F20" s="24" t="s">
        <v>22</v>
      </c>
    </row>
    <row r="21" spans="2:6" ht="40" customHeight="1">
      <c r="B21" s="17" t="s">
        <v>45</v>
      </c>
      <c r="C21" s="17" t="s">
        <v>7</v>
      </c>
      <c r="D21" s="17" t="s">
        <v>46</v>
      </c>
      <c r="E21" s="17" t="s">
        <v>47</v>
      </c>
      <c r="F21" s="24" t="s">
        <v>26</v>
      </c>
    </row>
    <row r="22" spans="2:6" ht="52" customHeight="1">
      <c r="B22" s="17" t="s">
        <v>48</v>
      </c>
      <c r="C22" s="17" t="s">
        <v>7</v>
      </c>
      <c r="D22" s="17" t="s">
        <v>49</v>
      </c>
      <c r="E22" s="17" t="s">
        <v>50</v>
      </c>
      <c r="F22" s="24" t="s">
        <v>22</v>
      </c>
    </row>
    <row r="23" spans="2:6" ht="40" customHeight="1">
      <c r="B23" s="17" t="s">
        <v>51</v>
      </c>
      <c r="C23" s="17" t="s">
        <v>52</v>
      </c>
      <c r="D23" s="17" t="s">
        <v>53</v>
      </c>
      <c r="E23" s="17" t="s">
        <v>54</v>
      </c>
      <c r="F23" s="24" t="s">
        <v>22</v>
      </c>
    </row>
    <row r="24" spans="2:6" ht="40" customHeight="1">
      <c r="B24" s="17" t="s">
        <v>55</v>
      </c>
      <c r="C24" s="17" t="s">
        <v>52</v>
      </c>
      <c r="D24" s="17" t="s">
        <v>56</v>
      </c>
      <c r="E24" s="17" t="s">
        <v>57</v>
      </c>
      <c r="F24" s="24" t="s">
        <v>22</v>
      </c>
    </row>
    <row r="25" spans="2:6" ht="40" customHeight="1">
      <c r="B25" s="17" t="s">
        <v>58</v>
      </c>
      <c r="C25" s="17" t="s">
        <v>52</v>
      </c>
      <c r="D25" s="17" t="s">
        <v>59</v>
      </c>
      <c r="E25" s="17" t="s">
        <v>60</v>
      </c>
      <c r="F25" s="24" t="s">
        <v>26</v>
      </c>
    </row>
    <row r="26" spans="2:6" ht="40" customHeight="1">
      <c r="B26" s="17" t="s">
        <v>61</v>
      </c>
      <c r="C26" s="17" t="s">
        <v>52</v>
      </c>
      <c r="D26" s="17" t="s">
        <v>62</v>
      </c>
      <c r="E26" s="17" t="s">
        <v>63</v>
      </c>
      <c r="F26" s="24" t="s">
        <v>22</v>
      </c>
    </row>
    <row r="27" spans="2:6" ht="40" customHeight="1">
      <c r="B27" s="17" t="s">
        <v>64</v>
      </c>
      <c r="C27" s="17" t="s">
        <v>52</v>
      </c>
      <c r="D27" s="17" t="s">
        <v>65</v>
      </c>
      <c r="E27" s="17" t="s">
        <v>66</v>
      </c>
      <c r="F27" s="24" t="s">
        <v>22</v>
      </c>
    </row>
    <row r="28" spans="2:6" ht="40" customHeight="1">
      <c r="B28" s="17" t="s">
        <v>67</v>
      </c>
      <c r="C28" s="17" t="s">
        <v>52</v>
      </c>
      <c r="D28" s="17" t="s">
        <v>68</v>
      </c>
      <c r="E28" s="17" t="s">
        <v>69</v>
      </c>
      <c r="F28" s="24" t="s">
        <v>26</v>
      </c>
    </row>
    <row r="29" spans="2:6" ht="52" customHeight="1">
      <c r="B29" s="17" t="s">
        <v>70</v>
      </c>
      <c r="C29" s="17" t="s">
        <v>52</v>
      </c>
      <c r="D29" s="17" t="s">
        <v>71</v>
      </c>
      <c r="E29" s="17" t="s">
        <v>72</v>
      </c>
      <c r="F29" s="24" t="s">
        <v>26</v>
      </c>
    </row>
    <row r="30" spans="2:6" ht="40" customHeight="1">
      <c r="B30" s="17" t="s">
        <v>73</v>
      </c>
      <c r="C30" s="17" t="s">
        <v>52</v>
      </c>
      <c r="D30" s="17" t="s">
        <v>74</v>
      </c>
      <c r="E30" s="17" t="s">
        <v>75</v>
      </c>
      <c r="F30" s="24" t="s">
        <v>22</v>
      </c>
    </row>
    <row r="31" spans="2:6" ht="40" customHeight="1">
      <c r="B31" s="17" t="s">
        <v>76</v>
      </c>
      <c r="C31" s="17" t="s">
        <v>52</v>
      </c>
      <c r="D31" s="17" t="s">
        <v>77</v>
      </c>
      <c r="E31" s="17" t="s">
        <v>78</v>
      </c>
      <c r="F31" s="24" t="s">
        <v>26</v>
      </c>
    </row>
    <row r="32" spans="2:6" ht="40" customHeight="1">
      <c r="B32" s="17" t="s">
        <v>79</v>
      </c>
      <c r="C32" s="17" t="s">
        <v>80</v>
      </c>
      <c r="D32" s="17" t="s">
        <v>81</v>
      </c>
      <c r="E32" s="17" t="s">
        <v>82</v>
      </c>
      <c r="F32" s="24" t="s">
        <v>83</v>
      </c>
    </row>
    <row r="33" spans="2:6" ht="40" customHeight="1">
      <c r="B33" s="17" t="s">
        <v>84</v>
      </c>
      <c r="C33" s="17" t="s">
        <v>80</v>
      </c>
      <c r="D33" s="17" t="s">
        <v>85</v>
      </c>
      <c r="E33" s="17" t="s">
        <v>86</v>
      </c>
      <c r="F33" s="24" t="s">
        <v>83</v>
      </c>
    </row>
    <row r="34" spans="2:6" ht="40" customHeight="1">
      <c r="B34" s="17" t="s">
        <v>87</v>
      </c>
      <c r="C34" s="17" t="s">
        <v>80</v>
      </c>
      <c r="D34" s="17" t="s">
        <v>88</v>
      </c>
      <c r="E34" s="17" t="s">
        <v>89</v>
      </c>
      <c r="F34" s="24" t="s">
        <v>83</v>
      </c>
    </row>
    <row r="35" spans="2:6" ht="40" customHeight="1">
      <c r="B35" s="17" t="s">
        <v>90</v>
      </c>
      <c r="C35" s="17" t="s">
        <v>80</v>
      </c>
      <c r="D35" s="17" t="s">
        <v>91</v>
      </c>
      <c r="E35" s="17" t="s">
        <v>92</v>
      </c>
      <c r="F35" s="24" t="s">
        <v>83</v>
      </c>
    </row>
    <row r="36" spans="2:6" ht="40" customHeight="1">
      <c r="B36" s="17" t="s">
        <v>93</v>
      </c>
      <c r="C36" s="17" t="s">
        <v>80</v>
      </c>
      <c r="D36" s="17" t="s">
        <v>94</v>
      </c>
      <c r="E36" s="17" t="s">
        <v>95</v>
      </c>
      <c r="F36" s="24" t="s">
        <v>83</v>
      </c>
    </row>
    <row r="37" spans="2:6" ht="40" customHeight="1">
      <c r="B37" s="17" t="s">
        <v>96</v>
      </c>
      <c r="C37" s="17" t="s">
        <v>80</v>
      </c>
      <c r="D37" s="17" t="s">
        <v>97</v>
      </c>
      <c r="E37" s="17" t="s">
        <v>98</v>
      </c>
      <c r="F37" s="24" t="s">
        <v>83</v>
      </c>
    </row>
    <row r="38" spans="2:6" ht="40" customHeight="1">
      <c r="B38" s="17" t="s">
        <v>99</v>
      </c>
      <c r="C38" s="17" t="s">
        <v>80</v>
      </c>
      <c r="D38" s="17" t="s">
        <v>100</v>
      </c>
      <c r="E38" s="17" t="s">
        <v>101</v>
      </c>
      <c r="F38" s="24" t="s">
        <v>83</v>
      </c>
    </row>
    <row r="39" spans="2:6" ht="40" customHeight="1">
      <c r="B39" s="17" t="s">
        <v>102</v>
      </c>
      <c r="C39" s="17" t="s">
        <v>80</v>
      </c>
      <c r="D39" s="17" t="s">
        <v>103</v>
      </c>
      <c r="E39" s="17" t="s">
        <v>104</v>
      </c>
      <c r="F39" s="24" t="s">
        <v>83</v>
      </c>
    </row>
    <row r="40" spans="2:6" ht="40" customHeight="1">
      <c r="B40" s="17" t="s">
        <v>105</v>
      </c>
      <c r="C40" s="17" t="s">
        <v>106</v>
      </c>
      <c r="D40" s="17" t="s">
        <v>107</v>
      </c>
      <c r="E40" s="17" t="s">
        <v>108</v>
      </c>
      <c r="F40" s="24" t="s">
        <v>109</v>
      </c>
    </row>
    <row r="41" spans="2:6" ht="40" customHeight="1">
      <c r="B41" s="17" t="s">
        <v>110</v>
      </c>
      <c r="C41" s="17" t="s">
        <v>106</v>
      </c>
      <c r="D41" s="17" t="s">
        <v>111</v>
      </c>
      <c r="E41" s="17" t="s">
        <v>112</v>
      </c>
      <c r="F41" s="24" t="s">
        <v>109</v>
      </c>
    </row>
    <row r="42" spans="2:6" ht="40" customHeight="1">
      <c r="B42" s="17" t="s">
        <v>113</v>
      </c>
      <c r="C42" s="17" t="s">
        <v>106</v>
      </c>
      <c r="D42" s="17" t="s">
        <v>114</v>
      </c>
      <c r="E42" s="17" t="s">
        <v>115</v>
      </c>
      <c r="F42" s="24" t="s">
        <v>109</v>
      </c>
    </row>
    <row r="43" spans="2:6" ht="40" customHeight="1">
      <c r="B43" s="17" t="s">
        <v>116</v>
      </c>
      <c r="C43" s="17" t="s">
        <v>106</v>
      </c>
      <c r="D43" s="17" t="s">
        <v>117</v>
      </c>
      <c r="E43" s="17" t="s">
        <v>118</v>
      </c>
      <c r="F43" s="24" t="s">
        <v>109</v>
      </c>
    </row>
    <row r="44" spans="2:6" ht="40" customHeight="1">
      <c r="B44" s="17" t="s">
        <v>119</v>
      </c>
      <c r="C44" s="17" t="s">
        <v>106</v>
      </c>
      <c r="D44" s="17" t="s">
        <v>120</v>
      </c>
      <c r="E44" s="17" t="s">
        <v>121</v>
      </c>
      <c r="F44" s="24" t="s">
        <v>109</v>
      </c>
    </row>
    <row r="45" spans="2:6" ht="40" customHeight="1">
      <c r="B45" s="17" t="s">
        <v>122</v>
      </c>
      <c r="C45" s="17" t="s">
        <v>106</v>
      </c>
      <c r="D45" s="17" t="s">
        <v>123</v>
      </c>
      <c r="E45" s="17" t="s">
        <v>124</v>
      </c>
      <c r="F45" s="24" t="s">
        <v>109</v>
      </c>
    </row>
  </sheetData>
  <autoFilter ref="B12:F45"/>
  <mergeCells count="6">
    <mergeCell ref="B2:F2"/>
    <mergeCell ref="B3:F3"/>
    <mergeCell ref="E6:F6"/>
    <mergeCell ref="E7:F7"/>
    <mergeCell ref="E8:F8"/>
    <mergeCell ref="B10:F10"/>
  </mergeCells>
  <dataValidations count="36">
    <dataValidation type="whole" allowBlank="1" showInputMessage="1" showErrorMessage="1" sqref="C6">
      <formula1>0</formula1>
      <formula2>10</formula2>
    </dataValidation>
    <dataValidation type="whole" allowBlank="1" showInputMessage="1" showErrorMessage="1" sqref="C7">
      <formula1>0</formula1>
      <formula2>9</formula2>
    </dataValidation>
    <dataValidation type="whole" allowBlank="1" showInputMessage="1" showErrorMessage="1" sqref="C8">
      <formula1>0</formula1>
      <formula2>19</formula2>
    </dataValidation>
    <dataValidation type="list" allowBlank="1" showInputMessage="1" showErrorMessage="1" sqref="F13">
      <formula1>"True,False"</formula1>
    </dataValidation>
    <dataValidation type="list" allowBlank="1" showInputMessage="1" showErrorMessage="1" sqref="F14">
      <formula1>"True,False"</formula1>
    </dataValidation>
    <dataValidation type="list" allowBlank="1" showInputMessage="1" showErrorMessage="1" sqref="F15">
      <formula1>"True,False"</formula1>
    </dataValidation>
    <dataValidation type="list" allowBlank="1" showInputMessage="1" showErrorMessage="1" sqref="F16">
      <formula1>"True,False"</formula1>
    </dataValidation>
    <dataValidation type="list" allowBlank="1" showInputMessage="1" showErrorMessage="1" sqref="F17">
      <formula1>"True,False"</formula1>
    </dataValidation>
    <dataValidation type="list" allowBlank="1" showInputMessage="1" showErrorMessage="1" sqref="F18">
      <formula1>"True,False"</formula1>
    </dataValidation>
    <dataValidation type="list" allowBlank="1" showInputMessage="1" showErrorMessage="1" sqref="F19">
      <formula1>"True,False"</formula1>
    </dataValidation>
    <dataValidation type="list" allowBlank="1" showInputMessage="1" showErrorMessage="1" sqref="F20">
      <formula1>"True,False"</formula1>
    </dataValidation>
    <dataValidation type="list" allowBlank="1" showInputMessage="1" showErrorMessage="1" sqref="F21">
      <formula1>"True,False"</formula1>
    </dataValidation>
    <dataValidation type="list" allowBlank="1" showInputMessage="1" showErrorMessage="1" sqref="F22">
      <formula1>"True,False"</formula1>
    </dataValidation>
    <dataValidation type="list" allowBlank="1" showInputMessage="1" showErrorMessage="1" sqref="F23">
      <formula1>"True,False"</formula1>
    </dataValidation>
    <dataValidation type="list" allowBlank="1" showInputMessage="1" showErrorMessage="1" sqref="F24">
      <formula1>"True,False"</formula1>
    </dataValidation>
    <dataValidation type="list" allowBlank="1" showInputMessage="1" showErrorMessage="1" sqref="F25">
      <formula1>"True,False"</formula1>
    </dataValidation>
    <dataValidation type="list" allowBlank="1" showInputMessage="1" showErrorMessage="1" sqref="F26">
      <formula1>"True,False"</formula1>
    </dataValidation>
    <dataValidation type="list" allowBlank="1" showInputMessage="1" showErrorMessage="1" sqref="F27">
      <formula1>"True,False"</formula1>
    </dataValidation>
    <dataValidation type="list" allowBlank="1" showInputMessage="1" showErrorMessage="1" sqref="F28">
      <formula1>"True,False"</formula1>
    </dataValidation>
    <dataValidation type="list" allowBlank="1" showInputMessage="1" showErrorMessage="1" sqref="F29">
      <formula1>"True,False"</formula1>
    </dataValidation>
    <dataValidation type="list" allowBlank="1" showInputMessage="1" showErrorMessage="1" sqref="F30">
      <formula1>"True,False"</formula1>
    </dataValidation>
    <dataValidation type="list" allowBlank="1" showInputMessage="1" showErrorMessage="1" sqref="F31">
      <formula1>"True,False"</formula1>
    </dataValidation>
    <dataValidation type="list" allowBlank="1" showInputMessage="1" showErrorMessage="1" sqref="F32">
      <formula1>"Covered,Not covered"</formula1>
    </dataValidation>
    <dataValidation type="list" allowBlank="1" showInputMessage="1" showErrorMessage="1" sqref="F33">
      <formula1>"Covered,Not covered"</formula1>
    </dataValidation>
    <dataValidation type="list" allowBlank="1" showInputMessage="1" showErrorMessage="1" sqref="F34">
      <formula1>"Covered,Not covered"</formula1>
    </dataValidation>
    <dataValidation type="list" allowBlank="1" showInputMessage="1" showErrorMessage="1" sqref="F35">
      <formula1>"Covered,Not covered"</formula1>
    </dataValidation>
    <dataValidation type="list" allowBlank="1" showInputMessage="1" showErrorMessage="1" sqref="F36">
      <formula1>"Covered,Not covered"</formula1>
    </dataValidation>
    <dataValidation type="list" allowBlank="1" showInputMessage="1" showErrorMessage="1" sqref="F37">
      <formula1>"Covered,Not covered"</formula1>
    </dataValidation>
    <dataValidation type="list" allowBlank="1" showInputMessage="1" showErrorMessage="1" sqref="F38">
      <formula1>"Covered,Not covered"</formula1>
    </dataValidation>
    <dataValidation type="list" allowBlank="1" showInputMessage="1" showErrorMessage="1" sqref="F39">
      <formula1>"Covered,Not covered"</formula1>
    </dataValidation>
    <dataValidation type="list" allowBlank="1" showInputMessage="1" showErrorMessage="1" sqref="F40">
      <formula1>"Covered,Not covered"</formula1>
    </dataValidation>
    <dataValidation type="list" allowBlank="1" showInputMessage="1" showErrorMessage="1" sqref="F41">
      <formula1>"Covered,Not covered"</formula1>
    </dataValidation>
    <dataValidation type="list" allowBlank="1" showInputMessage="1" showErrorMessage="1" sqref="F42">
      <formula1>"Covered,Not covered"</formula1>
    </dataValidation>
    <dataValidation type="list" allowBlank="1" showInputMessage="1" showErrorMessage="1" sqref="F43">
      <formula1>"Covered,Not covered"</formula1>
    </dataValidation>
    <dataValidation type="list" allowBlank="1" showInputMessage="1" showErrorMessage="1" sqref="F44">
      <formula1>"Covered,Not covered"</formula1>
    </dataValidation>
    <dataValidation type="list" allowBlank="1" showInputMessage="1" showErrorMessage="1" sqref="F45">
      <formula1>"Covered,Not covered"</formula1>
    </dataValidation>
  </dataValidations>
  <hyperlinks>
    <hyperlink ref="B1" location="'Overview'!B2" display="Back to dashboard"/>
  </hyperlinks>
  <pageMargins left="0.25" right="0.25" top="0.35" bottom="0.35" header="0.3" footer="0.15"/>
  <pageSetup paperSize="9" fitToHeight="0" orientation="landscape"/>
  <headerFooter>
    <oddFooter>&amp;LUNZA | Ridgeway Campus&amp;CHealth insurance survey&amp;RPage &amp;P of &amp;N</oddFooter>
  </headerFooter>
</worksheet>
</file>

<file path=xl/worksheets/sheet7.xml><?xml version="1.0" encoding="utf-8"?>
<worksheet xmlns="http://schemas.openxmlformats.org/spreadsheetml/2006/main" xmlns:r="http://schemas.openxmlformats.org/officeDocument/2006/relationships">
  <sheetPr>
    <tabColor rgb="FF1A5F5F"/>
    <pageSetUpPr fitToPage="1"/>
  </sheetPr>
  <dimension ref="B1:H52"/>
  <sheetViews>
    <sheetView showGridLines="0" workbookViewId="0">
      <pane xSplit="1" ySplit="5" topLeftCell="B6" activePane="bottomRight" state="frozen"/>
      <selection pane="topRight" activeCell="B1" sqref="B1"/>
      <selection pane="bottomLeft" activeCell="A6" sqref="A6"/>
      <selection pane="bottomRight"/>
    </sheetView>
  </sheetViews>
  <sheetFormatPr defaultRowHeight="20" customHeight="1"/>
  <cols>
    <col min="1" max="1" width="3.7109375" customWidth="1"/>
    <col min="2" max="2" width="28.7109375" customWidth="1"/>
    <col min="3" max="8" width="16.7109375" customWidth="1"/>
  </cols>
  <sheetData>
    <row r="1" spans="2:8" ht="20" customHeight="1">
      <c r="B1" s="15" t="s">
        <v>0</v>
      </c>
    </row>
    <row r="2" spans="2:8" ht="36" customHeight="1">
      <c r="B2" s="1" t="s">
        <v>447</v>
      </c>
      <c r="C2" s="1"/>
      <c r="D2" s="1"/>
      <c r="E2" s="1"/>
      <c r="F2" s="1"/>
      <c r="G2" s="1"/>
      <c r="H2" s="1"/>
    </row>
    <row r="3" spans="2:8" ht="28" customHeight="1">
      <c r="B3" s="2" t="s">
        <v>448</v>
      </c>
      <c r="C3" s="2"/>
      <c r="D3" s="2"/>
      <c r="E3" s="2"/>
      <c r="F3" s="2"/>
      <c r="G3" s="2"/>
      <c r="H3" s="2"/>
    </row>
    <row r="6" spans="2:8" ht="26" customHeight="1">
      <c r="B6" s="13" t="s">
        <v>449</v>
      </c>
      <c r="C6" s="13"/>
      <c r="D6" s="13"/>
      <c r="E6" s="13"/>
      <c r="F6" s="13"/>
      <c r="G6" s="13"/>
      <c r="H6" s="13"/>
    </row>
    <row r="7" spans="2:8" ht="48" customHeight="1">
      <c r="B7" s="5" t="s">
        <v>450</v>
      </c>
      <c r="C7" s="5"/>
      <c r="D7" s="5"/>
      <c r="E7" s="5"/>
      <c r="F7" s="5"/>
      <c r="G7" s="5"/>
      <c r="H7" s="5"/>
    </row>
    <row r="9" spans="2:8" ht="26" customHeight="1">
      <c r="B9" s="13" t="s">
        <v>451</v>
      </c>
      <c r="C9" s="13"/>
      <c r="D9" s="13"/>
      <c r="E9" s="13"/>
      <c r="F9" s="13"/>
      <c r="G9" s="13"/>
      <c r="H9" s="13"/>
    </row>
    <row r="10" spans="2:8" ht="48" customHeight="1">
      <c r="B10" s="5" t="s">
        <v>452</v>
      </c>
      <c r="C10" s="5"/>
      <c r="D10" s="5"/>
      <c r="E10" s="5"/>
      <c r="F10" s="5"/>
      <c r="G10" s="5"/>
      <c r="H10" s="5"/>
    </row>
    <row r="12" spans="2:8" ht="26" customHeight="1">
      <c r="B12" s="13" t="s">
        <v>453</v>
      </c>
      <c r="C12" s="13"/>
      <c r="D12" s="13"/>
      <c r="E12" s="13"/>
      <c r="F12" s="13"/>
      <c r="G12" s="13"/>
      <c r="H12" s="13"/>
    </row>
    <row r="13" spans="2:8" ht="48" customHeight="1">
      <c r="B13" s="5" t="s">
        <v>454</v>
      </c>
      <c r="C13" s="5"/>
      <c r="D13" s="5"/>
      <c r="E13" s="5"/>
      <c r="F13" s="5"/>
      <c r="G13" s="5"/>
      <c r="H13" s="5"/>
    </row>
    <row r="15" spans="2:8" ht="26" customHeight="1">
      <c r="B15" s="13" t="s">
        <v>455</v>
      </c>
      <c r="C15" s="13"/>
      <c r="D15" s="13"/>
      <c r="E15" s="13"/>
      <c r="F15" s="13"/>
      <c r="G15" s="13"/>
      <c r="H15" s="13"/>
    </row>
    <row r="16" spans="2:8" ht="48" customHeight="1">
      <c r="B16" s="5" t="s">
        <v>456</v>
      </c>
      <c r="C16" s="5"/>
      <c r="D16" s="5"/>
      <c r="E16" s="5"/>
      <c r="F16" s="5"/>
      <c r="G16" s="5"/>
      <c r="H16" s="5"/>
    </row>
    <row r="18" spans="2:8" ht="26" customHeight="1">
      <c r="B18" s="13" t="s">
        <v>457</v>
      </c>
      <c r="C18" s="13"/>
      <c r="D18" s="13"/>
      <c r="E18" s="13"/>
      <c r="F18" s="13"/>
      <c r="G18" s="13"/>
      <c r="H18" s="13"/>
    </row>
    <row r="19" spans="2:8" ht="48" customHeight="1">
      <c r="B19" s="5" t="s">
        <v>458</v>
      </c>
      <c r="C19" s="5"/>
      <c r="D19" s="5"/>
      <c r="E19" s="5"/>
      <c r="F19" s="5"/>
      <c r="G19" s="5"/>
      <c r="H19" s="5"/>
    </row>
    <row r="21" spans="2:8" ht="26" customHeight="1">
      <c r="B21" s="13" t="s">
        <v>459</v>
      </c>
      <c r="C21" s="13"/>
      <c r="D21" s="13"/>
      <c r="E21" s="13"/>
      <c r="F21" s="13"/>
      <c r="G21" s="13"/>
      <c r="H21" s="13"/>
    </row>
    <row r="22" spans="2:8" ht="62" customHeight="1">
      <c r="B22" s="5" t="s">
        <v>460</v>
      </c>
      <c r="C22" s="5"/>
      <c r="D22" s="5"/>
      <c r="E22" s="5"/>
      <c r="F22" s="5"/>
      <c r="G22" s="5"/>
      <c r="H22" s="5"/>
    </row>
    <row r="24" spans="2:8" ht="26" customHeight="1">
      <c r="B24" s="13" t="s">
        <v>461</v>
      </c>
      <c r="C24" s="13"/>
      <c r="D24" s="13"/>
      <c r="E24" s="13"/>
      <c r="F24" s="13"/>
      <c r="G24" s="13"/>
      <c r="H24" s="13"/>
    </row>
    <row r="25" spans="2:8" ht="62" customHeight="1">
      <c r="B25" s="5" t="s">
        <v>462</v>
      </c>
      <c r="C25" s="5"/>
      <c r="D25" s="5"/>
      <c r="E25" s="5"/>
      <c r="F25" s="5"/>
      <c r="G25" s="5"/>
      <c r="H25" s="5"/>
    </row>
    <row r="27" spans="2:8" ht="26" customHeight="1">
      <c r="B27" s="13" t="s">
        <v>463</v>
      </c>
      <c r="C27" s="13"/>
      <c r="D27" s="13"/>
      <c r="E27" s="13"/>
      <c r="F27" s="13"/>
      <c r="G27" s="13"/>
      <c r="H27" s="13"/>
    </row>
    <row r="28" spans="2:8" ht="48" customHeight="1">
      <c r="B28" s="5" t="s">
        <v>464</v>
      </c>
      <c r="C28" s="5"/>
      <c r="D28" s="5"/>
      <c r="E28" s="5"/>
      <c r="F28" s="5"/>
      <c r="G28" s="5"/>
      <c r="H28" s="5"/>
    </row>
    <row r="30" spans="2:8" ht="26" customHeight="1">
      <c r="B30" s="13" t="s">
        <v>465</v>
      </c>
      <c r="C30" s="13"/>
      <c r="D30" s="13"/>
      <c r="E30" s="13"/>
      <c r="F30" s="13"/>
      <c r="G30" s="13"/>
      <c r="H30" s="13"/>
    </row>
    <row r="31" spans="2:8" ht="48" customHeight="1">
      <c r="B31" s="5" t="s">
        <v>466</v>
      </c>
      <c r="C31" s="5"/>
      <c r="D31" s="5"/>
      <c r="E31" s="5"/>
      <c r="F31" s="5"/>
      <c r="G31" s="5"/>
      <c r="H31" s="5"/>
    </row>
    <row r="33" spans="2:8" ht="26" customHeight="1">
      <c r="B33" s="13" t="s">
        <v>467</v>
      </c>
      <c r="C33" s="13"/>
      <c r="D33" s="13"/>
      <c r="E33" s="13"/>
      <c r="F33" s="13"/>
      <c r="G33" s="13"/>
      <c r="H33" s="13"/>
    </row>
    <row r="34" spans="2:8" ht="48" customHeight="1">
      <c r="B34" s="5" t="s">
        <v>468</v>
      </c>
      <c r="C34" s="5"/>
      <c r="D34" s="5"/>
      <c r="E34" s="5"/>
      <c r="F34" s="5"/>
      <c r="G34" s="5"/>
      <c r="H34" s="5"/>
    </row>
    <row r="36" spans="2:8" ht="26" customHeight="1">
      <c r="B36" s="13" t="s">
        <v>469</v>
      </c>
      <c r="C36" s="13"/>
      <c r="D36" s="13"/>
      <c r="E36" s="13"/>
      <c r="F36" s="13"/>
      <c r="G36" s="13"/>
      <c r="H36" s="13"/>
    </row>
    <row r="37" spans="2:8" ht="62" customHeight="1">
      <c r="B37" s="5" t="s">
        <v>470</v>
      </c>
      <c r="C37" s="5"/>
      <c r="D37" s="5"/>
      <c r="E37" s="5"/>
      <c r="F37" s="5"/>
      <c r="G37" s="5"/>
      <c r="H37" s="5"/>
    </row>
    <row r="39" spans="2:8" ht="26" customHeight="1">
      <c r="B39" s="13" t="s">
        <v>471</v>
      </c>
      <c r="C39" s="13"/>
      <c r="D39" s="13"/>
      <c r="E39" s="13"/>
      <c r="F39" s="13"/>
      <c r="G39" s="13"/>
      <c r="H39" s="13"/>
    </row>
    <row r="40" spans="2:8" ht="62" customHeight="1">
      <c r="B40" s="5" t="s">
        <v>472</v>
      </c>
      <c r="C40" s="5"/>
      <c r="D40" s="5"/>
      <c r="E40" s="5"/>
      <c r="F40" s="5"/>
      <c r="G40" s="5"/>
      <c r="H40" s="5"/>
    </row>
    <row r="42" spans="2:8" ht="26" customHeight="1">
      <c r="B42" s="13" t="s">
        <v>473</v>
      </c>
      <c r="C42" s="13"/>
      <c r="D42" s="13"/>
      <c r="E42" s="13"/>
      <c r="F42" s="13"/>
      <c r="G42" s="13"/>
      <c r="H42" s="13"/>
    </row>
    <row r="43" spans="2:8" ht="62" customHeight="1">
      <c r="B43" s="5" t="s">
        <v>474</v>
      </c>
      <c r="C43" s="5"/>
      <c r="D43" s="5"/>
      <c r="E43" s="5"/>
      <c r="F43" s="5"/>
      <c r="G43" s="5"/>
      <c r="H43" s="5"/>
    </row>
    <row r="45" spans="2:8" ht="26" customHeight="1">
      <c r="B45" s="13" t="s">
        <v>475</v>
      </c>
      <c r="C45" s="13"/>
      <c r="D45" s="13"/>
      <c r="E45" s="13"/>
      <c r="F45" s="13"/>
      <c r="G45" s="13"/>
      <c r="H45" s="13"/>
    </row>
    <row r="46" spans="2:8" ht="62" customHeight="1">
      <c r="B46" s="5" t="s">
        <v>476</v>
      </c>
      <c r="C46" s="5"/>
      <c r="D46" s="5"/>
      <c r="E46" s="5"/>
      <c r="F46" s="5"/>
      <c r="G46" s="5"/>
      <c r="H46" s="5"/>
    </row>
    <row r="48" spans="2:8" ht="26" customHeight="1">
      <c r="B48" s="13" t="s">
        <v>477</v>
      </c>
      <c r="C48" s="13"/>
      <c r="D48" s="13"/>
      <c r="E48" s="13"/>
      <c r="F48" s="13"/>
      <c r="G48" s="13"/>
      <c r="H48" s="13"/>
    </row>
    <row r="49" spans="2:8" ht="48" customHeight="1">
      <c r="B49" s="5" t="s">
        <v>478</v>
      </c>
      <c r="C49" s="5"/>
      <c r="D49" s="5"/>
      <c r="E49" s="5"/>
      <c r="F49" s="5"/>
      <c r="G49" s="5"/>
      <c r="H49" s="5"/>
    </row>
    <row r="51" spans="2:8" ht="26" customHeight="1">
      <c r="B51" s="13" t="s">
        <v>479</v>
      </c>
      <c r="C51" s="13"/>
      <c r="D51" s="13"/>
      <c r="E51" s="13"/>
      <c r="F51" s="13"/>
      <c r="G51" s="13"/>
      <c r="H51" s="13"/>
    </row>
    <row r="52" spans="2:8" ht="48" customHeight="1">
      <c r="B52" s="5" t="s">
        <v>480</v>
      </c>
      <c r="C52" s="5"/>
      <c r="D52" s="5"/>
      <c r="E52" s="5"/>
      <c r="F52" s="5"/>
      <c r="G52" s="5"/>
      <c r="H52" s="5"/>
    </row>
  </sheetData>
  <mergeCells count="34">
    <mergeCell ref="B2:H2"/>
    <mergeCell ref="B3:H3"/>
    <mergeCell ref="B6:H6"/>
    <mergeCell ref="B7:H7"/>
    <mergeCell ref="B9:H9"/>
    <mergeCell ref="B10:H10"/>
    <mergeCell ref="B12:H12"/>
    <mergeCell ref="B13:H13"/>
    <mergeCell ref="B15:H15"/>
    <mergeCell ref="B16:H16"/>
    <mergeCell ref="B18:H18"/>
    <mergeCell ref="B19:H19"/>
    <mergeCell ref="B21:H21"/>
    <mergeCell ref="B22:H22"/>
    <mergeCell ref="B24:H24"/>
    <mergeCell ref="B25:H25"/>
    <mergeCell ref="B27:H27"/>
    <mergeCell ref="B28:H28"/>
    <mergeCell ref="B30:H30"/>
    <mergeCell ref="B31:H31"/>
    <mergeCell ref="B33:H33"/>
    <mergeCell ref="B34:H34"/>
    <mergeCell ref="B36:H36"/>
    <mergeCell ref="B37:H37"/>
    <mergeCell ref="B39:H39"/>
    <mergeCell ref="B40:H40"/>
    <mergeCell ref="B42:H42"/>
    <mergeCell ref="B43:H43"/>
    <mergeCell ref="B45:H45"/>
    <mergeCell ref="B46:H46"/>
    <mergeCell ref="B48:H48"/>
    <mergeCell ref="B49:H49"/>
    <mergeCell ref="B51:H51"/>
    <mergeCell ref="B52:H52"/>
  </mergeCells>
  <hyperlinks>
    <hyperlink ref="B1" location="'Overview'!B2" display="Back to dashboard"/>
  </hyperlinks>
  <pageMargins left="0.25" right="0.25" top="0.35" bottom="0.35" header="0.3" footer="0.15"/>
  <pageSetup paperSize="9" fitToHeight="0" orientation="landscape"/>
  <headerFooter>
    <oddFooter>&amp;LUNZA | Ridgeway Campus&amp;CHealth insurance survey&amp;RPage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Overview</vt:lpstr>
      <vt:lpstr>Cohort analysis</vt:lpstr>
      <vt:lpstr>Item results</vt:lpstr>
      <vt:lpstr>Associations</vt:lpstr>
      <vt:lpstr>Responses</vt:lpstr>
      <vt:lpstr>Codebook</vt:lpstr>
      <vt:lpstr>Notes</vt:lpstr>
      <vt:lpstr>Associations!Print_Area</vt:lpstr>
      <vt:lpstr>Codebook!Print_Area</vt:lpstr>
      <vt:lpstr>'Cohort analysis'!Print_Area</vt:lpstr>
      <vt:lpstr>'Item results'!Print_Area</vt:lpstr>
      <vt:lpstr>Notes!Print_Area</vt:lpstr>
      <vt:lpstr>Overview!Print_Area</vt:lpstr>
      <vt:lpstr>Responses!Print_Area</vt:lpstr>
      <vt:lpstr>Codebook!Print_Titles</vt:lpstr>
      <vt:lpstr>'Cohort analysis'!Print_Titles</vt:lpstr>
      <vt:lpstr>'Item results'!Print_Titles</vt:lpstr>
      <vt:lpstr>Responses!Print_Titles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UNZA Health Insurance &amp; NHIMA Dashboard</dc:title>
  <dc:subject>Ridgeway Campus student survey, 358 responses</dc:subject>
  <dc:creator>UNZA survey analysis</dc:creator>
  <dc:description>Based on the supplied response workbook and analysis report. Provisional instrument-derived scoring key.</dc:description>
  <cp:lastModifiedBy>UNZA survey analysis</cp:lastModifiedBy>
  <dcterms:created xsi:type="dcterms:W3CDTF">2026-10-06T15:32:40Z</dcterms:created>
  <dcterms:modified xsi:type="dcterms:W3CDTF">2026-10-06T15:32:40Z</dcterms:modified>
</cp:coreProperties>
</file>